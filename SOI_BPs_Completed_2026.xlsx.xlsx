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AN" sheetId="1" r:id="rId5"/>
    <sheet state="hidden" name="FEB" sheetId="2" r:id="rId6"/>
    <sheet state="hidden" name="MAR" sheetId="3" r:id="rId7"/>
    <sheet state="hidden" name="APR" sheetId="4" r:id="rId8"/>
    <sheet state="hidden" name="MAY" sheetId="5" r:id="rId9"/>
    <sheet state="hidden" name="JUN" sheetId="6" r:id="rId10"/>
    <sheet state="hidden" name="JUL" sheetId="7" r:id="rId11"/>
    <sheet state="hidden" name="AUG" sheetId="8" r:id="rId12"/>
    <sheet state="visible" name="SEP" sheetId="9" r:id="rId13"/>
    <sheet state="hidden" name="OCT" sheetId="10" r:id="rId14"/>
    <sheet state="hidden" name="NOV" sheetId="11" r:id="rId15"/>
    <sheet state="hidden" name="DEC" sheetId="12" r:id="rId16"/>
    <sheet state="visible" name="SCORES" sheetId="13" r:id="rId17"/>
    <sheet state="hidden" name="5 days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update day - Move from April 12 to April 09</t>
      </text>
    </comment>
    <comment authorId="0" ref="I4">
      <text>
        <t xml:space="preserve">update day - Move from April 12 to April 09</t>
      </text>
    </comment>
    <comment authorId="0" ref="A8">
      <text>
        <t xml:space="preserve">BC only</t>
      </text>
    </comment>
    <comment authorId="0" ref="D10">
      <text>
        <t xml:space="preserve">update day - move from Mar 23 to March 22</t>
      </text>
    </comment>
    <comment authorId="0" ref="D5">
      <text>
        <t xml:space="preserve">update day - Move from Mar 10 to March 09</t>
      </text>
    </comment>
  </commentList>
</comments>
</file>

<file path=xl/sharedStrings.xml><?xml version="1.0" encoding="utf-8"?>
<sst xmlns="http://schemas.openxmlformats.org/spreadsheetml/2006/main" count="1678" uniqueCount="98">
  <si>
    <t>SOI BP's Completed TRACKER</t>
  </si>
  <si>
    <t>FEBRUARY 2026</t>
  </si>
  <si>
    <t>APRIL 2026</t>
  </si>
  <si>
    <t>MARCH 2026</t>
  </si>
  <si>
    <t>BC</t>
  </si>
  <si>
    <t>JANUARY 2026</t>
  </si>
  <si>
    <t>BP</t>
  </si>
  <si>
    <t>Assigned to</t>
  </si>
  <si>
    <t>Due</t>
  </si>
  <si>
    <t>Status</t>
  </si>
  <si>
    <t>Date Completed</t>
  </si>
  <si>
    <t>Score</t>
  </si>
  <si>
    <t>days Difference</t>
  </si>
  <si>
    <t>BC00</t>
  </si>
  <si>
    <t>BEATRICE</t>
  </si>
  <si>
    <t>Done</t>
  </si>
  <si>
    <t>BC01</t>
  </si>
  <si>
    <t>BC03</t>
  </si>
  <si>
    <t>ARVIN</t>
  </si>
  <si>
    <t>BC04</t>
  </si>
  <si>
    <t>BRYLLE</t>
  </si>
  <si>
    <t>done</t>
  </si>
  <si>
    <t>BC05</t>
  </si>
  <si>
    <t>ROSHIEL</t>
  </si>
  <si>
    <t>BC07</t>
  </si>
  <si>
    <t>BC09</t>
  </si>
  <si>
    <t>BC10</t>
  </si>
  <si>
    <t>BC11</t>
  </si>
  <si>
    <t>DONE</t>
  </si>
  <si>
    <t>BC13</t>
  </si>
  <si>
    <t>GELO</t>
  </si>
  <si>
    <t xml:space="preserve"> </t>
  </si>
  <si>
    <t>BC14</t>
  </si>
  <si>
    <t>BC15</t>
  </si>
  <si>
    <t>BC17</t>
  </si>
  <si>
    <t>BC19</t>
  </si>
  <si>
    <t>BC20</t>
  </si>
  <si>
    <t>SARAH</t>
  </si>
  <si>
    <t>BC21</t>
  </si>
  <si>
    <t>BC23</t>
  </si>
  <si>
    <t>BC24</t>
  </si>
  <si>
    <t>BC25</t>
  </si>
  <si>
    <t>BC27</t>
  </si>
  <si>
    <t>BC28</t>
  </si>
  <si>
    <t>AB</t>
  </si>
  <si>
    <t>AB00</t>
  </si>
  <si>
    <t>AB01</t>
  </si>
  <si>
    <t>AB04</t>
  </si>
  <si>
    <t>AB07</t>
  </si>
  <si>
    <t xml:space="preserve">done </t>
  </si>
  <si>
    <t>AB10</t>
  </si>
  <si>
    <t>AB13</t>
  </si>
  <si>
    <t>AB16</t>
  </si>
  <si>
    <t>AB19</t>
  </si>
  <si>
    <t>AB22</t>
  </si>
  <si>
    <t>ART</t>
  </si>
  <si>
    <t>AB25</t>
  </si>
  <si>
    <t>AB26</t>
  </si>
  <si>
    <t>AB28</t>
  </si>
  <si>
    <t>MAY 2026</t>
  </si>
  <si>
    <t>JULY 2026</t>
  </si>
  <si>
    <t xml:space="preserve">Done </t>
  </si>
  <si>
    <t>AUGUST 2026</t>
  </si>
  <si>
    <t>WILL</t>
  </si>
  <si>
    <t>dne</t>
  </si>
  <si>
    <t>DIANA</t>
  </si>
  <si>
    <t>SEPTEMBER 2026</t>
  </si>
  <si>
    <t>OCTOBER 2026</t>
  </si>
  <si>
    <t>NOVEMBER 2026</t>
  </si>
  <si>
    <t>DECEMBER 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</si>
  <si>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</si>
  <si>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</si>
  <si>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</si>
  <si>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</si>
  <si>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</si>
  <si>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</si>
  <si>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</si>
  <si>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</si>
  <si>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</si>
  <si>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</si>
  <si>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</si>
  <si>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</si>
  <si>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March</t>
  </si>
  <si>
    <t>April</t>
  </si>
  <si>
    <t>SOI Days</t>
  </si>
  <si>
    <t>CC Days</t>
  </si>
  <si>
    <t>Update days</t>
  </si>
  <si>
    <t>Report Date</t>
  </si>
  <si>
    <t>Max 5</t>
  </si>
  <si>
    <t>AVERAGE:</t>
  </si>
  <si>
    <t>JAYSON</t>
  </si>
  <si>
    <t>JESSIE</t>
  </si>
  <si>
    <t>JESSELE</t>
  </si>
  <si>
    <t>KIM</t>
  </si>
  <si>
    <t>PEARL</t>
  </si>
  <si>
    <t>FRANCESS</t>
  </si>
  <si>
    <t>JULIENE</t>
  </si>
  <si>
    <t>CLARIZE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</si>
</sst>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#"/>
    <numFmt numFmtId="165" formatCode="mmm&quot;-&quot;dd"/>
    <numFmt numFmtId="166" formatCode="mm&quot; &quot;mmm"/>
    <numFmt numFmtId="167" formatCode="mmmm&quot; &quot;d&quot;, &quot;yyyy"/>
    <numFmt numFmtId="168" formatCode="mmm&quot;-&quot;dd&quot;, &quot;hh&quot;:&quot;mm&quot; &quot;am/pm"/>
    <numFmt numFmtId="169" formatCode="m/d/yyyy h:mm:ss"/>
    <numFmt numFmtId="170" formatCode="mmm&quot; &quot;d&quot;,  &quot;h&quot;:&quot;mm&quot;: &quot;am/pm"/>
    <numFmt numFmtId="171" formatCode="mmmm yyyy"/>
    <numFmt numFmtId="172" formatCode="ddd&quot;,  &quot;yy&quot;/&quot;mm&quot;/&quot;dd"/>
  </numFmts>
  <fonts count="17">
    <font>
      <sz val="10.0"/>
      <color rgb="FF000000"/>
      <name val="Arial"/>
      <scheme val="minor"/>
    </font>
    <font>
      <b/>
      <sz val="14.0"/>
      <color rgb="FFFFFFFF"/>
      <name val="Arial"/>
    </font>
    <font/>
    <font>
      <color theme="1"/>
      <name val="Arial"/>
    </font>
    <font>
      <sz val="10.0"/>
      <color theme="1"/>
      <name val="Arial"/>
    </font>
    <font>
      <b/>
      <sz val="14.0"/>
      <color rgb="FF000000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b/>
      <color rgb="FF000000"/>
      <name val="Arial"/>
    </font>
    <font>
      <b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color rgb="FF000000"/>
      <name val="Arial"/>
    </font>
    <font>
      <b/>
      <color rgb="FF980000"/>
      <name val="Arial"/>
      <scheme val="minor"/>
    </font>
    <font>
      <sz val="10.0"/>
      <color rgb="FF000000"/>
      <name val="Arial"/>
    </font>
    <font>
      <color rgb="FF000000"/>
      <name val="Arial"/>
      <scheme val="minor"/>
    </font>
    <font>
      <b/>
      <color rgb="FF000000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9DEA5D"/>
        <bgColor rgb="FF9DEA5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4DD0E1"/>
        <bgColor rgb="FF4DD0E1"/>
      </patternFill>
    </fill>
    <fill>
      <patternFill patternType="solid">
        <fgColor rgb="FF4B286D"/>
        <bgColor rgb="FF4B286D"/>
      </patternFill>
    </fill>
    <fill>
      <patternFill patternType="solid">
        <fgColor rgb="FFE0F7FA"/>
        <bgColor rgb="FFE0F7FA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20124D"/>
        <bgColor rgb="FF20124D"/>
      </patternFill>
    </fill>
    <fill>
      <patternFill patternType="solid">
        <fgColor rgb="FFDDF2F0"/>
        <bgColor rgb="FFDDF2F0"/>
      </patternFill>
    </fill>
    <fill>
      <patternFill patternType="solid">
        <fgColor rgb="FF1C4587"/>
        <bgColor rgb="FF1C4587"/>
      </patternFill>
    </fill>
  </fills>
  <borders count="25">
    <border/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/>
    </xf>
    <xf borderId="1" fillId="0" fontId="2" numFmtId="0" xfId="0" applyBorder="1" applyFont="1"/>
    <xf borderId="0" fillId="0" fontId="3" numFmtId="0" xfId="0" applyAlignment="1" applyFont="1">
      <alignment vertical="bottom"/>
    </xf>
    <xf borderId="0" fillId="0" fontId="4" numFmtId="0" xfId="0" applyFont="1"/>
    <xf quotePrefix="1" borderId="2" fillId="3" fontId="5" numFmtId="0" xfId="0" applyAlignment="1" applyBorder="1" applyFill="1" applyFont="1">
      <alignment horizontal="center" readingOrder="0"/>
    </xf>
    <xf quotePrefix="1" borderId="3" fillId="3" fontId="5" numFmtId="0" xfId="0" applyAlignment="1" applyBorder="1" applyFill="1" applyFont="1">
      <alignment horizontal="center" readingOrder="0"/>
    </xf>
    <xf borderId="4" fillId="0" fontId="2" numFmtId="0" xfId="0" applyBorder="1" applyFont="1"/>
    <xf borderId="5" fillId="4" fontId="6" numFmtId="0" xfId="0" applyAlignment="1" applyBorder="1" applyFill="1" applyFont="1">
      <alignment horizontal="center" readingOrder="0" vertical="bottom"/>
    </xf>
    <xf borderId="6" fillId="0" fontId="2" numFmtId="0" xfId="0" applyBorder="1" applyFont="1"/>
    <xf borderId="7" fillId="4" fontId="6" numFmtId="0" xfId="0" applyAlignment="1" applyBorder="1" applyFill="1" applyFont="1">
      <alignment horizontal="center" readingOrder="0" vertical="bottom"/>
    </xf>
    <xf borderId="8" fillId="0" fontId="2" numFmtId="0" xfId="0" applyBorder="1" applyFont="1"/>
    <xf borderId="4" fillId="4" fontId="3" numFmtId="0" xfId="0" applyAlignment="1" applyBorder="1" applyFill="1" applyFont="1">
      <alignment vertical="bottom"/>
    </xf>
    <xf borderId="9" fillId="4" fontId="6" numFmtId="0" xfId="0" applyAlignment="1" applyBorder="1" applyFill="1" applyFont="1">
      <alignment horizontal="center" readingOrder="0" vertical="bottom"/>
    </xf>
    <xf borderId="10" fillId="4" fontId="6" numFmtId="0" xfId="0" applyAlignment="1" applyBorder="1" applyFill="1" applyFont="1">
      <alignment horizontal="center" readingOrder="0" vertical="bottom"/>
    </xf>
    <xf borderId="11" fillId="5" fontId="7" numFmtId="164" xfId="0" applyAlignment="1" applyBorder="1" applyFill="1" applyFont="1" applyNumberFormat="1">
      <alignment horizontal="center" vertical="bottom"/>
    </xf>
    <xf borderId="12" fillId="4" fontId="6" numFmtId="0" xfId="0" applyAlignment="1" applyBorder="1" applyFill="1" applyFont="1">
      <alignment horizontal="center" readingOrder="0" vertical="bottom"/>
    </xf>
    <xf borderId="8" fillId="5" fontId="7" numFmtId="0" xfId="0" applyAlignment="1" applyBorder="1" applyFill="1" applyFont="1">
      <alignment horizontal="center" vertical="bottom"/>
    </xf>
    <xf borderId="12" fillId="4" fontId="3" numFmtId="0" xfId="0" applyAlignment="1" applyBorder="1" applyFill="1" applyFont="1">
      <alignment vertical="bottom"/>
    </xf>
    <xf borderId="13" fillId="5" fontId="7" numFmtId="165" xfId="0" applyAlignment="1" applyBorder="1" applyFill="1" applyFont="1" applyNumberFormat="1">
      <alignment horizontal="center" vertical="bottom"/>
    </xf>
    <xf borderId="14" fillId="5" fontId="8" numFmtId="165" xfId="0" applyAlignment="1" applyBorder="1" applyFill="1" applyFont="1" applyNumberFormat="1">
      <alignment horizontal="center" vertical="bottom"/>
    </xf>
    <xf borderId="13" fillId="5" fontId="7" numFmtId="0" xfId="0" applyAlignment="1" applyBorder="1" applyFill="1" applyFont="1">
      <alignment horizontal="center" vertical="bottom"/>
    </xf>
    <xf borderId="15" fillId="4" fontId="6" numFmtId="0" xfId="0" applyAlignment="1" applyBorder="1" applyFill="1" applyFont="1">
      <alignment horizontal="center" readingOrder="0" vertical="bottom"/>
    </xf>
    <xf borderId="13" fillId="5" fontId="7" numFmtId="166" xfId="0" applyAlignment="1" applyBorder="1" applyFill="1" applyFont="1" applyNumberFormat="1">
      <alignment horizontal="center" vertical="bottom"/>
    </xf>
    <xf borderId="16" fillId="5" fontId="7" numFmtId="2" xfId="0" applyAlignment="1" applyBorder="1" applyFill="1" applyFont="1" applyNumberFormat="1">
      <alignment horizontal="center" vertical="bottom"/>
    </xf>
    <xf borderId="17" fillId="5" fontId="7" numFmtId="164" xfId="0" applyAlignment="1" applyBorder="1" applyFill="1" applyFont="1" applyNumberFormat="1">
      <alignment horizontal="center" vertical="bottom"/>
    </xf>
    <xf borderId="18" fillId="5" fontId="7" numFmtId="167" xfId="0" applyAlignment="1" applyBorder="1" applyFill="1" applyFont="1" applyNumberFormat="1">
      <alignment horizontal="center" vertical="bottom"/>
    </xf>
    <xf borderId="8" fillId="5" fontId="7" numFmtId="166" xfId="0" applyAlignment="1" applyBorder="1" applyFill="1" applyFont="1" applyNumberFormat="1">
      <alignment horizontal="center" vertical="bottom"/>
    </xf>
    <xf borderId="19" fillId="5" fontId="7" numFmtId="2" xfId="0" applyAlignment="1" applyBorder="1" applyFill="1" applyFont="1" applyNumberFormat="1">
      <alignment horizontal="center" vertical="bottom"/>
    </xf>
    <xf borderId="20" fillId="6" fontId="6" numFmtId="0" xfId="0" applyAlignment="1" applyBorder="1" applyFill="1" applyFont="1">
      <alignment horizontal="center"/>
    </xf>
    <xf borderId="20" fillId="6" fontId="9" numFmtId="0" xfId="0" applyAlignment="1" applyBorder="1" applyFill="1" applyFont="1">
      <alignment vertical="bottom"/>
    </xf>
    <xf borderId="14" fillId="6" fontId="3" numFmtId="168" xfId="0" applyAlignment="1" applyBorder="1" applyFill="1" applyFont="1" applyNumberFormat="1">
      <alignment horizontal="right" readingOrder="0" vertical="bottom"/>
    </xf>
    <xf borderId="20" fillId="6" fontId="4" numFmtId="168" xfId="0" applyAlignment="1" applyBorder="1" applyFill="1" applyFont="1" applyNumberFormat="1">
      <alignment readingOrder="0"/>
    </xf>
    <xf borderId="20" fillId="6" fontId="4" numFmtId="0" xfId="0" applyAlignment="1" applyBorder="1" applyFill="1" applyFont="1">
      <alignment horizontal="center" readingOrder="0"/>
    </xf>
    <xf borderId="20" fillId="6" fontId="3" numFmtId="168" xfId="0" applyAlignment="1" applyBorder="1" applyFill="1" applyFont="1" applyNumberFormat="1">
      <alignment vertical="bottom"/>
    </xf>
    <xf borderId="20" fillId="6" fontId="3" numFmtId="169" xfId="0" applyAlignment="1" applyBorder="1" applyFill="1" applyFont="1" applyNumberFormat="1">
      <alignment readingOrder="0" vertical="bottom"/>
    </xf>
    <xf borderId="20" fillId="6" fontId="3" numFmtId="170" xfId="0" applyAlignment="1" applyBorder="1" applyFill="1" applyFont="1" applyNumberFormat="1">
      <alignment horizontal="center" readingOrder="0" vertical="bottom"/>
    </xf>
    <xf borderId="20" fillId="7" fontId="6" numFmtId="2" xfId="0" applyAlignment="1" applyBorder="1" applyFill="1" applyFont="1" applyNumberFormat="1">
      <alignment horizontal="center"/>
    </xf>
    <xf borderId="20" fillId="0" fontId="10" numFmtId="2" xfId="0" applyAlignment="1" applyBorder="1" applyFont="1" applyNumberFormat="1">
      <alignment horizontal="center"/>
    </xf>
    <xf borderId="20" fillId="6" fontId="6" numFmtId="164" xfId="0" applyAlignment="1" applyBorder="1" applyFill="1" applyFont="1" applyNumberFormat="1">
      <alignment horizontal="center" readingOrder="0"/>
    </xf>
    <xf borderId="20" fillId="8" fontId="6" numFmtId="164" xfId="0" applyAlignment="1" applyBorder="1" applyFill="1" applyFont="1" applyNumberFormat="1">
      <alignment horizontal="center" readingOrder="0"/>
    </xf>
    <xf borderId="20" fillId="8" fontId="4" numFmtId="0" xfId="0" applyAlignment="1" applyBorder="1" applyFill="1" applyFont="1">
      <alignment horizontal="center" readingOrder="0"/>
    </xf>
    <xf borderId="0" fillId="8" fontId="3" numFmtId="168" xfId="0" applyAlignment="1" applyFill="1" applyFont="1" applyNumberFormat="1">
      <alignment vertical="bottom"/>
    </xf>
    <xf borderId="20" fillId="8" fontId="6" numFmtId="2" xfId="0" applyAlignment="1" applyBorder="1" applyFill="1" applyFont="1" applyNumberFormat="1">
      <alignment horizontal="center"/>
    </xf>
    <xf borderId="0" fillId="8" fontId="10" numFmtId="0" xfId="0" applyFill="1" applyFont="1"/>
    <xf borderId="20" fillId="8" fontId="10" numFmtId="2" xfId="0" applyAlignment="1" applyBorder="1" applyFill="1" applyFont="1" applyNumberFormat="1">
      <alignment horizontal="center"/>
    </xf>
    <xf borderId="0" fillId="8" fontId="3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20" fillId="8" fontId="3" numFmtId="168" xfId="0" applyAlignment="1" applyBorder="1" applyFill="1" applyFont="1" applyNumberFormat="1">
      <alignment vertical="bottom"/>
    </xf>
    <xf borderId="20" fillId="6" fontId="6" numFmtId="164" xfId="0" applyAlignment="1" applyBorder="1" applyFill="1" applyFont="1" applyNumberFormat="1">
      <alignment horizontal="center"/>
    </xf>
    <xf borderId="0" fillId="0" fontId="10" numFmtId="9" xfId="0" applyAlignment="1" applyFont="1" applyNumberFormat="1">
      <alignment readingOrder="0"/>
    </xf>
    <xf borderId="20" fillId="9" fontId="4" numFmtId="0" xfId="0" applyAlignment="1" applyBorder="1" applyFill="1" applyFont="1">
      <alignment horizontal="center" readingOrder="0"/>
    </xf>
    <xf borderId="20" fillId="6" fontId="3" numFmtId="168" xfId="0" applyAlignment="1" applyBorder="1" applyFill="1" applyFont="1" applyNumberFormat="1">
      <alignment horizontal="right" vertical="bottom"/>
    </xf>
    <xf borderId="0" fillId="0" fontId="4" numFmtId="2" xfId="0" applyFont="1" applyNumberFormat="1"/>
    <xf borderId="0" fillId="0" fontId="3" numFmtId="2" xfId="0" applyAlignment="1" applyFont="1" applyNumberFormat="1">
      <alignment vertical="bottom"/>
    </xf>
    <xf borderId="21" fillId="6" fontId="6" numFmtId="164" xfId="0" applyAlignment="1" applyBorder="1" applyFill="1" applyFont="1" applyNumberFormat="1">
      <alignment horizontal="center"/>
    </xf>
    <xf borderId="21" fillId="6" fontId="4" numFmtId="0" xfId="0" applyAlignment="1" applyBorder="1" applyFill="1" applyFont="1">
      <alignment horizontal="center" readingOrder="0"/>
    </xf>
    <xf borderId="21" fillId="7" fontId="6" numFmtId="2" xfId="0" applyAlignment="1" applyBorder="1" applyFill="1" applyFont="1" applyNumberFormat="1">
      <alignment horizontal="center"/>
    </xf>
    <xf borderId="21" fillId="0" fontId="10" numFmtId="2" xfId="0" applyAlignment="1" applyBorder="1" applyFont="1" applyNumberFormat="1">
      <alignment horizontal="center"/>
    </xf>
    <xf borderId="10" fillId="10" fontId="6" numFmtId="0" xfId="0" applyAlignment="1" applyBorder="1" applyFill="1" applyFont="1">
      <alignment horizontal="center" readingOrder="0" vertical="bottom"/>
    </xf>
    <xf borderId="12" fillId="10" fontId="6" numFmtId="0" xfId="0" applyAlignment="1" applyBorder="1" applyFill="1" applyFont="1">
      <alignment horizontal="center" readingOrder="0" vertical="bottom"/>
    </xf>
    <xf borderId="15" fillId="10" fontId="6" numFmtId="0" xfId="0" applyAlignment="1" applyBorder="1" applyFill="1" applyFont="1">
      <alignment horizontal="center" readingOrder="0" vertical="bottom"/>
    </xf>
    <xf borderId="20" fillId="0" fontId="10" numFmtId="2" xfId="0" applyAlignment="1" applyBorder="1" applyFont="1" applyNumberFormat="1">
      <alignment horizontal="center" readingOrder="0"/>
    </xf>
    <xf borderId="17" fillId="5" fontId="7" numFmtId="164" xfId="0" applyAlignment="1" applyBorder="1" applyFill="1" applyFont="1" applyNumberFormat="1">
      <alignment horizontal="center" vertical="bottom"/>
    </xf>
    <xf borderId="8" fillId="5" fontId="7" numFmtId="165" xfId="0" applyAlignment="1" applyBorder="1" applyFill="1" applyFont="1" applyNumberFormat="1">
      <alignment horizontal="center" vertical="bottom"/>
    </xf>
    <xf borderId="8" fillId="5" fontId="7" numFmtId="1" xfId="0" applyAlignment="1" applyBorder="1" applyFill="1" applyFont="1" applyNumberFormat="1">
      <alignment horizontal="center" vertical="bottom"/>
    </xf>
    <xf borderId="8" fillId="6" fontId="3" numFmtId="168" xfId="0" applyAlignment="1" applyBorder="1" applyFill="1" applyFont="1" applyNumberFormat="1">
      <alignment horizontal="right" readingOrder="0" vertical="bottom"/>
    </xf>
    <xf borderId="12" fillId="10" fontId="3" numFmtId="0" xfId="0" applyAlignment="1" applyBorder="1" applyFill="1" applyFont="1">
      <alignment vertical="bottom"/>
    </xf>
    <xf borderId="20" fillId="6" fontId="6" numFmtId="164" xfId="0" applyAlignment="1" applyBorder="1" applyFill="1" applyFont="1" applyNumberFormat="1">
      <alignment horizontal="center" readingOrder="0"/>
    </xf>
    <xf borderId="20" fillId="6" fontId="6" numFmtId="164" xfId="0" applyAlignment="1" applyBorder="1" applyFill="1" applyFont="1" applyNumberFormat="1">
      <alignment horizontal="center"/>
    </xf>
    <xf borderId="0" fillId="0" fontId="4" numFmtId="0" xfId="0" applyAlignment="1" applyFont="1">
      <alignment readingOrder="0"/>
    </xf>
    <xf borderId="0" fillId="0" fontId="10" numFmtId="2" xfId="0" applyFont="1" applyNumberFormat="1"/>
    <xf borderId="0" fillId="0" fontId="4" numFmtId="2" xfId="0" applyAlignment="1" applyFont="1" applyNumberFormat="1">
      <alignment readingOrder="0"/>
    </xf>
    <xf borderId="20" fillId="6" fontId="3" numFmtId="170" xfId="0" applyAlignment="1" applyBorder="1" applyFill="1" applyFont="1" applyNumberFormat="1">
      <alignment readingOrder="0" vertical="bottom"/>
    </xf>
    <xf borderId="0" fillId="0" fontId="3" numFmtId="0" xfId="0" applyAlignment="1" applyFont="1">
      <alignment vertical="bottom"/>
    </xf>
    <xf borderId="20" fillId="6" fontId="3" numFmtId="0" xfId="0" applyAlignment="1" applyBorder="1" applyFill="1" applyFont="1">
      <alignment readingOrder="0" vertical="bottom"/>
    </xf>
    <xf borderId="0" fillId="0" fontId="4" numFmtId="166" xfId="0" applyFont="1" applyNumberFormat="1"/>
    <xf borderId="20" fillId="8" fontId="6" numFmtId="164" xfId="0" applyAlignment="1" applyBorder="1" applyFill="1" applyFont="1" applyNumberFormat="1">
      <alignment horizontal="center" readingOrder="0"/>
    </xf>
    <xf borderId="0" fillId="8" fontId="4" numFmtId="0" xfId="0" applyFill="1" applyFont="1"/>
    <xf borderId="0" fillId="8" fontId="3" numFmtId="2" xfId="0" applyAlignment="1" applyFill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4" numFmtId="9" xfId="0" applyAlignment="1" applyFont="1" applyNumberFormat="1">
      <alignment readingOrder="0"/>
    </xf>
    <xf borderId="20" fillId="6" fontId="11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21" fillId="6" fontId="4" numFmtId="168" xfId="0" applyAlignment="1" applyBorder="1" applyFill="1" applyFont="1" applyNumberFormat="1">
      <alignment readingOrder="0"/>
    </xf>
    <xf borderId="2" fillId="3" fontId="5" numFmtId="171" xfId="0" applyAlignment="1" applyBorder="1" applyFill="1" applyFont="1" applyNumberFormat="1">
      <alignment horizontal="center" readingOrder="0"/>
    </xf>
    <xf borderId="0" fillId="0" fontId="10" numFmtId="0" xfId="0" applyAlignment="1" applyFont="1">
      <alignment readingOrder="0"/>
    </xf>
    <xf borderId="20" fillId="10" fontId="6" numFmtId="0" xfId="0" applyAlignment="1" applyBorder="1" applyFill="1" applyFont="1">
      <alignment horizontal="center" readingOrder="0" vertical="bottom"/>
    </xf>
    <xf borderId="20" fillId="6" fontId="4" numFmtId="169" xfId="0" applyAlignment="1" applyBorder="1" applyFill="1" applyFont="1" applyNumberFormat="1">
      <alignment readingOrder="0"/>
    </xf>
    <xf borderId="20" fillId="6" fontId="9" numFmtId="0" xfId="0" applyAlignment="1" applyBorder="1" applyFill="1" applyFont="1">
      <alignment readingOrder="0" vertical="bottom"/>
    </xf>
    <xf borderId="20" fillId="6" fontId="3" numFmtId="0" xfId="0" applyAlignment="1" applyBorder="1" applyFill="1" applyFont="1">
      <alignment horizontal="left" readingOrder="0" vertical="bottom"/>
    </xf>
    <xf borderId="21" fillId="8" fontId="9" numFmtId="0" xfId="0" applyAlignment="1" applyBorder="1" applyFill="1" applyFont="1">
      <alignment horizontal="center" readingOrder="0" vertical="center"/>
    </xf>
    <xf borderId="20" fillId="11" fontId="8" numFmtId="0" xfId="0" applyAlignment="1" applyBorder="1" applyFill="1" applyFont="1">
      <alignment horizontal="center" vertical="bottom"/>
    </xf>
    <xf borderId="20" fillId="11" fontId="8" numFmtId="4" xfId="0" applyAlignment="1" applyBorder="1" applyFill="1" applyFont="1" applyNumberFormat="1">
      <alignment horizontal="center" vertical="bottom"/>
    </xf>
    <xf borderId="20" fillId="11" fontId="8" numFmtId="0" xfId="0" applyAlignment="1" applyBorder="1" applyFill="1" applyFont="1">
      <alignment horizontal="center" vertical="bottom"/>
    </xf>
    <xf borderId="0" fillId="8" fontId="8" numFmtId="0" xfId="0" applyAlignment="1" applyFill="1" applyFont="1">
      <alignment horizontal="center" vertical="bottom"/>
    </xf>
    <xf borderId="22" fillId="6" fontId="2" numFmtId="0" xfId="0" applyBorder="1" applyFill="1" applyFont="1"/>
    <xf borderId="20" fillId="8" fontId="8" numFmtId="0" xfId="0" applyAlignment="1" applyBorder="1" applyFill="1" applyFont="1">
      <alignment horizontal="center" vertical="bottom"/>
    </xf>
    <xf borderId="20" fillId="12" fontId="12" numFmtId="4" xfId="0" applyAlignment="1" applyBorder="1" applyFill="1" applyFont="1" applyNumberFormat="1">
      <alignment horizontal="center" readingOrder="0" vertical="bottom"/>
    </xf>
    <xf borderId="0" fillId="8" fontId="12" numFmtId="4" xfId="0" applyAlignment="1" applyFill="1" applyFont="1" applyNumberFormat="1">
      <alignment horizontal="center" vertical="bottom"/>
    </xf>
    <xf borderId="22" fillId="13" fontId="2" numFmtId="0" xfId="0" applyBorder="1" applyFill="1" applyFont="1"/>
    <xf borderId="20" fillId="8" fontId="7" numFmtId="0" xfId="0" applyAlignment="1" applyBorder="1" applyFill="1" applyFont="1">
      <alignment horizontal="center" readingOrder="0"/>
    </xf>
    <xf borderId="20" fillId="8" fontId="4" numFmtId="4" xfId="0" applyAlignment="1" applyBorder="1" applyFill="1" applyFont="1" applyNumberFormat="1">
      <alignment horizontal="center"/>
    </xf>
    <xf borderId="20" fillId="8" fontId="3" numFmtId="4" xfId="0" applyAlignment="1" applyBorder="1" applyFill="1" applyFont="1" applyNumberFormat="1">
      <alignment horizontal="center" vertical="bottom"/>
    </xf>
    <xf borderId="20" fillId="8" fontId="12" numFmtId="4" xfId="0" applyAlignment="1" applyBorder="1" applyFill="1" applyFont="1" applyNumberFormat="1">
      <alignment horizontal="center" readingOrder="0" vertical="bottom"/>
    </xf>
    <xf borderId="20" fillId="8" fontId="12" numFmtId="4" xfId="0" applyAlignment="1" applyBorder="1" applyFill="1" applyFont="1" applyNumberFormat="1">
      <alignment horizontal="center" vertical="bottom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 readingOrder="0" vertical="center"/>
    </xf>
    <xf borderId="0" fillId="0" fontId="10" numFmtId="172" xfId="0" applyAlignment="1" applyFont="1" applyNumberFormat="1">
      <alignment readingOrder="0"/>
    </xf>
    <xf borderId="0" fillId="14" fontId="13" numFmtId="172" xfId="0" applyAlignment="1" applyFill="1" applyFont="1" applyNumberFormat="1">
      <alignment readingOrder="0"/>
    </xf>
    <xf borderId="0" fillId="15" fontId="10" numFmtId="172" xfId="0" applyAlignment="1" applyFill="1" applyFont="1" applyNumberFormat="1">
      <alignment readingOrder="0"/>
    </xf>
    <xf borderId="0" fillId="16" fontId="10" numFmtId="0" xfId="0" applyAlignment="1" applyFill="1" applyFont="1">
      <alignment horizontal="center" readingOrder="0"/>
    </xf>
    <xf borderId="20" fillId="17" fontId="12" numFmtId="4" xfId="0" applyAlignment="1" applyBorder="1" applyFill="1" applyFont="1" applyNumberFormat="1">
      <alignment horizontal="center" readingOrder="0" vertical="bottom"/>
    </xf>
    <xf borderId="18" fillId="13" fontId="2" numFmtId="0" xfId="0" applyBorder="1" applyFill="1" applyFont="1"/>
    <xf borderId="0" fillId="8" fontId="8" numFmtId="0" xfId="0" applyAlignment="1" applyFill="1" applyFont="1">
      <alignment horizontal="right" vertical="center"/>
    </xf>
    <xf borderId="20" fillId="6" fontId="9" numFmtId="0" xfId="0" applyAlignment="1" applyBorder="1" applyFill="1" applyFont="1">
      <alignment horizontal="center" vertical="bottom"/>
    </xf>
    <xf borderId="0" fillId="8" fontId="8" numFmtId="4" xfId="0" applyAlignment="1" applyFill="1" applyFont="1" applyNumberFormat="1">
      <alignment horizontal="center" vertical="bottom"/>
    </xf>
    <xf borderId="23" fillId="15" fontId="8" numFmtId="0" xfId="0" applyAlignment="1" applyBorder="1" applyFill="1" applyFont="1">
      <alignment horizontal="right" vertical="center"/>
    </xf>
    <xf borderId="14" fillId="13" fontId="2" numFmtId="0" xfId="0" applyBorder="1" applyFill="1" applyFont="1"/>
    <xf borderId="20" fillId="15" fontId="8" numFmtId="4" xfId="0" applyAlignment="1" applyBorder="1" applyFill="1" applyFont="1" applyNumberFormat="1">
      <alignment horizontal="center" vertical="bottom"/>
    </xf>
    <xf borderId="0" fillId="8" fontId="8" numFmtId="0" xfId="0" applyAlignment="1" applyFill="1" applyFont="1">
      <alignment horizontal="center" vertical="center"/>
    </xf>
    <xf borderId="0" fillId="8" fontId="8" numFmtId="0" xfId="0" applyAlignment="1" applyFill="1" applyFont="1">
      <alignment horizontal="center" vertical="bottom"/>
    </xf>
    <xf borderId="0" fillId="8" fontId="8" numFmtId="4" xfId="0" applyAlignment="1" applyFill="1" applyFont="1" applyNumberFormat="1">
      <alignment horizontal="center" vertical="bottom"/>
    </xf>
    <xf borderId="21" fillId="8" fontId="8" numFmtId="0" xfId="0" applyAlignment="1" applyBorder="1" applyFill="1" applyFont="1">
      <alignment horizontal="center" readingOrder="0" vertical="center"/>
    </xf>
    <xf borderId="20" fillId="6" fontId="3" numFmtId="4" xfId="0" applyAlignment="1" applyBorder="1" applyFill="1" applyFont="1" applyNumberFormat="1">
      <alignment horizontal="center" readingOrder="0" vertical="bottom"/>
    </xf>
    <xf borderId="10" fillId="15" fontId="8" numFmtId="0" xfId="0" applyAlignment="1" applyBorder="1" applyFill="1" applyFont="1">
      <alignment horizontal="right" vertical="center"/>
    </xf>
    <xf borderId="15" fillId="6" fontId="2" numFmtId="0" xfId="0" applyBorder="1" applyFill="1" applyFont="1"/>
    <xf borderId="20" fillId="6" fontId="3" numFmtId="4" xfId="0" applyAlignment="1" applyBorder="1" applyFill="1" applyFont="1" applyNumberFormat="1">
      <alignment horizontal="center" vertical="bottom"/>
    </xf>
    <xf borderId="20" fillId="8" fontId="8" numFmtId="0" xfId="0" applyAlignment="1" applyBorder="1" applyFill="1" applyFont="1">
      <alignment horizontal="center" readingOrder="0" vertical="bottom"/>
    </xf>
    <xf borderId="18" fillId="6" fontId="2" numFmtId="0" xfId="0" applyBorder="1" applyFill="1" applyFont="1"/>
    <xf borderId="15" fillId="13" fontId="2" numFmtId="0" xfId="0" applyBorder="1" applyFill="1" applyFont="1"/>
    <xf borderId="20" fillId="15" fontId="9" numFmtId="4" xfId="0" applyAlignment="1" applyBorder="1" applyFill="1" applyFont="1" applyNumberFormat="1">
      <alignment horizontal="center" vertical="bottom"/>
    </xf>
    <xf borderId="21" fillId="6" fontId="8" numFmtId="0" xfId="0" applyAlignment="1" applyBorder="1" applyFill="1" applyFont="1">
      <alignment horizontal="center" readingOrder="0" vertical="center"/>
    </xf>
    <xf borderId="0" fillId="8" fontId="14" numFmtId="4" xfId="0" applyAlignment="1" applyFill="1" applyFont="1" applyNumberFormat="1">
      <alignment horizontal="center"/>
    </xf>
    <xf borderId="0" fillId="0" fontId="7" numFmtId="0" xfId="0" applyAlignment="1" applyFont="1">
      <alignment horizontal="center" vertical="center"/>
    </xf>
    <xf borderId="0" fillId="0" fontId="14" numFmtId="0" xfId="0" applyFont="1"/>
    <xf borderId="0" fillId="0" fontId="14" numFmtId="4" xfId="0" applyFont="1" applyNumberFormat="1"/>
    <xf borderId="0" fillId="0" fontId="15" numFmtId="0" xfId="0" applyAlignment="1" applyFont="1">
      <alignment horizontal="center"/>
    </xf>
    <xf borderId="0" fillId="8" fontId="15" numFmtId="0" xfId="0" applyAlignment="1" applyFill="1" applyFont="1">
      <alignment horizontal="center"/>
    </xf>
    <xf borderId="20" fillId="8" fontId="10" numFmtId="0" xfId="0" applyBorder="1" applyFill="1" applyFont="1"/>
    <xf borderId="20" fillId="11" fontId="9" numFmtId="0" xfId="0" applyAlignment="1" applyBorder="1" applyFill="1" applyFont="1">
      <alignment horizontal="center" vertical="bottom"/>
    </xf>
    <xf borderId="20" fillId="11" fontId="9" numFmtId="4" xfId="0" applyAlignment="1" applyBorder="1" applyFill="1" applyFont="1" applyNumberFormat="1">
      <alignment horizontal="center" vertical="bottom"/>
    </xf>
    <xf borderId="20" fillId="11" fontId="9" numFmtId="0" xfId="0" applyAlignment="1" applyBorder="1" applyFill="1" applyFont="1">
      <alignment horizontal="center" vertical="bottom"/>
    </xf>
    <xf borderId="21" fillId="6" fontId="9" numFmtId="0" xfId="0" applyAlignment="1" applyBorder="1" applyFill="1" applyFont="1">
      <alignment horizontal="center" vertical="center"/>
    </xf>
    <xf borderId="18" fillId="18" fontId="2" numFmtId="0" xfId="0" applyBorder="1" applyFill="1" applyFont="1"/>
    <xf borderId="18" fillId="6" fontId="9" numFmtId="0" xfId="0" applyAlignment="1" applyBorder="1" applyFill="1" applyFont="1">
      <alignment horizontal="center" vertical="center"/>
    </xf>
    <xf borderId="20" fillId="6" fontId="9" numFmtId="0" xfId="0" applyAlignment="1" applyBorder="1" applyFill="1" applyFont="1">
      <alignment horizontal="center" readingOrder="0" vertical="bottom"/>
    </xf>
    <xf borderId="10" fillId="15" fontId="9" numFmtId="0" xfId="0" applyAlignment="1" applyBorder="1" applyFill="1" applyFont="1">
      <alignment horizontal="right" vertical="center"/>
    </xf>
    <xf borderId="20" fillId="15" fontId="9" numFmtId="4" xfId="0" applyAlignment="1" applyBorder="1" applyFill="1" applyFont="1" applyNumberFormat="1">
      <alignment horizontal="center" vertical="bottom"/>
    </xf>
    <xf borderId="20" fillId="6" fontId="3" numFmtId="0" xfId="0" applyAlignment="1" applyBorder="1" applyFill="1" applyFont="1">
      <alignment vertical="center"/>
    </xf>
    <xf borderId="20" fillId="6" fontId="3" numFmtId="0" xfId="0" applyAlignment="1" applyBorder="1" applyFill="1" applyFont="1">
      <alignment vertical="bottom"/>
    </xf>
    <xf borderId="20" fillId="6" fontId="3" numFmtId="4" xfId="0" applyAlignment="1" applyBorder="1" applyFill="1" applyFont="1" applyNumberFormat="1">
      <alignment vertical="bottom"/>
    </xf>
    <xf borderId="22" fillId="18" fontId="2" numFmtId="0" xfId="0" applyBorder="1" applyFill="1" applyFont="1"/>
    <xf borderId="20" fillId="8" fontId="8" numFmtId="4" xfId="0" applyAlignment="1" applyBorder="1" applyFill="1" applyFont="1" applyNumberFormat="1">
      <alignment horizontal="center" vertical="bottom"/>
    </xf>
    <xf borderId="15" fillId="18" fontId="2" numFmtId="0" xfId="0" applyBorder="1" applyFill="1" applyFont="1"/>
    <xf borderId="20" fillId="6" fontId="9" numFmtId="0" xfId="0" applyAlignment="1" applyBorder="1" applyFill="1" applyFont="1">
      <alignment horizontal="center" vertical="center"/>
    </xf>
    <xf borderId="20" fillId="15" fontId="9" numFmtId="4" xfId="0" applyAlignment="1" applyBorder="1" applyFill="1" applyFont="1" applyNumberFormat="1">
      <alignment horizontal="center" vertical="bottom"/>
    </xf>
    <xf borderId="0" fillId="8" fontId="16" numFmtId="4" xfId="0" applyAlignment="1" applyFill="1" applyFont="1" applyNumberFormat="1">
      <alignment horizontal="center"/>
    </xf>
    <xf borderId="20" fillId="12" fontId="3" numFmtId="4" xfId="0" applyAlignment="1" applyBorder="1" applyFill="1" applyFont="1" applyNumberFormat="1">
      <alignment vertical="bottom"/>
    </xf>
    <xf borderId="20" fillId="6" fontId="3" numFmtId="0" xfId="0" applyAlignment="1" applyBorder="1" applyFill="1" applyFont="1">
      <alignment vertical="center"/>
    </xf>
    <xf borderId="20" fillId="6" fontId="3" numFmtId="0" xfId="0" applyAlignment="1" applyBorder="1" applyFill="1" applyFont="1">
      <alignment vertical="bottom"/>
    </xf>
    <xf borderId="20" fillId="11" fontId="9" numFmtId="4" xfId="0" applyAlignment="1" applyBorder="1" applyFill="1" applyFont="1" applyNumberFormat="1">
      <alignment horizontal="center" vertical="bottom"/>
    </xf>
    <xf borderId="10" fillId="15" fontId="9" numFmtId="0" xfId="0" applyAlignment="1" applyBorder="1" applyFill="1" applyFont="1">
      <alignment horizontal="right" vertical="center"/>
    </xf>
    <xf borderId="15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24" fillId="0" fontId="10" numFmtId="0" xfId="0" applyBorder="1" applyFont="1"/>
    <xf borderId="15" fillId="11" fontId="9" numFmtId="0" xfId="0" applyAlignment="1" applyBorder="1" applyFill="1" applyFont="1">
      <alignment horizontal="center" vertical="bottom"/>
    </xf>
    <xf borderId="20" fillId="19" fontId="8" numFmtId="0" xfId="0" applyAlignment="1" applyBorder="1" applyFill="1" applyFont="1">
      <alignment horizontal="center" vertical="bottom"/>
    </xf>
    <xf borderId="20" fillId="19" fontId="12" numFmtId="4" xfId="0" applyAlignment="1" applyBorder="1" applyFill="1" applyFont="1" applyNumberFormat="1">
      <alignment horizontal="center" readingOrder="0" vertical="bottom"/>
    </xf>
    <xf borderId="0" fillId="6" fontId="9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21" fillId="6" fontId="9" numFmtId="0" xfId="0" applyAlignment="1" applyBorder="1" applyFill="1" applyFont="1">
      <alignment horizontal="center" readingOrder="0" vertical="center"/>
    </xf>
    <xf borderId="20" fillId="17" fontId="3" numFmtId="4" xfId="0" applyAlignment="1" applyBorder="1" applyFill="1" applyFont="1" applyNumberFormat="1">
      <alignment horizontal="center" vertical="bottom"/>
    </xf>
    <xf borderId="24" fillId="8" fontId="10" numFmtId="0" xfId="0" applyBorder="1" applyFill="1" applyFont="1"/>
    <xf borderId="0" fillId="8" fontId="9" numFmtId="0" xfId="0" applyAlignment="1" applyFill="1" applyFont="1">
      <alignment horizontal="center" readingOrder="0" vertical="center"/>
    </xf>
    <xf borderId="1" fillId="8" fontId="9" numFmtId="0" xfId="0" applyAlignment="1" applyBorder="1" applyFill="1" applyFont="1">
      <alignment horizontal="center" readingOrder="0" vertical="center"/>
    </xf>
    <xf borderId="23" fillId="15" fontId="9" numFmtId="0" xfId="0" applyAlignment="1" applyBorder="1" applyFill="1" applyFont="1">
      <alignment horizontal="right" vertical="center"/>
    </xf>
    <xf borderId="14" fillId="18" fontId="2" numFmtId="0" xfId="0" applyBorder="1" applyFill="1" applyFont="1"/>
  </cellXfs>
  <cellStyles count="1">
    <cellStyle xfId="0" name="Normal" builtinId="0"/>
  </cellStyles>
  <dxfs count="6">
    <dxf>
      <font/>
      <fill>
        <patternFill patternType="solid">
          <fgColor rgb="FFF4C7C3"/>
          <bgColor rgb="FFF4C7C3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2" pivot="0" name="SCORES-style"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98:N98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C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11.13"/>
    <col customWidth="1" min="3" max="3" width="14.0"/>
    <col customWidth="1" min="4" max="4" width="8.63"/>
    <col customWidth="1" min="5" max="5" width="14.63"/>
    <col customWidth="1" min="6" max="6" width="7.5"/>
    <col customWidth="1" min="7" max="7" width="5.13"/>
    <col customWidth="1" min="8" max="8" width="13.25"/>
    <col customWidth="1" min="9" max="9" width="14.0"/>
    <col customWidth="1" min="10" max="10" width="8.63"/>
    <col customWidth="1" min="11" max="11" width="14.63"/>
    <col customWidth="1" min="12" max="12" width="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5" t="s">
        <v>5</v>
      </c>
      <c r="H2" s="1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14" t="s">
        <v>4</v>
      </c>
      <c r="B3" s="16"/>
      <c r="C3" s="18"/>
      <c r="D3" s="16"/>
      <c r="E3" s="16"/>
      <c r="F3" s="16"/>
      <c r="G3" s="16"/>
      <c r="H3" s="2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25" t="s">
        <v>6</v>
      </c>
      <c r="B4" s="17" t="s">
        <v>7</v>
      </c>
      <c r="C4" s="20" t="s">
        <v>8</v>
      </c>
      <c r="D4" s="17" t="s">
        <v>9</v>
      </c>
      <c r="E4" s="27" t="s">
        <v>10</v>
      </c>
      <c r="F4" s="28" t="s">
        <v>11</v>
      </c>
      <c r="H4" s="26" t="s">
        <v>12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29" t="s">
        <v>13</v>
      </c>
      <c r="B5" s="30" t="s">
        <v>14</v>
      </c>
      <c r="C5" s="31">
        <v>46052.99930555555</v>
      </c>
      <c r="D5" s="33" t="s">
        <v>15</v>
      </c>
      <c r="E5" s="34">
        <f t="shared" ref="E5:E25" si="1">IF(D5&lt;&gt;"",IF(E5="",NOW(),E5),"")</f>
        <v>46051.10982</v>
      </c>
      <c r="F5" s="37">
        <f t="shared" ref="F5:F25" si="2">if(D5 = "", 0,IF(E5&lt;C5,0.5,0))</f>
        <v>0.5</v>
      </c>
      <c r="H5" s="38">
        <f t="shared" ref="H5:H25" si="3">if(D5 &lt;&gt; "", ABS(E5-C5), "0")</f>
        <v>1.88948588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39" t="s">
        <v>16</v>
      </c>
      <c r="B6" s="30" t="s">
        <v>14</v>
      </c>
      <c r="C6" s="31">
        <v>46052.99930555555</v>
      </c>
      <c r="D6" s="33" t="s">
        <v>15</v>
      </c>
      <c r="E6" s="34">
        <f t="shared" si="1"/>
        <v>46051.10986</v>
      </c>
      <c r="F6" s="37">
        <f t="shared" si="2"/>
        <v>0.5</v>
      </c>
      <c r="H6" s="38">
        <f t="shared" si="3"/>
        <v>1.889449491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40" t="s">
        <v>17</v>
      </c>
      <c r="B7" s="30" t="s">
        <v>18</v>
      </c>
      <c r="C7" s="31">
        <v>46024.99930555555</v>
      </c>
      <c r="D7" s="41" t="s">
        <v>15</v>
      </c>
      <c r="E7" s="42">
        <f t="shared" si="1"/>
        <v>46023.36035</v>
      </c>
      <c r="F7" s="43">
        <f t="shared" si="2"/>
        <v>0.5</v>
      </c>
      <c r="G7" s="44"/>
      <c r="H7" s="45">
        <f t="shared" si="3"/>
        <v>1.638958785</v>
      </c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</row>
    <row r="8">
      <c r="A8" s="40" t="s">
        <v>19</v>
      </c>
      <c r="B8" s="30" t="s">
        <v>20</v>
      </c>
      <c r="C8" s="31">
        <v>46024.99930555555</v>
      </c>
      <c r="D8" s="41" t="s">
        <v>21</v>
      </c>
      <c r="E8" s="48">
        <f t="shared" si="1"/>
        <v>46023.97142</v>
      </c>
      <c r="F8" s="43">
        <f t="shared" si="2"/>
        <v>0.5</v>
      </c>
      <c r="G8" s="44"/>
      <c r="H8" s="45">
        <f t="shared" si="3"/>
        <v>1.02788735</v>
      </c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</row>
    <row r="9">
      <c r="A9" s="39" t="s">
        <v>22</v>
      </c>
      <c r="B9" s="30" t="s">
        <v>23</v>
      </c>
      <c r="C9" s="31">
        <v>46027.99930555555</v>
      </c>
      <c r="D9" s="41" t="s">
        <v>21</v>
      </c>
      <c r="E9" s="42">
        <f t="shared" si="1"/>
        <v>46027.10325</v>
      </c>
      <c r="F9" s="37">
        <f t="shared" si="2"/>
        <v>0.5</v>
      </c>
      <c r="H9" s="38">
        <f t="shared" si="3"/>
        <v>0.8960598032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39" t="s">
        <v>24</v>
      </c>
      <c r="B10" s="30" t="s">
        <v>23</v>
      </c>
      <c r="C10" s="31">
        <v>46027.99930555555</v>
      </c>
      <c r="D10" s="33" t="s">
        <v>21</v>
      </c>
      <c r="E10" s="52">
        <f t="shared" si="1"/>
        <v>46027.10326</v>
      </c>
      <c r="F10" s="37">
        <f t="shared" si="2"/>
        <v>0.5</v>
      </c>
      <c r="H10" s="38">
        <f t="shared" si="3"/>
        <v>0.8960451968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39" t="s">
        <v>25</v>
      </c>
      <c r="B11" s="30" t="s">
        <v>14</v>
      </c>
      <c r="C11" s="31">
        <v>46030.99930555555</v>
      </c>
      <c r="D11" s="33" t="s">
        <v>15</v>
      </c>
      <c r="E11" s="52">
        <f t="shared" si="1"/>
        <v>46028.98828</v>
      </c>
      <c r="F11" s="37">
        <f t="shared" si="2"/>
        <v>0.5</v>
      </c>
      <c r="H11" s="38">
        <f t="shared" si="3"/>
        <v>2.011024236</v>
      </c>
      <c r="I11" s="3"/>
      <c r="J11" s="4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49" t="s">
        <v>26</v>
      </c>
      <c r="B12" s="30" t="s">
        <v>14</v>
      </c>
      <c r="C12" s="31">
        <v>46030.99930555555</v>
      </c>
      <c r="D12" s="33" t="s">
        <v>15</v>
      </c>
      <c r="E12" s="52">
        <f t="shared" si="1"/>
        <v>46028.98859</v>
      </c>
      <c r="F12" s="37">
        <f t="shared" si="2"/>
        <v>0.5</v>
      </c>
      <c r="H12" s="38">
        <f t="shared" si="3"/>
        <v>2.010714595</v>
      </c>
      <c r="I12" s="3"/>
      <c r="J12" s="4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49" t="s">
        <v>27</v>
      </c>
      <c r="B13" s="30" t="s">
        <v>23</v>
      </c>
      <c r="C13" s="31">
        <v>46031.99930555555</v>
      </c>
      <c r="D13" s="33" t="s">
        <v>21</v>
      </c>
      <c r="E13" s="52">
        <f t="shared" si="1"/>
        <v>46031.41149</v>
      </c>
      <c r="F13" s="37">
        <f t="shared" si="2"/>
        <v>0.5</v>
      </c>
      <c r="H13" s="38">
        <f t="shared" si="3"/>
        <v>0.5878188194</v>
      </c>
      <c r="I13" s="3"/>
      <c r="J13" s="47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49" t="s">
        <v>29</v>
      </c>
      <c r="B14" s="30" t="s">
        <v>30</v>
      </c>
      <c r="C14" s="31">
        <v>46034.99930555555</v>
      </c>
      <c r="D14" s="33" t="s">
        <v>21</v>
      </c>
      <c r="E14" s="52">
        <f t="shared" si="1"/>
        <v>46031.50048</v>
      </c>
      <c r="F14" s="37">
        <f t="shared" si="2"/>
        <v>0.5</v>
      </c>
      <c r="H14" s="38">
        <f t="shared" si="3"/>
        <v>3.498827199</v>
      </c>
      <c r="I14" s="3"/>
      <c r="J14" s="4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49" t="s">
        <v>32</v>
      </c>
      <c r="B15" s="30" t="s">
        <v>20</v>
      </c>
      <c r="C15" s="31">
        <v>46034.99930555555</v>
      </c>
      <c r="D15" s="33" t="s">
        <v>21</v>
      </c>
      <c r="E15" s="52">
        <f t="shared" si="1"/>
        <v>46036.08593</v>
      </c>
      <c r="F15" s="37">
        <f t="shared" si="2"/>
        <v>0</v>
      </c>
      <c r="H15" s="38">
        <f t="shared" si="3"/>
        <v>1.086627153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49" t="s">
        <v>33</v>
      </c>
      <c r="B16" s="30" t="s">
        <v>20</v>
      </c>
      <c r="C16" s="31">
        <v>46037.99930555555</v>
      </c>
      <c r="D16" s="33" t="s">
        <v>21</v>
      </c>
      <c r="E16" s="52">
        <f t="shared" si="1"/>
        <v>46036.08596</v>
      </c>
      <c r="F16" s="37">
        <f t="shared" si="2"/>
        <v>0.5</v>
      </c>
      <c r="H16" s="38">
        <f t="shared" si="3"/>
        <v>1.913349167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49" t="s">
        <v>34</v>
      </c>
      <c r="B17" s="30" t="s">
        <v>30</v>
      </c>
      <c r="C17" s="31">
        <v>46037.99930555555</v>
      </c>
      <c r="D17" s="33" t="s">
        <v>21</v>
      </c>
      <c r="E17" s="52">
        <f t="shared" si="1"/>
        <v>46035.37696</v>
      </c>
      <c r="F17" s="37">
        <f t="shared" si="2"/>
        <v>0.5</v>
      </c>
      <c r="G17" s="4"/>
      <c r="H17" s="38">
        <f t="shared" si="3"/>
        <v>2.622342373</v>
      </c>
      <c r="I17" s="3"/>
      <c r="J17" s="3"/>
      <c r="K17" s="3"/>
      <c r="L17" s="54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49" t="s">
        <v>35</v>
      </c>
      <c r="B18" s="30" t="s">
        <v>14</v>
      </c>
      <c r="C18" s="31">
        <v>46038.99930555555</v>
      </c>
      <c r="D18" s="33" t="s">
        <v>15</v>
      </c>
      <c r="E18" s="52">
        <f t="shared" si="1"/>
        <v>46036.97857</v>
      </c>
      <c r="F18" s="37">
        <f t="shared" si="2"/>
        <v>0.5</v>
      </c>
      <c r="G18" s="4"/>
      <c r="H18" s="38">
        <f t="shared" si="3"/>
        <v>2.020730995</v>
      </c>
      <c r="I18" s="3"/>
      <c r="J18" s="3"/>
      <c r="K18" s="3"/>
      <c r="L18" s="54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49" t="s">
        <v>36</v>
      </c>
      <c r="B19" s="30" t="s">
        <v>37</v>
      </c>
      <c r="C19" s="31">
        <v>46038.99930555555</v>
      </c>
      <c r="D19" s="33" t="s">
        <v>21</v>
      </c>
      <c r="E19" s="52">
        <f t="shared" si="1"/>
        <v>46038.33294</v>
      </c>
      <c r="F19" s="37">
        <f t="shared" si="2"/>
        <v>0.5</v>
      </c>
      <c r="G19" s="4"/>
      <c r="H19" s="38">
        <f t="shared" si="3"/>
        <v>0.6663676852</v>
      </c>
      <c r="I19" s="3"/>
      <c r="J19" s="3"/>
      <c r="K19" s="3"/>
      <c r="L19" s="54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49" t="s">
        <v>38</v>
      </c>
      <c r="B20" s="30" t="s">
        <v>30</v>
      </c>
      <c r="C20" s="31">
        <v>46043.99930555555</v>
      </c>
      <c r="D20" s="33" t="s">
        <v>21</v>
      </c>
      <c r="E20" s="34">
        <f t="shared" si="1"/>
        <v>46041.03512</v>
      </c>
      <c r="F20" s="37">
        <f t="shared" si="2"/>
        <v>0.5</v>
      </c>
      <c r="G20" s="4"/>
      <c r="H20" s="38">
        <f t="shared" si="3"/>
        <v>2.964183137</v>
      </c>
      <c r="I20" s="3"/>
      <c r="J20" s="3"/>
      <c r="K20" s="3"/>
      <c r="L20" s="54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49" t="s">
        <v>39</v>
      </c>
      <c r="B21" s="30" t="s">
        <v>18</v>
      </c>
      <c r="C21" s="31">
        <v>46043.99930555555</v>
      </c>
      <c r="D21" s="33" t="s">
        <v>15</v>
      </c>
      <c r="E21" s="52">
        <f t="shared" si="1"/>
        <v>46042.46414</v>
      </c>
      <c r="F21" s="37">
        <f t="shared" si="2"/>
        <v>0.5</v>
      </c>
      <c r="G21" s="4"/>
      <c r="H21" s="38">
        <f t="shared" si="3"/>
        <v>1.535166343</v>
      </c>
      <c r="I21" s="3"/>
      <c r="J21" s="3"/>
      <c r="K21" s="47"/>
      <c r="L21" s="54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49" t="s">
        <v>40</v>
      </c>
      <c r="B22" s="30" t="s">
        <v>37</v>
      </c>
      <c r="C22" s="31">
        <v>46045.99930555555</v>
      </c>
      <c r="D22" s="33" t="s">
        <v>21</v>
      </c>
      <c r="E22" s="34">
        <f t="shared" si="1"/>
        <v>46044.98909</v>
      </c>
      <c r="F22" s="37">
        <f t="shared" si="2"/>
        <v>0.5</v>
      </c>
      <c r="G22" s="4"/>
      <c r="H22" s="38">
        <f t="shared" si="3"/>
        <v>1.010215579</v>
      </c>
      <c r="I22" s="3"/>
      <c r="J22" s="3"/>
      <c r="K22" s="47"/>
      <c r="L22" s="54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49" t="s">
        <v>41</v>
      </c>
      <c r="B23" s="30" t="s">
        <v>18</v>
      </c>
      <c r="C23" s="31">
        <v>46045.99930555555</v>
      </c>
      <c r="D23" s="33" t="s">
        <v>15</v>
      </c>
      <c r="E23" s="52">
        <f t="shared" si="1"/>
        <v>46044.50212</v>
      </c>
      <c r="F23" s="37">
        <f t="shared" si="2"/>
        <v>0.5</v>
      </c>
      <c r="G23" s="4"/>
      <c r="H23" s="38">
        <f t="shared" si="3"/>
        <v>1.497183634</v>
      </c>
      <c r="I23" s="3"/>
      <c r="J23" s="3"/>
      <c r="K23" s="47"/>
      <c r="L23" s="54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49" t="s">
        <v>42</v>
      </c>
      <c r="B24" s="30" t="s">
        <v>23</v>
      </c>
      <c r="C24" s="31">
        <v>46048.99930555555</v>
      </c>
      <c r="D24" s="33" t="s">
        <v>21</v>
      </c>
      <c r="E24" s="52">
        <f t="shared" si="1"/>
        <v>46048.07409</v>
      </c>
      <c r="F24" s="37">
        <f t="shared" si="2"/>
        <v>0.5</v>
      </c>
      <c r="G24" s="4"/>
      <c r="H24" s="38">
        <f t="shared" si="3"/>
        <v>0.9252200694</v>
      </c>
      <c r="I24" s="3"/>
      <c r="J24" s="3"/>
      <c r="K24" s="3"/>
      <c r="L24" s="54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55" t="s">
        <v>43</v>
      </c>
      <c r="B25" s="30" t="s">
        <v>37</v>
      </c>
      <c r="C25" s="31">
        <v>46048.99930555555</v>
      </c>
      <c r="D25" s="33" t="s">
        <v>49</v>
      </c>
      <c r="E25" s="52">
        <f t="shared" si="1"/>
        <v>46048.20087</v>
      </c>
      <c r="F25" s="57">
        <f t="shared" si="2"/>
        <v>0.5</v>
      </c>
      <c r="G25" s="4"/>
      <c r="H25" s="38">
        <f t="shared" si="3"/>
        <v>0.7984361111</v>
      </c>
      <c r="I25" s="3"/>
      <c r="J25" s="3"/>
      <c r="K25" s="3"/>
      <c r="L25" s="54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59" t="s">
        <v>44</v>
      </c>
      <c r="B26" s="60"/>
      <c r="C26" s="67"/>
      <c r="D26" s="60"/>
      <c r="E26" s="60"/>
      <c r="F26" s="60"/>
      <c r="G26" s="60"/>
      <c r="H26" s="61"/>
      <c r="I26" s="3"/>
      <c r="J26" s="3"/>
      <c r="K26" s="3"/>
      <c r="L26" s="54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63" t="s">
        <v>6</v>
      </c>
      <c r="B27" s="17" t="s">
        <v>7</v>
      </c>
      <c r="C27" s="20" t="s">
        <v>8</v>
      </c>
      <c r="D27" s="65" t="s">
        <v>9</v>
      </c>
      <c r="E27" s="27" t="s">
        <v>10</v>
      </c>
      <c r="F27" s="28" t="s">
        <v>11</v>
      </c>
      <c r="G27" s="4"/>
      <c r="H27" s="26" t="s">
        <v>12</v>
      </c>
      <c r="I27" s="3"/>
      <c r="J27" s="3"/>
      <c r="K27" s="3"/>
      <c r="L27" s="54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29" t="s">
        <v>45</v>
      </c>
      <c r="B28" s="30" t="s">
        <v>20</v>
      </c>
      <c r="C28" s="31">
        <v>46052.99930555555</v>
      </c>
      <c r="D28" s="33" t="s">
        <v>21</v>
      </c>
      <c r="E28" s="34">
        <f t="shared" ref="E28:E39" si="4">IF(D28&lt;&gt;"",IF(E28="",NOW(),E28),"")</f>
        <v>46051.37304</v>
      </c>
      <c r="F28" s="37">
        <f t="shared" ref="F28:F39" si="5">if(D28 = "", 0,IF(E28&lt;C28,0.5,0))</f>
        <v>0.5</v>
      </c>
      <c r="G28" s="4"/>
      <c r="H28" s="38">
        <f t="shared" ref="H28:H39" si="6">if(D28 &lt;&gt; "", ABS(E28-C28), "0")</f>
        <v>1.626266979</v>
      </c>
      <c r="I28" s="3"/>
      <c r="J28" s="3"/>
      <c r="K28" s="3"/>
      <c r="L28" s="54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68" t="s">
        <v>46</v>
      </c>
      <c r="B29" s="30" t="s">
        <v>20</v>
      </c>
      <c r="C29" s="31">
        <v>46052.99930555555</v>
      </c>
      <c r="D29" s="33" t="s">
        <v>21</v>
      </c>
      <c r="E29" s="34">
        <f t="shared" si="4"/>
        <v>46051.37306</v>
      </c>
      <c r="F29" s="37">
        <f t="shared" si="5"/>
        <v>0.5</v>
      </c>
      <c r="G29" s="4"/>
      <c r="H29" s="38">
        <f t="shared" si="6"/>
        <v>1.62624485</v>
      </c>
      <c r="I29" s="3"/>
      <c r="J29" s="3"/>
      <c r="K29" s="3"/>
      <c r="L29" s="54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77" t="s">
        <v>47</v>
      </c>
      <c r="B30" s="30" t="s">
        <v>23</v>
      </c>
      <c r="C30" s="31">
        <v>46024.99930555555</v>
      </c>
      <c r="D30" s="41" t="s">
        <v>21</v>
      </c>
      <c r="E30" s="48">
        <f t="shared" si="4"/>
        <v>46023.16352</v>
      </c>
      <c r="F30" s="43">
        <f t="shared" si="5"/>
        <v>0.5</v>
      </c>
      <c r="G30" s="78"/>
      <c r="H30" s="45">
        <f t="shared" si="6"/>
        <v>1.835788912</v>
      </c>
      <c r="I30" s="46"/>
      <c r="J30" s="46"/>
      <c r="K30" s="46"/>
      <c r="L30" s="79"/>
      <c r="M30" s="46"/>
      <c r="N30" s="46"/>
      <c r="O30" s="46"/>
      <c r="P30" s="46"/>
      <c r="Q30" s="46"/>
      <c r="R30" s="46"/>
      <c r="S30" s="46"/>
      <c r="T30" s="46"/>
      <c r="U30" s="46"/>
      <c r="V30" s="46"/>
    </row>
    <row r="31">
      <c r="A31" s="68" t="s">
        <v>48</v>
      </c>
      <c r="B31" s="30" t="s">
        <v>14</v>
      </c>
      <c r="C31" s="31">
        <v>46027.99930555555</v>
      </c>
      <c r="D31" s="33" t="s">
        <v>15</v>
      </c>
      <c r="E31" s="34">
        <f t="shared" si="4"/>
        <v>46026.9342</v>
      </c>
      <c r="F31" s="37">
        <f t="shared" si="5"/>
        <v>0.5</v>
      </c>
      <c r="G31" s="4"/>
      <c r="H31" s="38">
        <f t="shared" si="6"/>
        <v>1.065108681</v>
      </c>
      <c r="I31" s="3"/>
      <c r="J31" s="3"/>
      <c r="K31" s="3"/>
      <c r="L31" s="54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69" t="s">
        <v>50</v>
      </c>
      <c r="B32" s="30" t="s">
        <v>23</v>
      </c>
      <c r="C32" s="31">
        <v>46030.99930555555</v>
      </c>
      <c r="D32" s="33" t="s">
        <v>21</v>
      </c>
      <c r="E32" s="34">
        <f t="shared" si="4"/>
        <v>46029.14912</v>
      </c>
      <c r="F32" s="37">
        <f t="shared" si="5"/>
        <v>0.5</v>
      </c>
      <c r="G32" s="4"/>
      <c r="H32" s="38">
        <f t="shared" si="6"/>
        <v>1.850188021</v>
      </c>
      <c r="I32" s="3"/>
      <c r="J32" s="3"/>
      <c r="K32" s="3"/>
      <c r="L32" s="54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69" t="s">
        <v>51</v>
      </c>
      <c r="B33" s="30" t="s">
        <v>20</v>
      </c>
      <c r="C33" s="31">
        <v>46034.99930555555</v>
      </c>
      <c r="D33" s="33" t="s">
        <v>21</v>
      </c>
      <c r="E33" s="34">
        <f t="shared" si="4"/>
        <v>46036.08605</v>
      </c>
      <c r="F33" s="37">
        <f t="shared" si="5"/>
        <v>0</v>
      </c>
      <c r="G33" s="4"/>
      <c r="H33" s="38">
        <f t="shared" si="6"/>
        <v>1.086747431</v>
      </c>
      <c r="I33" s="3"/>
      <c r="J33" s="3"/>
      <c r="K33" s="3"/>
      <c r="L33" s="54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69" t="s">
        <v>52</v>
      </c>
      <c r="B34" s="30" t="s">
        <v>14</v>
      </c>
      <c r="C34" s="31">
        <v>46037.99930555555</v>
      </c>
      <c r="D34" s="33" t="s">
        <v>15</v>
      </c>
      <c r="E34" s="34">
        <f t="shared" si="4"/>
        <v>46036.1265</v>
      </c>
      <c r="F34" s="37">
        <f t="shared" si="5"/>
        <v>0.5</v>
      </c>
      <c r="G34" s="4"/>
      <c r="H34" s="38">
        <f t="shared" si="6"/>
        <v>1.872809039</v>
      </c>
      <c r="I34" s="3"/>
      <c r="J34" s="3"/>
      <c r="K34" s="3"/>
      <c r="L34" s="54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69" t="s">
        <v>53</v>
      </c>
      <c r="B35" s="30" t="s">
        <v>20</v>
      </c>
      <c r="C35" s="31">
        <v>46038.99930555555</v>
      </c>
      <c r="D35" s="33" t="s">
        <v>21</v>
      </c>
      <c r="E35" s="34">
        <f t="shared" si="4"/>
        <v>46037.44368</v>
      </c>
      <c r="F35" s="37">
        <f t="shared" si="5"/>
        <v>0.5</v>
      </c>
      <c r="G35" s="4"/>
      <c r="H35" s="38">
        <f t="shared" si="6"/>
        <v>1.555627245</v>
      </c>
      <c r="I35" s="74"/>
      <c r="J35" s="74"/>
      <c r="K35" s="3"/>
      <c r="L35" s="54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69" t="s">
        <v>54</v>
      </c>
      <c r="B36" s="30" t="s">
        <v>55</v>
      </c>
      <c r="C36" s="31">
        <v>46043.99930555555</v>
      </c>
      <c r="D36" s="33" t="s">
        <v>21</v>
      </c>
      <c r="E36" s="34">
        <f t="shared" si="4"/>
        <v>46043.34498</v>
      </c>
      <c r="F36" s="37">
        <f t="shared" si="5"/>
        <v>0.5</v>
      </c>
      <c r="G36" s="4"/>
      <c r="H36" s="38">
        <f t="shared" si="6"/>
        <v>0.6543241667</v>
      </c>
      <c r="I36" s="3"/>
      <c r="J36" s="74"/>
      <c r="K36" s="74"/>
      <c r="L36" s="54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69" t="s">
        <v>56</v>
      </c>
      <c r="B37" s="30" t="s">
        <v>55</v>
      </c>
      <c r="C37" s="31">
        <v>46045.99930555555</v>
      </c>
      <c r="D37" s="33" t="s">
        <v>21</v>
      </c>
      <c r="E37" s="34">
        <f t="shared" si="4"/>
        <v>46048.28895</v>
      </c>
      <c r="F37" s="37">
        <f t="shared" si="5"/>
        <v>0</v>
      </c>
      <c r="G37" s="4"/>
      <c r="H37" s="38">
        <f t="shared" si="6"/>
        <v>2.289643356</v>
      </c>
      <c r="I37" s="3"/>
      <c r="J37" s="74"/>
      <c r="K37" s="74"/>
      <c r="L37" s="54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69" t="s">
        <v>57</v>
      </c>
      <c r="B38" s="30" t="s">
        <v>55</v>
      </c>
      <c r="C38" s="31">
        <v>46048.99930555555</v>
      </c>
      <c r="D38" s="33" t="s">
        <v>21</v>
      </c>
      <c r="E38" s="34">
        <f t="shared" si="4"/>
        <v>46048.28896</v>
      </c>
      <c r="F38" s="37">
        <f t="shared" si="5"/>
        <v>0.5</v>
      </c>
      <c r="G38" s="4"/>
      <c r="H38" s="38">
        <f t="shared" si="6"/>
        <v>0.7103458681</v>
      </c>
      <c r="I38" s="3"/>
      <c r="J38" s="74"/>
      <c r="K38" s="74"/>
      <c r="L38" s="54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69" t="s">
        <v>58</v>
      </c>
      <c r="B39" s="30" t="s">
        <v>37</v>
      </c>
      <c r="C39" s="31">
        <v>46048.99930555555</v>
      </c>
      <c r="D39" s="33"/>
      <c r="E39" s="34" t="str">
        <f t="shared" si="4"/>
        <v/>
      </c>
      <c r="F39" s="37">
        <f t="shared" si="5"/>
        <v>0</v>
      </c>
      <c r="G39" s="4"/>
      <c r="H39" s="38" t="str">
        <f t="shared" si="6"/>
        <v>0</v>
      </c>
      <c r="I39" s="3"/>
      <c r="J39" s="74"/>
      <c r="K39" s="74"/>
      <c r="L39" s="54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3"/>
      <c r="B40" s="3"/>
      <c r="C40" s="3"/>
      <c r="D40" s="3"/>
      <c r="E40" s="80"/>
      <c r="F40" s="54"/>
      <c r="G40" s="3"/>
      <c r="H40" s="3"/>
      <c r="I40" s="3"/>
      <c r="J40" s="74"/>
      <c r="K40" s="74"/>
      <c r="L40" s="54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3"/>
      <c r="B41" s="3"/>
      <c r="C41" s="3"/>
      <c r="D41" s="3"/>
      <c r="E41" s="80"/>
      <c r="F41" s="54"/>
      <c r="G41" s="3"/>
      <c r="H41" s="3"/>
      <c r="I41" s="3"/>
      <c r="J41" s="74"/>
      <c r="K41" s="74"/>
      <c r="L41" s="54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3"/>
      <c r="B42" s="3"/>
      <c r="C42" s="3"/>
      <c r="D42" s="3"/>
      <c r="E42" s="80"/>
      <c r="F42" s="54"/>
      <c r="G42" s="3"/>
      <c r="H42" s="3"/>
      <c r="I42" s="3"/>
      <c r="J42" s="3"/>
      <c r="K42" s="3"/>
      <c r="L42" s="54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3"/>
      <c r="B43" s="3"/>
      <c r="C43" s="3"/>
      <c r="D43" s="3"/>
      <c r="E43" s="80"/>
      <c r="F43" s="54"/>
      <c r="G43" s="3"/>
      <c r="H43" s="3"/>
      <c r="I43" s="3"/>
      <c r="J43" s="3"/>
      <c r="K43" s="3"/>
      <c r="L43" s="54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3"/>
      <c r="B44" s="3"/>
      <c r="C44" s="3"/>
      <c r="D44" s="3"/>
      <c r="E44" s="80"/>
      <c r="F44" s="54"/>
      <c r="G44" s="3"/>
      <c r="H44" s="3"/>
      <c r="I44" s="3"/>
      <c r="J44" s="3"/>
      <c r="K44" s="3"/>
      <c r="L44" s="54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3"/>
      <c r="B45" s="3"/>
      <c r="C45" s="3"/>
      <c r="D45" s="3"/>
      <c r="E45" s="80"/>
      <c r="F45" s="54"/>
      <c r="G45" s="3"/>
      <c r="H45" s="3"/>
      <c r="I45" s="3"/>
      <c r="J45" s="3"/>
      <c r="K45" s="3"/>
      <c r="L45" s="54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3"/>
      <c r="B46" s="3"/>
      <c r="C46" s="3"/>
      <c r="D46" s="3"/>
      <c r="E46" s="80"/>
      <c r="F46" s="54"/>
      <c r="G46" s="3"/>
      <c r="H46" s="3"/>
      <c r="I46" s="3"/>
      <c r="J46" s="3"/>
      <c r="K46" s="3"/>
      <c r="L46" s="54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3"/>
      <c r="B47" s="3"/>
      <c r="C47" s="3"/>
      <c r="D47" s="3"/>
      <c r="E47" s="80"/>
      <c r="F47" s="54"/>
      <c r="G47" s="3"/>
      <c r="H47" s="3"/>
      <c r="I47" s="3"/>
      <c r="J47" s="3"/>
      <c r="K47" s="3"/>
      <c r="L47" s="54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3"/>
      <c r="B48" s="3"/>
      <c r="C48" s="3"/>
      <c r="D48" s="3"/>
      <c r="E48" s="80"/>
      <c r="F48" s="54"/>
      <c r="G48" s="3"/>
      <c r="H48" s="3"/>
      <c r="I48" s="3"/>
      <c r="J48" s="3"/>
      <c r="K48" s="3"/>
      <c r="L48" s="54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3"/>
      <c r="B49" s="3"/>
      <c r="C49" s="3"/>
      <c r="D49" s="3"/>
      <c r="E49" s="80"/>
      <c r="F49" s="54"/>
      <c r="G49" s="3"/>
      <c r="H49" s="3"/>
      <c r="I49" s="3"/>
      <c r="J49" s="3"/>
      <c r="K49" s="3"/>
      <c r="L49" s="54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3"/>
      <c r="B50" s="3"/>
      <c r="C50" s="3"/>
      <c r="D50" s="3"/>
      <c r="E50" s="80"/>
      <c r="F50" s="54"/>
      <c r="G50" s="3"/>
      <c r="H50" s="3"/>
      <c r="I50" s="3"/>
      <c r="J50" s="3"/>
      <c r="K50" s="3"/>
      <c r="L50" s="54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3"/>
      <c r="B51" s="3"/>
      <c r="C51" s="3"/>
      <c r="D51" s="3"/>
      <c r="E51" s="80"/>
      <c r="F51" s="54"/>
      <c r="G51" s="3"/>
      <c r="H51" s="3"/>
      <c r="I51" s="3"/>
      <c r="J51" s="3"/>
      <c r="K51" s="3"/>
      <c r="L51" s="54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3"/>
      <c r="B52" s="3"/>
      <c r="C52" s="3"/>
      <c r="D52" s="3"/>
      <c r="E52" s="80"/>
      <c r="F52" s="54"/>
      <c r="G52" s="3"/>
      <c r="H52" s="3"/>
      <c r="I52" s="3"/>
      <c r="J52" s="3"/>
      <c r="K52" s="3"/>
      <c r="L52" s="54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3"/>
      <c r="B53" s="3"/>
      <c r="C53" s="3"/>
      <c r="D53" s="3"/>
      <c r="E53" s="80"/>
      <c r="F53" s="54"/>
      <c r="G53" s="3"/>
      <c r="H53" s="3"/>
      <c r="I53" s="3"/>
      <c r="J53" s="3"/>
      <c r="K53" s="3"/>
      <c r="L53" s="54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3"/>
      <c r="B54" s="3"/>
      <c r="C54" s="3"/>
      <c r="D54" s="3"/>
      <c r="E54" s="80"/>
      <c r="F54" s="54"/>
      <c r="G54" s="3"/>
      <c r="H54" s="3"/>
      <c r="I54" s="3"/>
      <c r="J54" s="3"/>
      <c r="K54" s="3"/>
      <c r="L54" s="54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3"/>
      <c r="B55" s="3"/>
      <c r="C55" s="3"/>
      <c r="D55" s="3"/>
      <c r="E55" s="80"/>
      <c r="F55" s="54"/>
      <c r="G55" s="3"/>
      <c r="H55" s="3"/>
      <c r="I55" s="3"/>
      <c r="J55" s="3"/>
      <c r="K55" s="3"/>
      <c r="L55" s="54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3"/>
      <c r="B56" s="3"/>
      <c r="C56" s="3"/>
      <c r="D56" s="3"/>
      <c r="E56" s="80"/>
      <c r="F56" s="54"/>
      <c r="G56" s="3"/>
      <c r="H56" s="3"/>
      <c r="I56" s="3"/>
      <c r="J56" s="3"/>
      <c r="K56" s="3"/>
      <c r="L56" s="54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3"/>
      <c r="B57" s="3"/>
      <c r="C57" s="3"/>
      <c r="D57" s="3"/>
      <c r="E57" s="80"/>
      <c r="F57" s="54"/>
      <c r="G57" s="3"/>
      <c r="H57" s="3"/>
      <c r="I57" s="3"/>
      <c r="J57" s="3"/>
      <c r="K57" s="3"/>
      <c r="L57" s="54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3"/>
      <c r="B58" s="3"/>
      <c r="C58" s="3"/>
      <c r="D58" s="3"/>
      <c r="E58" s="80"/>
      <c r="F58" s="54"/>
      <c r="G58" s="3"/>
      <c r="H58" s="3"/>
      <c r="I58" s="3"/>
      <c r="J58" s="3"/>
      <c r="K58" s="3"/>
      <c r="L58" s="54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3"/>
      <c r="B59" s="3"/>
      <c r="C59" s="3"/>
      <c r="D59" s="3"/>
      <c r="E59" s="80"/>
      <c r="F59" s="54"/>
      <c r="G59" s="3"/>
      <c r="H59" s="3"/>
      <c r="I59" s="3"/>
      <c r="J59" s="3"/>
      <c r="K59" s="3"/>
      <c r="L59" s="54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3"/>
      <c r="B60" s="3"/>
      <c r="C60" s="3"/>
      <c r="D60" s="3"/>
      <c r="E60" s="80"/>
      <c r="F60" s="54"/>
      <c r="G60" s="3"/>
      <c r="H60" s="3"/>
      <c r="I60" s="3"/>
      <c r="J60" s="3"/>
      <c r="K60" s="3"/>
      <c r="L60" s="54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3"/>
      <c r="B61" s="3"/>
      <c r="C61" s="3"/>
      <c r="D61" s="3"/>
      <c r="E61" s="80"/>
      <c r="F61" s="54"/>
      <c r="G61" s="3"/>
      <c r="H61" s="3"/>
      <c r="I61" s="3"/>
      <c r="J61" s="3"/>
      <c r="K61" s="3"/>
      <c r="L61" s="54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3"/>
      <c r="B62" s="3"/>
      <c r="C62" s="3"/>
      <c r="D62" s="3"/>
      <c r="E62" s="80"/>
      <c r="F62" s="54"/>
      <c r="G62" s="3"/>
      <c r="H62" s="3"/>
      <c r="I62" s="3"/>
      <c r="J62" s="3"/>
      <c r="K62" s="3"/>
      <c r="L62" s="54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3"/>
      <c r="B63" s="3"/>
      <c r="C63" s="3"/>
      <c r="D63" s="3"/>
      <c r="E63" s="80"/>
      <c r="F63" s="54"/>
      <c r="G63" s="3"/>
      <c r="H63" s="3"/>
      <c r="I63" s="3"/>
      <c r="J63" s="3"/>
      <c r="K63" s="3"/>
      <c r="L63" s="54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3"/>
      <c r="B64" s="3"/>
      <c r="C64" s="3"/>
      <c r="D64" s="3"/>
      <c r="E64" s="80"/>
      <c r="F64" s="54"/>
      <c r="G64" s="3"/>
      <c r="H64" s="3"/>
      <c r="I64" s="3"/>
      <c r="J64" s="3"/>
      <c r="K64" s="3"/>
      <c r="L64" s="54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3"/>
      <c r="B65" s="3"/>
      <c r="C65" s="3"/>
      <c r="D65" s="3"/>
      <c r="E65" s="80"/>
      <c r="F65" s="54"/>
      <c r="G65" s="3"/>
      <c r="H65" s="3"/>
      <c r="I65" s="3"/>
      <c r="J65" s="3"/>
      <c r="K65" s="3"/>
      <c r="L65" s="54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3"/>
      <c r="B66" s="3"/>
      <c r="C66" s="3"/>
      <c r="D66" s="3"/>
      <c r="E66" s="80"/>
      <c r="F66" s="54"/>
      <c r="G66" s="3"/>
      <c r="H66" s="3"/>
      <c r="I66" s="3"/>
      <c r="J66" s="3"/>
      <c r="K66" s="3"/>
      <c r="L66" s="54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3"/>
      <c r="B67" s="3"/>
      <c r="C67" s="3"/>
      <c r="D67" s="3"/>
      <c r="E67" s="80"/>
      <c r="F67" s="54"/>
      <c r="G67" s="3"/>
      <c r="H67" s="3"/>
      <c r="I67" s="3"/>
      <c r="J67" s="3"/>
      <c r="K67" s="3"/>
      <c r="L67" s="54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3"/>
      <c r="B68" s="3"/>
      <c r="C68" s="3"/>
      <c r="D68" s="3"/>
      <c r="E68" s="80"/>
      <c r="F68" s="54"/>
      <c r="G68" s="3"/>
      <c r="H68" s="3"/>
      <c r="I68" s="3"/>
      <c r="J68" s="3"/>
      <c r="K68" s="3"/>
      <c r="L68" s="54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3"/>
      <c r="B69" s="3"/>
      <c r="C69" s="3"/>
      <c r="D69" s="3"/>
      <c r="E69" s="80"/>
      <c r="F69" s="54"/>
      <c r="G69" s="3"/>
      <c r="H69" s="3"/>
      <c r="I69" s="3"/>
      <c r="J69" s="3"/>
      <c r="K69" s="3"/>
      <c r="L69" s="54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3"/>
      <c r="B70" s="3"/>
      <c r="C70" s="3"/>
      <c r="D70" s="3"/>
      <c r="E70" s="80"/>
      <c r="F70" s="54"/>
      <c r="G70" s="3"/>
      <c r="H70" s="3"/>
      <c r="I70" s="3"/>
      <c r="J70" s="3"/>
      <c r="K70" s="3"/>
      <c r="L70" s="54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3"/>
      <c r="B71" s="3"/>
      <c r="C71" s="3"/>
      <c r="D71" s="3"/>
      <c r="E71" s="80"/>
      <c r="F71" s="54"/>
      <c r="G71" s="3"/>
      <c r="H71" s="3"/>
      <c r="I71" s="3"/>
      <c r="J71" s="3"/>
      <c r="K71" s="3"/>
      <c r="L71" s="54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3"/>
      <c r="B72" s="3"/>
      <c r="C72" s="3"/>
      <c r="D72" s="3"/>
      <c r="E72" s="80"/>
      <c r="F72" s="54"/>
      <c r="G72" s="3"/>
      <c r="H72" s="3"/>
      <c r="I72" s="3"/>
      <c r="J72" s="3"/>
      <c r="K72" s="3"/>
      <c r="L72" s="54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3"/>
      <c r="B73" s="3"/>
      <c r="C73" s="3"/>
      <c r="D73" s="3"/>
      <c r="E73" s="80"/>
      <c r="F73" s="54"/>
      <c r="G73" s="3"/>
      <c r="H73" s="3"/>
      <c r="I73" s="3"/>
      <c r="J73" s="3"/>
      <c r="K73" s="3"/>
      <c r="L73" s="54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3"/>
      <c r="B74" s="3"/>
      <c r="C74" s="3"/>
      <c r="D74" s="3"/>
      <c r="E74" s="80"/>
      <c r="F74" s="54"/>
      <c r="G74" s="3"/>
      <c r="H74" s="3"/>
      <c r="I74" s="3"/>
      <c r="J74" s="3"/>
      <c r="K74" s="3"/>
      <c r="L74" s="54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3"/>
      <c r="B75" s="3"/>
      <c r="C75" s="3"/>
      <c r="D75" s="3"/>
      <c r="E75" s="80"/>
      <c r="F75" s="54"/>
      <c r="G75" s="3"/>
      <c r="H75" s="3"/>
      <c r="I75" s="3"/>
      <c r="J75" s="3"/>
      <c r="K75" s="3"/>
      <c r="L75" s="54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3"/>
      <c r="B76" s="3"/>
      <c r="C76" s="3"/>
      <c r="D76" s="3"/>
      <c r="E76" s="80"/>
      <c r="F76" s="54"/>
      <c r="G76" s="3"/>
      <c r="H76" s="3"/>
      <c r="I76" s="3"/>
      <c r="J76" s="3"/>
      <c r="K76" s="3"/>
      <c r="L76" s="54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3"/>
      <c r="B77" s="3"/>
      <c r="C77" s="3"/>
      <c r="D77" s="3"/>
      <c r="E77" s="80"/>
      <c r="F77" s="54"/>
      <c r="G77" s="3"/>
      <c r="H77" s="3"/>
      <c r="I77" s="3"/>
      <c r="J77" s="3"/>
      <c r="K77" s="3"/>
      <c r="L77" s="54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3"/>
      <c r="B78" s="3"/>
      <c r="C78" s="3"/>
      <c r="D78" s="3"/>
      <c r="E78" s="80"/>
      <c r="F78" s="54"/>
      <c r="G78" s="3"/>
      <c r="H78" s="3"/>
      <c r="I78" s="3"/>
      <c r="J78" s="3"/>
      <c r="K78" s="3"/>
      <c r="L78" s="54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3"/>
      <c r="B79" s="3"/>
      <c r="C79" s="3"/>
      <c r="D79" s="3"/>
      <c r="E79" s="80"/>
      <c r="F79" s="54"/>
      <c r="G79" s="3"/>
      <c r="H79" s="3"/>
      <c r="I79" s="3"/>
      <c r="J79" s="3"/>
      <c r="K79" s="3"/>
      <c r="L79" s="54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3"/>
      <c r="B80" s="3"/>
      <c r="C80" s="3"/>
      <c r="D80" s="3"/>
      <c r="E80" s="80"/>
      <c r="F80" s="54"/>
      <c r="G80" s="3"/>
      <c r="H80" s="3"/>
      <c r="I80" s="3"/>
      <c r="J80" s="3"/>
      <c r="K80" s="3"/>
      <c r="L80" s="54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3"/>
      <c r="B81" s="3"/>
      <c r="C81" s="3"/>
      <c r="D81" s="3"/>
      <c r="E81" s="80"/>
      <c r="F81" s="54"/>
      <c r="G81" s="3"/>
      <c r="H81" s="3"/>
      <c r="I81" s="3"/>
      <c r="J81" s="3"/>
      <c r="K81" s="3"/>
      <c r="L81" s="54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3"/>
      <c r="B82" s="3"/>
      <c r="C82" s="3"/>
      <c r="D82" s="3"/>
      <c r="E82" s="80"/>
      <c r="F82" s="54"/>
      <c r="G82" s="3"/>
      <c r="H82" s="3"/>
      <c r="I82" s="3"/>
      <c r="J82" s="3"/>
      <c r="K82" s="3"/>
      <c r="L82" s="54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3"/>
      <c r="B83" s="3"/>
      <c r="C83" s="3"/>
      <c r="D83" s="3"/>
      <c r="E83" s="80"/>
      <c r="F83" s="54"/>
      <c r="G83" s="3"/>
      <c r="H83" s="3"/>
      <c r="I83" s="3"/>
      <c r="J83" s="3"/>
      <c r="K83" s="3"/>
      <c r="L83" s="54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3"/>
      <c r="B84" s="3"/>
      <c r="C84" s="3"/>
      <c r="D84" s="3"/>
      <c r="E84" s="80"/>
      <c r="F84" s="54"/>
      <c r="G84" s="3"/>
      <c r="H84" s="3"/>
      <c r="I84" s="3"/>
      <c r="J84" s="3"/>
      <c r="K84" s="3"/>
      <c r="L84" s="54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3"/>
      <c r="B85" s="3"/>
      <c r="C85" s="3"/>
      <c r="D85" s="3"/>
      <c r="E85" s="80"/>
      <c r="F85" s="54"/>
      <c r="G85" s="3"/>
      <c r="H85" s="3"/>
      <c r="I85" s="3"/>
      <c r="J85" s="3"/>
      <c r="K85" s="3"/>
      <c r="L85" s="54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3"/>
      <c r="B86" s="3"/>
      <c r="C86" s="3"/>
      <c r="D86" s="3"/>
      <c r="E86" s="80"/>
      <c r="F86" s="54"/>
      <c r="G86" s="3"/>
      <c r="H86" s="3"/>
      <c r="I86" s="3"/>
      <c r="J86" s="3"/>
      <c r="K86" s="3"/>
      <c r="L86" s="54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3"/>
      <c r="B87" s="3"/>
      <c r="C87" s="3"/>
      <c r="D87" s="3"/>
      <c r="E87" s="80"/>
      <c r="F87" s="54"/>
      <c r="G87" s="3"/>
      <c r="H87" s="3"/>
      <c r="I87" s="3"/>
      <c r="J87" s="3"/>
      <c r="K87" s="3"/>
      <c r="L87" s="54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3"/>
      <c r="B88" s="3"/>
      <c r="C88" s="3"/>
      <c r="D88" s="3"/>
      <c r="E88" s="80"/>
      <c r="F88" s="54"/>
      <c r="G88" s="3"/>
      <c r="H88" s="3"/>
      <c r="I88" s="3"/>
      <c r="J88" s="3"/>
      <c r="K88" s="3"/>
      <c r="L88" s="54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3"/>
      <c r="B89" s="3"/>
      <c r="C89" s="3"/>
      <c r="D89" s="3"/>
      <c r="E89" s="80"/>
      <c r="F89" s="54"/>
      <c r="G89" s="3"/>
      <c r="H89" s="3"/>
      <c r="I89" s="3"/>
      <c r="J89" s="3"/>
      <c r="K89" s="3"/>
      <c r="L89" s="54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3"/>
      <c r="B90" s="3"/>
      <c r="C90" s="3"/>
      <c r="D90" s="3"/>
      <c r="E90" s="80"/>
      <c r="F90" s="54"/>
      <c r="G90" s="3"/>
      <c r="H90" s="3"/>
      <c r="I90" s="3"/>
      <c r="J90" s="3"/>
      <c r="K90" s="3"/>
      <c r="L90" s="54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3"/>
      <c r="B91" s="3"/>
      <c r="C91" s="3"/>
      <c r="D91" s="3"/>
      <c r="E91" s="80"/>
      <c r="F91" s="54"/>
      <c r="G91" s="3"/>
      <c r="H91" s="3"/>
      <c r="I91" s="3"/>
      <c r="J91" s="3"/>
      <c r="K91" s="3"/>
      <c r="L91" s="54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3"/>
      <c r="B92" s="3"/>
      <c r="C92" s="3"/>
      <c r="D92" s="3"/>
      <c r="E92" s="80"/>
      <c r="F92" s="54"/>
      <c r="G92" s="3"/>
      <c r="H92" s="3"/>
      <c r="I92" s="3"/>
      <c r="J92" s="3"/>
      <c r="K92" s="3"/>
      <c r="L92" s="54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3"/>
      <c r="B93" s="3"/>
      <c r="C93" s="3"/>
      <c r="D93" s="3"/>
      <c r="E93" s="80"/>
      <c r="F93" s="54"/>
      <c r="G93" s="3"/>
      <c r="H93" s="3"/>
      <c r="I93" s="3"/>
      <c r="J93" s="3"/>
      <c r="K93" s="3"/>
      <c r="L93" s="54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3"/>
      <c r="B94" s="3"/>
      <c r="C94" s="3"/>
      <c r="D94" s="3"/>
      <c r="E94" s="80"/>
      <c r="F94" s="54"/>
      <c r="G94" s="3"/>
      <c r="H94" s="3"/>
      <c r="I94" s="3"/>
      <c r="J94" s="3"/>
      <c r="K94" s="3"/>
      <c r="L94" s="54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3"/>
      <c r="B95" s="3"/>
      <c r="C95" s="3"/>
      <c r="D95" s="3"/>
      <c r="E95" s="80"/>
      <c r="F95" s="54"/>
      <c r="G95" s="3"/>
      <c r="H95" s="3"/>
      <c r="I95" s="3"/>
      <c r="J95" s="3"/>
      <c r="K95" s="3"/>
      <c r="L95" s="54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3"/>
      <c r="B96" s="3"/>
      <c r="C96" s="3"/>
      <c r="D96" s="3"/>
      <c r="E96" s="80"/>
      <c r="F96" s="54"/>
      <c r="G96" s="3"/>
      <c r="H96" s="3"/>
      <c r="I96" s="3"/>
      <c r="J96" s="3"/>
      <c r="K96" s="3"/>
      <c r="L96" s="54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3"/>
      <c r="B97" s="3"/>
      <c r="C97" s="3"/>
      <c r="D97" s="3"/>
      <c r="E97" s="80"/>
      <c r="F97" s="54"/>
      <c r="G97" s="3"/>
      <c r="H97" s="3"/>
      <c r="I97" s="3"/>
      <c r="J97" s="3"/>
      <c r="K97" s="3"/>
      <c r="L97" s="54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3"/>
      <c r="B98" s="3"/>
      <c r="C98" s="3"/>
      <c r="D98" s="3"/>
      <c r="E98" s="80"/>
      <c r="F98" s="54"/>
      <c r="G98" s="3"/>
      <c r="H98" s="3"/>
      <c r="I98" s="3"/>
      <c r="J98" s="3"/>
      <c r="K98" s="3"/>
      <c r="L98" s="54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3"/>
      <c r="B99" s="3"/>
      <c r="C99" s="3"/>
      <c r="D99" s="3"/>
      <c r="E99" s="80"/>
      <c r="F99" s="54"/>
      <c r="G99" s="3"/>
      <c r="H99" s="3"/>
      <c r="I99" s="3"/>
      <c r="J99" s="3"/>
      <c r="K99" s="3"/>
      <c r="L99" s="54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3"/>
      <c r="B100" s="3"/>
      <c r="C100" s="3"/>
      <c r="D100" s="3"/>
      <c r="E100" s="80"/>
      <c r="F100" s="54"/>
      <c r="G100" s="3"/>
      <c r="H100" s="3"/>
      <c r="I100" s="3"/>
      <c r="J100" s="3"/>
      <c r="K100" s="3"/>
      <c r="L100" s="54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3"/>
      <c r="B101" s="3"/>
      <c r="C101" s="3"/>
      <c r="D101" s="3"/>
      <c r="E101" s="80"/>
      <c r="F101" s="54"/>
      <c r="G101" s="3"/>
      <c r="H101" s="3"/>
      <c r="I101" s="3"/>
      <c r="J101" s="3"/>
      <c r="K101" s="3"/>
      <c r="L101" s="54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3"/>
      <c r="B102" s="3"/>
      <c r="C102" s="3"/>
      <c r="D102" s="3"/>
      <c r="E102" s="80"/>
      <c r="F102" s="54"/>
      <c r="G102" s="3"/>
      <c r="H102" s="3"/>
      <c r="I102" s="3"/>
      <c r="J102" s="3"/>
      <c r="K102" s="3"/>
      <c r="L102" s="54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3"/>
      <c r="B103" s="3"/>
      <c r="C103" s="3"/>
      <c r="D103" s="3"/>
      <c r="E103" s="80"/>
      <c r="F103" s="54"/>
      <c r="G103" s="3"/>
      <c r="H103" s="3"/>
      <c r="I103" s="3"/>
      <c r="J103" s="3"/>
      <c r="K103" s="3"/>
      <c r="L103" s="54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3"/>
      <c r="B104" s="3"/>
      <c r="C104" s="3"/>
      <c r="D104" s="3"/>
      <c r="E104" s="80"/>
      <c r="F104" s="54"/>
      <c r="G104" s="3"/>
      <c r="H104" s="3"/>
      <c r="I104" s="3"/>
      <c r="J104" s="3"/>
      <c r="K104" s="3"/>
      <c r="L104" s="54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3"/>
      <c r="B105" s="3"/>
      <c r="C105" s="3"/>
      <c r="D105" s="3"/>
      <c r="E105" s="80"/>
      <c r="F105" s="54"/>
      <c r="G105" s="3"/>
      <c r="H105" s="3"/>
      <c r="I105" s="3"/>
      <c r="J105" s="3"/>
      <c r="K105" s="3"/>
      <c r="L105" s="54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3"/>
      <c r="B106" s="3"/>
      <c r="C106" s="3"/>
      <c r="D106" s="3"/>
      <c r="E106" s="80"/>
      <c r="F106" s="54"/>
      <c r="G106" s="3"/>
      <c r="H106" s="3"/>
      <c r="I106" s="3"/>
      <c r="J106" s="3"/>
      <c r="K106" s="3"/>
      <c r="L106" s="54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3"/>
      <c r="B107" s="3"/>
      <c r="C107" s="3"/>
      <c r="D107" s="3"/>
      <c r="E107" s="80"/>
      <c r="F107" s="54"/>
      <c r="G107" s="3"/>
      <c r="H107" s="3"/>
      <c r="I107" s="3"/>
      <c r="J107" s="3"/>
      <c r="K107" s="3"/>
      <c r="L107" s="54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3"/>
      <c r="B108" s="3"/>
      <c r="C108" s="3"/>
      <c r="D108" s="3"/>
      <c r="E108" s="80"/>
      <c r="F108" s="54"/>
      <c r="G108" s="3"/>
      <c r="H108" s="3"/>
      <c r="I108" s="3"/>
      <c r="J108" s="3"/>
      <c r="K108" s="3"/>
      <c r="L108" s="54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3"/>
      <c r="B109" s="3"/>
      <c r="C109" s="3"/>
      <c r="D109" s="3"/>
      <c r="E109" s="80"/>
      <c r="F109" s="54"/>
      <c r="G109" s="3"/>
      <c r="H109" s="3"/>
      <c r="I109" s="3"/>
      <c r="J109" s="3"/>
      <c r="K109" s="3"/>
      <c r="L109" s="54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3"/>
      <c r="B110" s="3"/>
      <c r="C110" s="3"/>
      <c r="D110" s="3"/>
      <c r="E110" s="80"/>
      <c r="F110" s="54"/>
      <c r="G110" s="3"/>
      <c r="H110" s="3"/>
      <c r="I110" s="3"/>
      <c r="J110" s="3"/>
      <c r="K110" s="3"/>
      <c r="L110" s="54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3"/>
      <c r="B111" s="3"/>
      <c r="C111" s="3"/>
      <c r="D111" s="3"/>
      <c r="E111" s="80"/>
      <c r="F111" s="54"/>
      <c r="G111" s="3"/>
      <c r="H111" s="3"/>
      <c r="I111" s="3"/>
      <c r="J111" s="3"/>
      <c r="K111" s="3"/>
      <c r="L111" s="54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3"/>
      <c r="B112" s="3"/>
      <c r="C112" s="3"/>
      <c r="D112" s="3"/>
      <c r="E112" s="80"/>
      <c r="F112" s="54"/>
      <c r="G112" s="3"/>
      <c r="H112" s="3"/>
      <c r="I112" s="3"/>
      <c r="J112" s="3"/>
      <c r="K112" s="3"/>
      <c r="L112" s="54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3"/>
      <c r="B113" s="3"/>
      <c r="C113" s="3"/>
      <c r="D113" s="3"/>
      <c r="E113" s="80"/>
      <c r="F113" s="54"/>
      <c r="G113" s="3"/>
      <c r="H113" s="3"/>
      <c r="I113" s="3"/>
      <c r="J113" s="3"/>
      <c r="K113" s="3"/>
      <c r="L113" s="54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3"/>
      <c r="B114" s="3"/>
      <c r="C114" s="3"/>
      <c r="D114" s="3"/>
      <c r="E114" s="80"/>
      <c r="F114" s="54"/>
      <c r="G114" s="3"/>
      <c r="H114" s="3"/>
      <c r="I114" s="3"/>
      <c r="J114" s="3"/>
      <c r="K114" s="3"/>
      <c r="L114" s="54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3"/>
      <c r="B115" s="3"/>
      <c r="C115" s="3"/>
      <c r="D115" s="3"/>
      <c r="E115" s="80"/>
      <c r="F115" s="54"/>
      <c r="G115" s="3"/>
      <c r="H115" s="3"/>
      <c r="I115" s="3"/>
      <c r="J115" s="3"/>
      <c r="K115" s="3"/>
      <c r="L115" s="54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3"/>
      <c r="B116" s="3"/>
      <c r="C116" s="3"/>
      <c r="D116" s="3"/>
      <c r="E116" s="80"/>
      <c r="F116" s="54"/>
      <c r="G116" s="3"/>
      <c r="H116" s="3"/>
      <c r="I116" s="3"/>
      <c r="J116" s="3"/>
      <c r="K116" s="3"/>
      <c r="L116" s="54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3"/>
      <c r="B117" s="3"/>
      <c r="C117" s="3"/>
      <c r="D117" s="3"/>
      <c r="E117" s="80"/>
      <c r="F117" s="54"/>
      <c r="G117" s="3"/>
      <c r="H117" s="3"/>
      <c r="I117" s="3"/>
      <c r="J117" s="3"/>
      <c r="K117" s="3"/>
      <c r="L117" s="54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3"/>
      <c r="B118" s="3"/>
      <c r="C118" s="3"/>
      <c r="D118" s="3"/>
      <c r="E118" s="80"/>
      <c r="F118" s="54"/>
      <c r="G118" s="3"/>
      <c r="H118" s="3"/>
      <c r="I118" s="3"/>
      <c r="J118" s="3"/>
      <c r="K118" s="3"/>
      <c r="L118" s="54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3"/>
      <c r="B119" s="3"/>
      <c r="C119" s="3"/>
      <c r="D119" s="3"/>
      <c r="E119" s="80"/>
      <c r="F119" s="54"/>
      <c r="G119" s="3"/>
      <c r="H119" s="3"/>
      <c r="I119" s="3"/>
      <c r="J119" s="3"/>
      <c r="K119" s="3"/>
      <c r="L119" s="54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3"/>
      <c r="B120" s="3"/>
      <c r="C120" s="3"/>
      <c r="D120" s="3"/>
      <c r="E120" s="80"/>
      <c r="F120" s="54"/>
      <c r="G120" s="3"/>
      <c r="H120" s="3"/>
      <c r="I120" s="3"/>
      <c r="J120" s="3"/>
      <c r="K120" s="3"/>
      <c r="L120" s="54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3"/>
      <c r="B121" s="3"/>
      <c r="C121" s="3"/>
      <c r="D121" s="3"/>
      <c r="E121" s="80"/>
      <c r="F121" s="54"/>
      <c r="G121" s="3"/>
      <c r="H121" s="3"/>
      <c r="I121" s="3"/>
      <c r="J121" s="3"/>
      <c r="K121" s="3"/>
      <c r="L121" s="54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3"/>
      <c r="B122" s="3"/>
      <c r="C122" s="3"/>
      <c r="D122" s="3"/>
      <c r="E122" s="80"/>
      <c r="F122" s="54"/>
      <c r="G122" s="3"/>
      <c r="H122" s="3"/>
      <c r="I122" s="3"/>
      <c r="J122" s="3"/>
      <c r="K122" s="3"/>
      <c r="L122" s="54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3"/>
      <c r="B123" s="3"/>
      <c r="C123" s="3"/>
      <c r="D123" s="3"/>
      <c r="E123" s="80"/>
      <c r="F123" s="54"/>
      <c r="G123" s="3"/>
      <c r="H123" s="3"/>
      <c r="I123" s="3"/>
      <c r="J123" s="3"/>
      <c r="K123" s="3"/>
      <c r="L123" s="54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3"/>
      <c r="B124" s="3"/>
      <c r="C124" s="3"/>
      <c r="D124" s="3"/>
      <c r="E124" s="80"/>
      <c r="F124" s="54"/>
      <c r="G124" s="3"/>
      <c r="H124" s="3"/>
      <c r="I124" s="3"/>
      <c r="J124" s="3"/>
      <c r="K124" s="3"/>
      <c r="L124" s="54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3"/>
      <c r="B125" s="3"/>
      <c r="C125" s="3"/>
      <c r="D125" s="3"/>
      <c r="E125" s="80"/>
      <c r="F125" s="54"/>
      <c r="G125" s="3"/>
      <c r="H125" s="3"/>
      <c r="I125" s="3"/>
      <c r="J125" s="3"/>
      <c r="K125" s="3"/>
      <c r="L125" s="54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3"/>
      <c r="B126" s="3"/>
      <c r="C126" s="3"/>
      <c r="D126" s="3"/>
      <c r="E126" s="80"/>
      <c r="F126" s="54"/>
      <c r="G126" s="3"/>
      <c r="H126" s="3"/>
      <c r="I126" s="3"/>
      <c r="J126" s="3"/>
      <c r="K126" s="3"/>
      <c r="L126" s="54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3"/>
      <c r="B127" s="3"/>
      <c r="C127" s="3"/>
      <c r="D127" s="3"/>
      <c r="E127" s="80"/>
      <c r="F127" s="54"/>
      <c r="G127" s="3"/>
      <c r="H127" s="3"/>
      <c r="I127" s="3"/>
      <c r="J127" s="3"/>
      <c r="K127" s="3"/>
      <c r="L127" s="54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3"/>
      <c r="B128" s="3"/>
      <c r="C128" s="3"/>
      <c r="D128" s="3"/>
      <c r="E128" s="80"/>
      <c r="F128" s="54"/>
      <c r="G128" s="3"/>
      <c r="H128" s="3"/>
      <c r="I128" s="3"/>
      <c r="J128" s="3"/>
      <c r="K128" s="3"/>
      <c r="L128" s="54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3"/>
      <c r="C129" s="3"/>
      <c r="D129" s="3"/>
      <c r="E129" s="80"/>
      <c r="F129" s="54"/>
      <c r="G129" s="3"/>
      <c r="H129" s="3"/>
      <c r="I129" s="3"/>
      <c r="J129" s="3"/>
      <c r="K129" s="3"/>
      <c r="L129" s="54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3"/>
      <c r="B130" s="3"/>
      <c r="C130" s="3"/>
      <c r="D130" s="3"/>
      <c r="E130" s="80"/>
      <c r="F130" s="54"/>
      <c r="G130" s="3"/>
      <c r="H130" s="3"/>
      <c r="I130" s="3"/>
      <c r="J130" s="3"/>
      <c r="K130" s="3"/>
      <c r="L130" s="54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3"/>
      <c r="E131" s="80"/>
      <c r="F131" s="54"/>
      <c r="G131" s="3"/>
      <c r="H131" s="3"/>
      <c r="I131" s="3"/>
      <c r="J131" s="3"/>
      <c r="K131" s="3"/>
      <c r="L131" s="54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3"/>
      <c r="E132" s="80"/>
      <c r="F132" s="54"/>
      <c r="G132" s="3"/>
      <c r="H132" s="3"/>
      <c r="I132" s="3"/>
      <c r="J132" s="3"/>
      <c r="K132" s="3"/>
      <c r="L132" s="54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3"/>
      <c r="E133" s="80"/>
      <c r="F133" s="54"/>
      <c r="G133" s="3"/>
      <c r="H133" s="3"/>
      <c r="I133" s="3"/>
      <c r="J133" s="3"/>
      <c r="K133" s="3"/>
      <c r="L133" s="54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3"/>
      <c r="E134" s="80"/>
      <c r="F134" s="54"/>
      <c r="G134" s="3"/>
      <c r="H134" s="3"/>
      <c r="I134" s="3"/>
      <c r="J134" s="3"/>
      <c r="K134" s="3"/>
      <c r="L134" s="54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3"/>
      <c r="E135" s="80"/>
      <c r="F135" s="54"/>
      <c r="G135" s="3"/>
      <c r="H135" s="3"/>
      <c r="I135" s="3"/>
      <c r="J135" s="3"/>
      <c r="K135" s="3"/>
      <c r="L135" s="54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3"/>
      <c r="E136" s="80"/>
      <c r="F136" s="54"/>
      <c r="G136" s="3"/>
      <c r="H136" s="3"/>
      <c r="I136" s="3"/>
      <c r="J136" s="3"/>
      <c r="K136" s="3"/>
      <c r="L136" s="54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3"/>
      <c r="E137" s="80"/>
      <c r="F137" s="54"/>
      <c r="G137" s="3"/>
      <c r="H137" s="3"/>
      <c r="I137" s="3"/>
      <c r="J137" s="3"/>
      <c r="K137" s="3"/>
      <c r="L137" s="54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3"/>
      <c r="E138" s="80"/>
      <c r="F138" s="54"/>
      <c r="G138" s="3"/>
      <c r="H138" s="3"/>
      <c r="I138" s="3"/>
      <c r="J138" s="3"/>
      <c r="K138" s="3"/>
      <c r="L138" s="54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3"/>
      <c r="E139" s="80"/>
      <c r="F139" s="54"/>
      <c r="G139" s="3"/>
      <c r="H139" s="3"/>
      <c r="I139" s="3"/>
      <c r="J139" s="3"/>
      <c r="K139" s="3"/>
      <c r="L139" s="54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3"/>
      <c r="E140" s="80"/>
      <c r="F140" s="54"/>
      <c r="G140" s="3"/>
      <c r="H140" s="3"/>
      <c r="I140" s="3"/>
      <c r="J140" s="3"/>
      <c r="K140" s="3"/>
      <c r="L140" s="54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3"/>
      <c r="E141" s="80"/>
      <c r="F141" s="54"/>
      <c r="G141" s="3"/>
      <c r="H141" s="3"/>
      <c r="I141" s="3"/>
      <c r="J141" s="3"/>
      <c r="K141" s="3"/>
      <c r="L141" s="54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3"/>
      <c r="E142" s="80"/>
      <c r="F142" s="54"/>
      <c r="G142" s="3"/>
      <c r="H142" s="3"/>
      <c r="I142" s="3"/>
      <c r="J142" s="3"/>
      <c r="K142" s="3"/>
      <c r="L142" s="54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3"/>
      <c r="E143" s="80"/>
      <c r="F143" s="54"/>
      <c r="G143" s="3"/>
      <c r="H143" s="3"/>
      <c r="I143" s="3"/>
      <c r="J143" s="3"/>
      <c r="K143" s="3"/>
      <c r="L143" s="54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3"/>
      <c r="E144" s="80"/>
      <c r="F144" s="54"/>
      <c r="G144" s="3"/>
      <c r="H144" s="3"/>
      <c r="I144" s="3"/>
      <c r="J144" s="3"/>
      <c r="K144" s="3"/>
      <c r="L144" s="54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3"/>
      <c r="E145" s="80"/>
      <c r="F145" s="54"/>
      <c r="G145" s="3"/>
      <c r="H145" s="3"/>
      <c r="I145" s="3"/>
      <c r="J145" s="3"/>
      <c r="K145" s="3"/>
      <c r="L145" s="54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3"/>
      <c r="E146" s="80"/>
      <c r="F146" s="54"/>
      <c r="G146" s="3"/>
      <c r="H146" s="3"/>
      <c r="I146" s="3"/>
      <c r="J146" s="3"/>
      <c r="K146" s="3"/>
      <c r="L146" s="54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3"/>
      <c r="E147" s="80"/>
      <c r="F147" s="54"/>
      <c r="G147" s="3"/>
      <c r="H147" s="3"/>
      <c r="I147" s="3"/>
      <c r="J147" s="3"/>
      <c r="K147" s="3"/>
      <c r="L147" s="54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3"/>
      <c r="E148" s="80"/>
      <c r="F148" s="54"/>
      <c r="G148" s="3"/>
      <c r="H148" s="3"/>
      <c r="I148" s="3"/>
      <c r="J148" s="3"/>
      <c r="K148" s="3"/>
      <c r="L148" s="54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3"/>
      <c r="E149" s="80"/>
      <c r="F149" s="54"/>
      <c r="G149" s="3"/>
      <c r="H149" s="3"/>
      <c r="I149" s="3"/>
      <c r="J149" s="3"/>
      <c r="K149" s="3"/>
      <c r="L149" s="54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3"/>
      <c r="E150" s="80"/>
      <c r="F150" s="54"/>
      <c r="G150" s="3"/>
      <c r="H150" s="3"/>
      <c r="I150" s="3"/>
      <c r="J150" s="3"/>
      <c r="K150" s="3"/>
      <c r="L150" s="54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3"/>
      <c r="E151" s="80"/>
      <c r="F151" s="54"/>
      <c r="G151" s="3"/>
      <c r="H151" s="3"/>
      <c r="I151" s="3"/>
      <c r="J151" s="3"/>
      <c r="K151" s="3"/>
      <c r="L151" s="54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3"/>
      <c r="E152" s="80"/>
      <c r="F152" s="54"/>
      <c r="G152" s="3"/>
      <c r="H152" s="3"/>
      <c r="I152" s="3"/>
      <c r="J152" s="3"/>
      <c r="K152" s="3"/>
      <c r="L152" s="54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80"/>
      <c r="F153" s="54"/>
      <c r="G153" s="3"/>
      <c r="H153" s="3"/>
      <c r="I153" s="3"/>
      <c r="J153" s="3"/>
      <c r="K153" s="3"/>
      <c r="L153" s="54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80"/>
      <c r="F154" s="54"/>
      <c r="G154" s="3"/>
      <c r="H154" s="3"/>
      <c r="I154" s="3"/>
      <c r="J154" s="3"/>
      <c r="K154" s="3"/>
      <c r="L154" s="54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80"/>
      <c r="F155" s="54"/>
      <c r="G155" s="3"/>
      <c r="H155" s="3"/>
      <c r="I155" s="3"/>
      <c r="J155" s="3"/>
      <c r="K155" s="3"/>
      <c r="L155" s="54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80"/>
      <c r="F156" s="54"/>
      <c r="G156" s="3"/>
      <c r="H156" s="3"/>
      <c r="I156" s="3"/>
      <c r="J156" s="3"/>
      <c r="K156" s="3"/>
      <c r="L156" s="54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80"/>
      <c r="F157" s="54"/>
      <c r="G157" s="3"/>
      <c r="H157" s="3"/>
      <c r="I157" s="3"/>
      <c r="J157" s="3"/>
      <c r="K157" s="3"/>
      <c r="L157" s="54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80"/>
      <c r="F158" s="54"/>
      <c r="G158" s="3"/>
      <c r="H158" s="3"/>
      <c r="I158" s="3"/>
      <c r="J158" s="3"/>
      <c r="K158" s="3"/>
      <c r="L158" s="54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80"/>
      <c r="F159" s="54"/>
      <c r="G159" s="3"/>
      <c r="H159" s="3"/>
      <c r="I159" s="3"/>
      <c r="J159" s="3"/>
      <c r="K159" s="3"/>
      <c r="L159" s="54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80"/>
      <c r="F160" s="54"/>
      <c r="G160" s="3"/>
      <c r="H160" s="3"/>
      <c r="I160" s="3"/>
      <c r="J160" s="3"/>
      <c r="K160" s="3"/>
      <c r="L160" s="54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80"/>
      <c r="F161" s="54"/>
      <c r="G161" s="3"/>
      <c r="H161" s="3"/>
      <c r="I161" s="3"/>
      <c r="J161" s="3"/>
      <c r="K161" s="3"/>
      <c r="L161" s="54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80"/>
      <c r="F162" s="54"/>
      <c r="G162" s="3"/>
      <c r="H162" s="3"/>
      <c r="I162" s="3"/>
      <c r="J162" s="3"/>
      <c r="K162" s="3"/>
      <c r="L162" s="54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80"/>
      <c r="F163" s="54"/>
      <c r="G163" s="3"/>
      <c r="H163" s="3"/>
      <c r="I163" s="3"/>
      <c r="J163" s="3"/>
      <c r="K163" s="3"/>
      <c r="L163" s="54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80"/>
      <c r="F164" s="54"/>
      <c r="G164" s="3"/>
      <c r="H164" s="3"/>
      <c r="I164" s="3"/>
      <c r="J164" s="3"/>
      <c r="K164" s="3"/>
      <c r="L164" s="54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80"/>
      <c r="F165" s="54"/>
      <c r="G165" s="3"/>
      <c r="H165" s="3"/>
      <c r="I165" s="3"/>
      <c r="J165" s="3"/>
      <c r="K165" s="3"/>
      <c r="L165" s="54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80"/>
      <c r="F166" s="54"/>
      <c r="G166" s="3"/>
      <c r="H166" s="3"/>
      <c r="I166" s="3"/>
      <c r="J166" s="3"/>
      <c r="K166" s="3"/>
      <c r="L166" s="54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80"/>
      <c r="F167" s="54"/>
      <c r="G167" s="3"/>
      <c r="H167" s="3"/>
      <c r="I167" s="3"/>
      <c r="J167" s="3"/>
      <c r="K167" s="3"/>
      <c r="L167" s="54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80"/>
      <c r="F168" s="54"/>
      <c r="G168" s="3"/>
      <c r="H168" s="3"/>
      <c r="I168" s="3"/>
      <c r="J168" s="3"/>
      <c r="K168" s="3"/>
      <c r="L168" s="54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80"/>
      <c r="F169" s="54"/>
      <c r="G169" s="3"/>
      <c r="H169" s="3"/>
      <c r="I169" s="3"/>
      <c r="J169" s="3"/>
      <c r="K169" s="3"/>
      <c r="L169" s="54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80"/>
      <c r="F170" s="54"/>
      <c r="G170" s="3"/>
      <c r="H170" s="3"/>
      <c r="I170" s="3"/>
      <c r="J170" s="3"/>
      <c r="K170" s="3"/>
      <c r="L170" s="54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80"/>
      <c r="F171" s="54"/>
      <c r="G171" s="3"/>
      <c r="H171" s="3"/>
      <c r="I171" s="3"/>
      <c r="J171" s="3"/>
      <c r="K171" s="3"/>
      <c r="L171" s="54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80"/>
      <c r="F172" s="54"/>
      <c r="G172" s="3"/>
      <c r="H172" s="3"/>
      <c r="I172" s="3"/>
      <c r="J172" s="3"/>
      <c r="K172" s="3"/>
      <c r="L172" s="54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80"/>
      <c r="F173" s="54"/>
      <c r="G173" s="3"/>
      <c r="H173" s="3"/>
      <c r="I173" s="3"/>
      <c r="J173" s="3"/>
      <c r="K173" s="3"/>
      <c r="L173" s="54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80"/>
      <c r="F174" s="54"/>
      <c r="G174" s="3"/>
      <c r="H174" s="3"/>
      <c r="I174" s="3"/>
      <c r="J174" s="3"/>
      <c r="K174" s="3"/>
      <c r="L174" s="54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80"/>
      <c r="F175" s="54"/>
      <c r="G175" s="3"/>
      <c r="H175" s="3"/>
      <c r="I175" s="3"/>
      <c r="J175" s="3"/>
      <c r="K175" s="3"/>
      <c r="L175" s="54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80"/>
      <c r="F176" s="54"/>
      <c r="G176" s="3"/>
      <c r="H176" s="3"/>
      <c r="I176" s="3"/>
      <c r="J176" s="3"/>
      <c r="K176" s="3"/>
      <c r="L176" s="54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80"/>
      <c r="F177" s="54"/>
      <c r="G177" s="3"/>
      <c r="H177" s="3"/>
      <c r="I177" s="3"/>
      <c r="J177" s="3"/>
      <c r="K177" s="3"/>
      <c r="L177" s="54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80"/>
      <c r="F178" s="54"/>
      <c r="G178" s="3"/>
      <c r="H178" s="3"/>
      <c r="I178" s="3"/>
      <c r="J178" s="3"/>
      <c r="K178" s="3"/>
      <c r="L178" s="54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80"/>
      <c r="F179" s="54"/>
      <c r="G179" s="3"/>
      <c r="H179" s="3"/>
      <c r="I179" s="3"/>
      <c r="J179" s="3"/>
      <c r="K179" s="3"/>
      <c r="L179" s="54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80"/>
      <c r="F180" s="54"/>
      <c r="G180" s="3"/>
      <c r="H180" s="3"/>
      <c r="I180" s="3"/>
      <c r="J180" s="3"/>
      <c r="K180" s="3"/>
      <c r="L180" s="54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80"/>
      <c r="F181" s="54"/>
      <c r="G181" s="3"/>
      <c r="H181" s="3"/>
      <c r="I181" s="3"/>
      <c r="J181" s="3"/>
      <c r="K181" s="3"/>
      <c r="L181" s="54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80"/>
      <c r="F182" s="54"/>
      <c r="G182" s="3"/>
      <c r="H182" s="3"/>
      <c r="I182" s="3"/>
      <c r="J182" s="3"/>
      <c r="K182" s="3"/>
      <c r="L182" s="54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80"/>
      <c r="F183" s="54"/>
      <c r="G183" s="3"/>
      <c r="H183" s="3"/>
      <c r="I183" s="3"/>
      <c r="J183" s="3"/>
      <c r="K183" s="3"/>
      <c r="L183" s="54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80"/>
      <c r="F184" s="54"/>
      <c r="G184" s="3"/>
      <c r="H184" s="3"/>
      <c r="I184" s="3"/>
      <c r="J184" s="3"/>
      <c r="K184" s="3"/>
      <c r="L184" s="54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80"/>
      <c r="F185" s="54"/>
      <c r="G185" s="3"/>
      <c r="H185" s="3"/>
      <c r="I185" s="3"/>
      <c r="J185" s="3"/>
      <c r="K185" s="3"/>
      <c r="L185" s="54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80"/>
      <c r="F186" s="54"/>
      <c r="G186" s="3"/>
      <c r="H186" s="3"/>
      <c r="I186" s="3"/>
      <c r="J186" s="3"/>
      <c r="K186" s="3"/>
      <c r="L186" s="54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80"/>
      <c r="F187" s="54"/>
      <c r="G187" s="3"/>
      <c r="H187" s="3"/>
      <c r="I187" s="3"/>
      <c r="J187" s="3"/>
      <c r="K187" s="3"/>
      <c r="L187" s="54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80"/>
      <c r="F188" s="54"/>
      <c r="G188" s="3"/>
      <c r="H188" s="3"/>
      <c r="I188" s="3"/>
      <c r="J188" s="3"/>
      <c r="K188" s="3"/>
      <c r="L188" s="54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80"/>
      <c r="F189" s="54"/>
      <c r="G189" s="3"/>
      <c r="H189" s="3"/>
      <c r="I189" s="3"/>
      <c r="J189" s="3"/>
      <c r="K189" s="3"/>
      <c r="L189" s="54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80"/>
      <c r="F190" s="54"/>
      <c r="G190" s="3"/>
      <c r="H190" s="3"/>
      <c r="I190" s="3"/>
      <c r="J190" s="3"/>
      <c r="K190" s="3"/>
      <c r="L190" s="54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80"/>
      <c r="F191" s="54"/>
      <c r="G191" s="3"/>
      <c r="H191" s="3"/>
      <c r="I191" s="3"/>
      <c r="J191" s="3"/>
      <c r="K191" s="3"/>
      <c r="L191" s="54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80"/>
      <c r="F192" s="54"/>
      <c r="G192" s="3"/>
      <c r="H192" s="3"/>
      <c r="I192" s="3"/>
      <c r="J192" s="3"/>
      <c r="K192" s="3"/>
      <c r="L192" s="54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80"/>
      <c r="F193" s="54"/>
      <c r="G193" s="3"/>
      <c r="H193" s="3"/>
      <c r="I193" s="3"/>
      <c r="J193" s="3"/>
      <c r="K193" s="3"/>
      <c r="L193" s="54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80"/>
      <c r="F194" s="54"/>
      <c r="G194" s="3"/>
      <c r="H194" s="3"/>
      <c r="I194" s="3"/>
      <c r="J194" s="3"/>
      <c r="K194" s="3"/>
      <c r="L194" s="54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80"/>
      <c r="F195" s="54"/>
      <c r="G195" s="3"/>
      <c r="H195" s="3"/>
      <c r="I195" s="3"/>
      <c r="J195" s="3"/>
      <c r="K195" s="3"/>
      <c r="L195" s="54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80"/>
      <c r="F196" s="54"/>
      <c r="G196" s="3"/>
      <c r="H196" s="3"/>
      <c r="I196" s="3"/>
      <c r="J196" s="3"/>
      <c r="K196" s="3"/>
      <c r="L196" s="54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80"/>
      <c r="F197" s="54"/>
      <c r="G197" s="3"/>
      <c r="H197" s="3"/>
      <c r="I197" s="3"/>
      <c r="J197" s="3"/>
      <c r="K197" s="3"/>
      <c r="L197" s="54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80"/>
      <c r="F198" s="54"/>
      <c r="G198" s="3"/>
      <c r="H198" s="3"/>
      <c r="I198" s="3"/>
      <c r="J198" s="3"/>
      <c r="K198" s="3"/>
      <c r="L198" s="54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80"/>
      <c r="F199" s="54"/>
      <c r="G199" s="3"/>
      <c r="H199" s="3"/>
      <c r="I199" s="3"/>
      <c r="J199" s="3"/>
      <c r="K199" s="3"/>
      <c r="L199" s="54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80"/>
      <c r="F200" s="54"/>
      <c r="G200" s="3"/>
      <c r="H200" s="3"/>
      <c r="I200" s="3"/>
      <c r="J200" s="3"/>
      <c r="K200" s="3"/>
      <c r="L200" s="54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3"/>
      <c r="B201" s="3"/>
      <c r="C201" s="3"/>
      <c r="D201" s="3"/>
      <c r="E201" s="80"/>
      <c r="F201" s="54"/>
      <c r="G201" s="3"/>
      <c r="H201" s="3"/>
      <c r="I201" s="3"/>
      <c r="J201" s="3"/>
      <c r="K201" s="3"/>
      <c r="L201" s="54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3"/>
      <c r="B202" s="3"/>
      <c r="C202" s="3"/>
      <c r="D202" s="3"/>
      <c r="E202" s="80"/>
      <c r="F202" s="54"/>
      <c r="G202" s="3"/>
      <c r="H202" s="3"/>
      <c r="I202" s="3"/>
      <c r="J202" s="3"/>
      <c r="K202" s="3"/>
      <c r="L202" s="54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3"/>
      <c r="B203" s="3"/>
      <c r="C203" s="3"/>
      <c r="D203" s="3"/>
      <c r="E203" s="80"/>
      <c r="F203" s="54"/>
      <c r="G203" s="3"/>
      <c r="H203" s="3"/>
      <c r="I203" s="3"/>
      <c r="J203" s="3"/>
      <c r="K203" s="3"/>
      <c r="L203" s="54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3"/>
      <c r="B204" s="3"/>
      <c r="C204" s="3"/>
      <c r="D204" s="3"/>
      <c r="E204" s="80"/>
      <c r="F204" s="54"/>
      <c r="G204" s="3"/>
      <c r="H204" s="3"/>
      <c r="I204" s="3"/>
      <c r="J204" s="3"/>
      <c r="K204" s="3"/>
      <c r="L204" s="54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3"/>
      <c r="B205" s="3"/>
      <c r="C205" s="3"/>
      <c r="D205" s="3"/>
      <c r="E205" s="80"/>
      <c r="F205" s="54"/>
      <c r="G205" s="3"/>
      <c r="H205" s="3"/>
      <c r="I205" s="3"/>
      <c r="J205" s="3"/>
      <c r="K205" s="3"/>
      <c r="L205" s="54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80"/>
      <c r="F206" s="54"/>
      <c r="G206" s="3"/>
      <c r="H206" s="3"/>
      <c r="I206" s="3"/>
      <c r="J206" s="3"/>
      <c r="K206" s="3"/>
      <c r="L206" s="54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80"/>
      <c r="F207" s="54"/>
      <c r="G207" s="3"/>
      <c r="H207" s="3"/>
      <c r="I207" s="3"/>
      <c r="J207" s="3"/>
      <c r="K207" s="3"/>
      <c r="L207" s="54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80"/>
      <c r="F208" s="54"/>
      <c r="G208" s="3"/>
      <c r="H208" s="3"/>
      <c r="I208" s="3"/>
      <c r="J208" s="3"/>
      <c r="K208" s="3"/>
      <c r="L208" s="54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80"/>
      <c r="F209" s="54"/>
      <c r="G209" s="3"/>
      <c r="H209" s="3"/>
      <c r="I209" s="3"/>
      <c r="J209" s="3"/>
      <c r="K209" s="3"/>
      <c r="L209" s="54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80"/>
      <c r="F210" s="54"/>
      <c r="G210" s="3"/>
      <c r="H210" s="3"/>
      <c r="I210" s="3"/>
      <c r="J210" s="3"/>
      <c r="K210" s="3"/>
      <c r="L210" s="54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80"/>
      <c r="F211" s="54"/>
      <c r="G211" s="3"/>
      <c r="H211" s="3"/>
      <c r="I211" s="3"/>
      <c r="J211" s="3"/>
      <c r="K211" s="3"/>
      <c r="L211" s="54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80"/>
      <c r="F212" s="54"/>
      <c r="G212" s="3"/>
      <c r="H212" s="3"/>
      <c r="I212" s="3"/>
      <c r="J212" s="3"/>
      <c r="K212" s="3"/>
      <c r="L212" s="54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80"/>
      <c r="F213" s="54"/>
      <c r="G213" s="3"/>
      <c r="H213" s="3"/>
      <c r="I213" s="3"/>
      <c r="J213" s="3"/>
      <c r="K213" s="3"/>
      <c r="L213" s="54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80"/>
      <c r="F214" s="54"/>
      <c r="G214" s="3"/>
      <c r="H214" s="3"/>
      <c r="I214" s="3"/>
      <c r="J214" s="3"/>
      <c r="K214" s="3"/>
      <c r="L214" s="54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80"/>
      <c r="F215" s="54"/>
      <c r="G215" s="3"/>
      <c r="H215" s="3"/>
      <c r="I215" s="3"/>
      <c r="J215" s="3"/>
      <c r="K215" s="3"/>
      <c r="L215" s="54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80"/>
      <c r="F216" s="54"/>
      <c r="G216" s="3"/>
      <c r="H216" s="3"/>
      <c r="I216" s="3"/>
      <c r="J216" s="3"/>
      <c r="K216" s="3"/>
      <c r="L216" s="54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80"/>
      <c r="F217" s="54"/>
      <c r="G217" s="3"/>
      <c r="H217" s="3"/>
      <c r="I217" s="3"/>
      <c r="J217" s="3"/>
      <c r="K217" s="3"/>
      <c r="L217" s="54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80"/>
      <c r="F218" s="54"/>
      <c r="G218" s="3"/>
      <c r="H218" s="3"/>
      <c r="I218" s="3"/>
      <c r="J218" s="3"/>
      <c r="K218" s="3"/>
      <c r="L218" s="54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80"/>
      <c r="F219" s="54"/>
      <c r="G219" s="3"/>
      <c r="H219" s="3"/>
      <c r="I219" s="3"/>
      <c r="J219" s="3"/>
      <c r="K219" s="3"/>
      <c r="L219" s="54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80"/>
      <c r="F220" s="54"/>
      <c r="G220" s="3"/>
      <c r="H220" s="3"/>
      <c r="I220" s="3"/>
      <c r="J220" s="3"/>
      <c r="K220" s="3"/>
      <c r="L220" s="54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80"/>
      <c r="F221" s="54"/>
      <c r="G221" s="3"/>
      <c r="H221" s="3"/>
      <c r="I221" s="3"/>
      <c r="J221" s="3"/>
      <c r="K221" s="3"/>
      <c r="L221" s="54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80"/>
      <c r="F222" s="54"/>
      <c r="G222" s="3"/>
      <c r="H222" s="3"/>
      <c r="I222" s="3"/>
      <c r="J222" s="3"/>
      <c r="K222" s="3"/>
      <c r="L222" s="54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80"/>
      <c r="F223" s="54"/>
      <c r="G223" s="3"/>
      <c r="H223" s="3"/>
      <c r="I223" s="3"/>
      <c r="J223" s="3"/>
      <c r="K223" s="3"/>
      <c r="L223" s="54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80"/>
      <c r="F224" s="54"/>
      <c r="G224" s="3"/>
      <c r="H224" s="3"/>
      <c r="I224" s="3"/>
      <c r="J224" s="3"/>
      <c r="K224" s="3"/>
      <c r="L224" s="54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80"/>
      <c r="F225" s="54"/>
      <c r="G225" s="3"/>
      <c r="H225" s="3"/>
      <c r="I225" s="3"/>
      <c r="J225" s="3"/>
      <c r="K225" s="3"/>
      <c r="L225" s="54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80"/>
      <c r="F226" s="54"/>
      <c r="G226" s="3"/>
      <c r="H226" s="3"/>
      <c r="I226" s="3"/>
      <c r="J226" s="3"/>
      <c r="K226" s="3"/>
      <c r="L226" s="54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80"/>
      <c r="F227" s="54"/>
      <c r="G227" s="3"/>
      <c r="H227" s="3"/>
      <c r="I227" s="3"/>
      <c r="J227" s="3"/>
      <c r="K227" s="3"/>
      <c r="L227" s="54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80"/>
      <c r="F228" s="54"/>
      <c r="G228" s="3"/>
      <c r="H228" s="3"/>
      <c r="I228" s="3"/>
      <c r="J228" s="3"/>
      <c r="K228" s="3"/>
      <c r="L228" s="54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80"/>
      <c r="F229" s="54"/>
      <c r="G229" s="3"/>
      <c r="H229" s="3"/>
      <c r="I229" s="3"/>
      <c r="J229" s="3"/>
      <c r="K229" s="3"/>
      <c r="L229" s="54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80"/>
      <c r="F230" s="54"/>
      <c r="G230" s="3"/>
      <c r="H230" s="3"/>
      <c r="I230" s="3"/>
      <c r="J230" s="3"/>
      <c r="K230" s="3"/>
      <c r="L230" s="54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80"/>
      <c r="F231" s="54"/>
      <c r="G231" s="3"/>
      <c r="H231" s="3"/>
      <c r="I231" s="3"/>
      <c r="J231" s="3"/>
      <c r="K231" s="3"/>
      <c r="L231" s="54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80"/>
      <c r="F232" s="54"/>
      <c r="G232" s="3"/>
      <c r="H232" s="3"/>
      <c r="I232" s="3"/>
      <c r="J232" s="3"/>
      <c r="K232" s="3"/>
      <c r="L232" s="54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80"/>
      <c r="F233" s="54"/>
      <c r="G233" s="3"/>
      <c r="H233" s="3"/>
      <c r="I233" s="3"/>
      <c r="J233" s="3"/>
      <c r="K233" s="3"/>
      <c r="L233" s="54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80"/>
      <c r="F234" s="54"/>
      <c r="G234" s="3"/>
      <c r="H234" s="3"/>
      <c r="I234" s="3"/>
      <c r="J234" s="3"/>
      <c r="K234" s="3"/>
      <c r="L234" s="54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80"/>
      <c r="F235" s="54"/>
      <c r="G235" s="3"/>
      <c r="H235" s="3"/>
      <c r="I235" s="3"/>
      <c r="J235" s="3"/>
      <c r="K235" s="3"/>
      <c r="L235" s="54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80"/>
      <c r="F236" s="54"/>
      <c r="G236" s="3"/>
      <c r="H236" s="3"/>
      <c r="I236" s="3"/>
      <c r="J236" s="3"/>
      <c r="K236" s="3"/>
      <c r="L236" s="54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80"/>
      <c r="F237" s="54"/>
      <c r="G237" s="3"/>
      <c r="H237" s="3"/>
      <c r="I237" s="3"/>
      <c r="J237" s="3"/>
      <c r="K237" s="3"/>
      <c r="L237" s="54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80"/>
      <c r="F238" s="54"/>
      <c r="G238" s="3"/>
      <c r="H238" s="3"/>
      <c r="I238" s="3"/>
      <c r="J238" s="3"/>
      <c r="K238" s="3"/>
      <c r="L238" s="54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80"/>
      <c r="F239" s="54"/>
      <c r="G239" s="3"/>
      <c r="H239" s="3"/>
      <c r="I239" s="3"/>
      <c r="J239" s="3"/>
      <c r="K239" s="3"/>
      <c r="L239" s="54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80"/>
      <c r="F240" s="54"/>
      <c r="G240" s="3"/>
      <c r="H240" s="3"/>
      <c r="I240" s="3"/>
      <c r="J240" s="3"/>
      <c r="K240" s="3"/>
      <c r="L240" s="54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80"/>
      <c r="F241" s="54"/>
      <c r="G241" s="3"/>
      <c r="H241" s="3"/>
      <c r="I241" s="3"/>
      <c r="J241" s="3"/>
      <c r="K241" s="3"/>
      <c r="L241" s="54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80"/>
      <c r="F242" s="54"/>
      <c r="G242" s="3"/>
      <c r="H242" s="3"/>
      <c r="I242" s="3"/>
      <c r="J242" s="3"/>
      <c r="K242" s="3"/>
      <c r="L242" s="54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80"/>
      <c r="F243" s="54"/>
      <c r="G243" s="3"/>
      <c r="H243" s="3"/>
      <c r="I243" s="3"/>
      <c r="J243" s="3"/>
      <c r="K243" s="3"/>
      <c r="L243" s="54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80"/>
      <c r="F244" s="54"/>
      <c r="G244" s="3"/>
      <c r="H244" s="3"/>
      <c r="I244" s="3"/>
      <c r="J244" s="3"/>
      <c r="K244" s="3"/>
      <c r="L244" s="54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80"/>
      <c r="F245" s="54"/>
      <c r="G245" s="3"/>
      <c r="H245" s="3"/>
      <c r="I245" s="3"/>
      <c r="J245" s="3"/>
      <c r="K245" s="3"/>
      <c r="L245" s="54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80"/>
      <c r="F246" s="54"/>
      <c r="G246" s="3"/>
      <c r="H246" s="3"/>
      <c r="I246" s="3"/>
      <c r="J246" s="3"/>
      <c r="K246" s="3"/>
      <c r="L246" s="54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80"/>
      <c r="F247" s="54"/>
      <c r="G247" s="3"/>
      <c r="H247" s="3"/>
      <c r="I247" s="3"/>
      <c r="J247" s="3"/>
      <c r="K247" s="3"/>
      <c r="L247" s="54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80"/>
      <c r="F248" s="54"/>
      <c r="G248" s="3"/>
      <c r="H248" s="3"/>
      <c r="I248" s="3"/>
      <c r="J248" s="3"/>
      <c r="K248" s="3"/>
      <c r="L248" s="54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80"/>
      <c r="F249" s="54"/>
      <c r="G249" s="3"/>
      <c r="H249" s="3"/>
      <c r="I249" s="3"/>
      <c r="J249" s="3"/>
      <c r="K249" s="3"/>
      <c r="L249" s="54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80"/>
      <c r="F250" s="54"/>
      <c r="G250" s="3"/>
      <c r="H250" s="3"/>
      <c r="I250" s="3"/>
      <c r="J250" s="3"/>
      <c r="K250" s="3"/>
      <c r="L250" s="54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80"/>
      <c r="F251" s="54"/>
      <c r="G251" s="3"/>
      <c r="H251" s="3"/>
      <c r="I251" s="3"/>
      <c r="J251" s="3"/>
      <c r="K251" s="3"/>
      <c r="L251" s="54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80"/>
      <c r="F252" s="54"/>
      <c r="G252" s="3"/>
      <c r="H252" s="3"/>
      <c r="I252" s="3"/>
      <c r="J252" s="3"/>
      <c r="K252" s="3"/>
      <c r="L252" s="54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80"/>
      <c r="F253" s="54"/>
      <c r="G253" s="3"/>
      <c r="H253" s="3"/>
      <c r="I253" s="3"/>
      <c r="J253" s="3"/>
      <c r="K253" s="3"/>
      <c r="L253" s="54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80"/>
      <c r="F254" s="54"/>
      <c r="G254" s="3"/>
      <c r="H254" s="3"/>
      <c r="I254" s="3"/>
      <c r="J254" s="3"/>
      <c r="K254" s="3"/>
      <c r="L254" s="54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80"/>
      <c r="F255" s="54"/>
      <c r="G255" s="3"/>
      <c r="H255" s="3"/>
      <c r="I255" s="3"/>
      <c r="J255" s="3"/>
      <c r="K255" s="3"/>
      <c r="L255" s="54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80"/>
      <c r="F256" s="54"/>
      <c r="G256" s="3"/>
      <c r="H256" s="3"/>
      <c r="I256" s="3"/>
      <c r="J256" s="3"/>
      <c r="K256" s="3"/>
      <c r="L256" s="54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80"/>
      <c r="F257" s="54"/>
      <c r="G257" s="3"/>
      <c r="H257" s="3"/>
      <c r="I257" s="3"/>
      <c r="J257" s="3"/>
      <c r="K257" s="3"/>
      <c r="L257" s="54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80"/>
      <c r="F258" s="54"/>
      <c r="G258" s="3"/>
      <c r="H258" s="3"/>
      <c r="I258" s="3"/>
      <c r="J258" s="3"/>
      <c r="K258" s="3"/>
      <c r="L258" s="54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80"/>
      <c r="F259" s="54"/>
      <c r="G259" s="3"/>
      <c r="H259" s="3"/>
      <c r="I259" s="3"/>
      <c r="J259" s="3"/>
      <c r="K259" s="3"/>
      <c r="L259" s="54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80"/>
      <c r="F260" s="54"/>
      <c r="G260" s="3"/>
      <c r="H260" s="3"/>
      <c r="I260" s="3"/>
      <c r="J260" s="3"/>
      <c r="K260" s="3"/>
      <c r="L260" s="54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80"/>
      <c r="F261" s="54"/>
      <c r="G261" s="3"/>
      <c r="H261" s="3"/>
      <c r="I261" s="3"/>
      <c r="J261" s="3"/>
      <c r="K261" s="3"/>
      <c r="L261" s="54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80"/>
      <c r="F262" s="54"/>
      <c r="G262" s="3"/>
      <c r="H262" s="3"/>
      <c r="I262" s="3"/>
      <c r="J262" s="3"/>
      <c r="K262" s="3"/>
      <c r="L262" s="54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80"/>
      <c r="F263" s="54"/>
      <c r="G263" s="3"/>
      <c r="H263" s="3"/>
      <c r="I263" s="3"/>
      <c r="J263" s="3"/>
      <c r="K263" s="3"/>
      <c r="L263" s="54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80"/>
      <c r="F264" s="54"/>
      <c r="G264" s="3"/>
      <c r="H264" s="3"/>
      <c r="I264" s="3"/>
      <c r="J264" s="3"/>
      <c r="K264" s="3"/>
      <c r="L264" s="54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80"/>
      <c r="F265" s="54"/>
      <c r="G265" s="3"/>
      <c r="H265" s="3"/>
      <c r="I265" s="3"/>
      <c r="J265" s="3"/>
      <c r="K265" s="3"/>
      <c r="L265" s="54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80"/>
      <c r="F266" s="54"/>
      <c r="G266" s="3"/>
      <c r="H266" s="3"/>
      <c r="I266" s="3"/>
      <c r="J266" s="3"/>
      <c r="K266" s="3"/>
      <c r="L266" s="54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80"/>
      <c r="F267" s="54"/>
      <c r="G267" s="3"/>
      <c r="H267" s="3"/>
      <c r="I267" s="3"/>
      <c r="J267" s="3"/>
      <c r="K267" s="3"/>
      <c r="L267" s="54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80"/>
      <c r="F268" s="54"/>
      <c r="G268" s="3"/>
      <c r="H268" s="3"/>
      <c r="I268" s="3"/>
      <c r="J268" s="3"/>
      <c r="K268" s="3"/>
      <c r="L268" s="54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80"/>
      <c r="F269" s="54"/>
      <c r="G269" s="3"/>
      <c r="H269" s="3"/>
      <c r="I269" s="3"/>
      <c r="J269" s="3"/>
      <c r="K269" s="3"/>
      <c r="L269" s="54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80"/>
      <c r="F270" s="54"/>
      <c r="G270" s="3"/>
      <c r="H270" s="3"/>
      <c r="I270" s="3"/>
      <c r="J270" s="3"/>
      <c r="K270" s="3"/>
      <c r="L270" s="54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80"/>
      <c r="F271" s="54"/>
      <c r="G271" s="3"/>
      <c r="H271" s="3"/>
      <c r="I271" s="3"/>
      <c r="J271" s="3"/>
      <c r="K271" s="3"/>
      <c r="L271" s="54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80"/>
      <c r="F272" s="54"/>
      <c r="G272" s="3"/>
      <c r="H272" s="3"/>
      <c r="I272" s="3"/>
      <c r="J272" s="3"/>
      <c r="K272" s="3"/>
      <c r="L272" s="54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80"/>
      <c r="F273" s="54"/>
      <c r="G273" s="3"/>
      <c r="H273" s="3"/>
      <c r="I273" s="3"/>
      <c r="J273" s="3"/>
      <c r="K273" s="3"/>
      <c r="L273" s="54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80"/>
      <c r="F274" s="54"/>
      <c r="G274" s="3"/>
      <c r="H274" s="3"/>
      <c r="I274" s="3"/>
      <c r="J274" s="3"/>
      <c r="K274" s="3"/>
      <c r="L274" s="54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80"/>
      <c r="F275" s="54"/>
      <c r="G275" s="3"/>
      <c r="H275" s="3"/>
      <c r="I275" s="3"/>
      <c r="J275" s="3"/>
      <c r="K275" s="3"/>
      <c r="L275" s="54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80"/>
      <c r="F276" s="54"/>
      <c r="G276" s="3"/>
      <c r="H276" s="3"/>
      <c r="I276" s="3"/>
      <c r="J276" s="3"/>
      <c r="K276" s="3"/>
      <c r="L276" s="54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80"/>
      <c r="F277" s="54"/>
      <c r="G277" s="3"/>
      <c r="H277" s="3"/>
      <c r="I277" s="3"/>
      <c r="J277" s="3"/>
      <c r="K277" s="3"/>
      <c r="L277" s="54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80"/>
      <c r="F278" s="54"/>
      <c r="G278" s="3"/>
      <c r="H278" s="3"/>
      <c r="I278" s="3"/>
      <c r="J278" s="3"/>
      <c r="K278" s="3"/>
      <c r="L278" s="54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80"/>
      <c r="F279" s="54"/>
      <c r="G279" s="3"/>
      <c r="H279" s="3"/>
      <c r="I279" s="3"/>
      <c r="J279" s="3"/>
      <c r="K279" s="3"/>
      <c r="L279" s="54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80"/>
      <c r="F280" s="54"/>
      <c r="G280" s="3"/>
      <c r="H280" s="3"/>
      <c r="I280" s="3"/>
      <c r="J280" s="3"/>
      <c r="K280" s="3"/>
      <c r="L280" s="54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80"/>
      <c r="F281" s="54"/>
      <c r="G281" s="3"/>
      <c r="H281" s="3"/>
      <c r="I281" s="3"/>
      <c r="J281" s="3"/>
      <c r="K281" s="3"/>
      <c r="L281" s="54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80"/>
      <c r="F282" s="54"/>
      <c r="G282" s="3"/>
      <c r="H282" s="3"/>
      <c r="I282" s="3"/>
      <c r="J282" s="3"/>
      <c r="K282" s="3"/>
      <c r="L282" s="54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80"/>
      <c r="F283" s="54"/>
      <c r="G283" s="3"/>
      <c r="H283" s="3"/>
      <c r="I283" s="3"/>
      <c r="J283" s="3"/>
      <c r="K283" s="3"/>
      <c r="L283" s="54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80"/>
      <c r="F284" s="54"/>
      <c r="G284" s="3"/>
      <c r="H284" s="3"/>
      <c r="I284" s="3"/>
      <c r="J284" s="3"/>
      <c r="K284" s="3"/>
      <c r="L284" s="54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80"/>
      <c r="F285" s="54"/>
      <c r="G285" s="3"/>
      <c r="H285" s="3"/>
      <c r="I285" s="3"/>
      <c r="J285" s="3"/>
      <c r="K285" s="3"/>
      <c r="L285" s="54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80"/>
      <c r="F286" s="54"/>
      <c r="G286" s="3"/>
      <c r="H286" s="3"/>
      <c r="I286" s="3"/>
      <c r="J286" s="3"/>
      <c r="K286" s="3"/>
      <c r="L286" s="54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80"/>
      <c r="F287" s="54"/>
      <c r="G287" s="3"/>
      <c r="H287" s="3"/>
      <c r="I287" s="3"/>
      <c r="J287" s="3"/>
      <c r="K287" s="3"/>
      <c r="L287" s="54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80"/>
      <c r="F288" s="54"/>
      <c r="G288" s="3"/>
      <c r="H288" s="3"/>
      <c r="I288" s="3"/>
      <c r="J288" s="3"/>
      <c r="K288" s="3"/>
      <c r="L288" s="54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80"/>
      <c r="F289" s="54"/>
      <c r="G289" s="3"/>
      <c r="H289" s="3"/>
      <c r="I289" s="3"/>
      <c r="J289" s="3"/>
      <c r="K289" s="3"/>
      <c r="L289" s="54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80"/>
      <c r="F290" s="54"/>
      <c r="G290" s="3"/>
      <c r="H290" s="3"/>
      <c r="I290" s="3"/>
      <c r="J290" s="3"/>
      <c r="K290" s="3"/>
      <c r="L290" s="54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80"/>
      <c r="F291" s="54"/>
      <c r="G291" s="3"/>
      <c r="H291" s="3"/>
      <c r="I291" s="3"/>
      <c r="J291" s="3"/>
      <c r="K291" s="3"/>
      <c r="L291" s="54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80"/>
      <c r="F292" s="54"/>
      <c r="G292" s="3"/>
      <c r="H292" s="3"/>
      <c r="I292" s="3"/>
      <c r="J292" s="3"/>
      <c r="K292" s="3"/>
      <c r="L292" s="54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80"/>
      <c r="F293" s="54"/>
      <c r="G293" s="3"/>
      <c r="H293" s="3"/>
      <c r="I293" s="3"/>
      <c r="J293" s="3"/>
      <c r="K293" s="3"/>
      <c r="L293" s="54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80"/>
      <c r="F294" s="54"/>
      <c r="G294" s="3"/>
      <c r="H294" s="3"/>
      <c r="I294" s="3"/>
      <c r="J294" s="3"/>
      <c r="K294" s="3"/>
      <c r="L294" s="54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80"/>
      <c r="F295" s="54"/>
      <c r="G295" s="3"/>
      <c r="H295" s="3"/>
      <c r="I295" s="3"/>
      <c r="J295" s="3"/>
      <c r="K295" s="3"/>
      <c r="L295" s="54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80"/>
      <c r="F296" s="54"/>
      <c r="G296" s="3"/>
      <c r="H296" s="3"/>
      <c r="I296" s="3"/>
      <c r="J296" s="3"/>
      <c r="K296" s="3"/>
      <c r="L296" s="54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80"/>
      <c r="F297" s="54"/>
      <c r="G297" s="3"/>
      <c r="H297" s="3"/>
      <c r="I297" s="3"/>
      <c r="J297" s="3"/>
      <c r="K297" s="3"/>
      <c r="L297" s="54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80"/>
      <c r="F298" s="54"/>
      <c r="G298" s="3"/>
      <c r="H298" s="3"/>
      <c r="I298" s="3"/>
      <c r="J298" s="3"/>
      <c r="K298" s="3"/>
      <c r="L298" s="54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80"/>
      <c r="F299" s="54"/>
      <c r="G299" s="3"/>
      <c r="H299" s="3"/>
      <c r="I299" s="3"/>
      <c r="J299" s="3"/>
      <c r="K299" s="3"/>
      <c r="L299" s="54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80"/>
      <c r="F300" s="54"/>
      <c r="G300" s="3"/>
      <c r="H300" s="3"/>
      <c r="I300" s="3"/>
      <c r="J300" s="3"/>
      <c r="K300" s="3"/>
      <c r="L300" s="54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80"/>
      <c r="F301" s="54"/>
      <c r="G301" s="3"/>
      <c r="H301" s="3"/>
      <c r="I301" s="3"/>
      <c r="J301" s="3"/>
      <c r="K301" s="3"/>
      <c r="L301" s="54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80"/>
      <c r="F302" s="54"/>
      <c r="G302" s="3"/>
      <c r="H302" s="3"/>
      <c r="I302" s="3"/>
      <c r="J302" s="3"/>
      <c r="K302" s="3"/>
      <c r="L302" s="54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80"/>
      <c r="F303" s="54"/>
      <c r="G303" s="3"/>
      <c r="H303" s="3"/>
      <c r="I303" s="3"/>
      <c r="J303" s="3"/>
      <c r="K303" s="3"/>
      <c r="L303" s="54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80"/>
      <c r="F304" s="54"/>
      <c r="G304" s="3"/>
      <c r="H304" s="3"/>
      <c r="I304" s="3"/>
      <c r="J304" s="3"/>
      <c r="K304" s="3"/>
      <c r="L304" s="54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80"/>
      <c r="F305" s="54"/>
      <c r="G305" s="3"/>
      <c r="H305" s="3"/>
      <c r="I305" s="3"/>
      <c r="J305" s="3"/>
      <c r="K305" s="3"/>
      <c r="L305" s="54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80"/>
      <c r="F306" s="54"/>
      <c r="G306" s="3"/>
      <c r="H306" s="3"/>
      <c r="I306" s="3"/>
      <c r="J306" s="3"/>
      <c r="K306" s="3"/>
      <c r="L306" s="54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80"/>
      <c r="F307" s="54"/>
      <c r="G307" s="3"/>
      <c r="H307" s="3"/>
      <c r="I307" s="3"/>
      <c r="J307" s="3"/>
      <c r="K307" s="3"/>
      <c r="L307" s="54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80"/>
      <c r="F308" s="54"/>
      <c r="G308" s="3"/>
      <c r="H308" s="3"/>
      <c r="I308" s="3"/>
      <c r="J308" s="3"/>
      <c r="K308" s="3"/>
      <c r="L308" s="54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80"/>
      <c r="F309" s="54"/>
      <c r="G309" s="3"/>
      <c r="H309" s="3"/>
      <c r="I309" s="3"/>
      <c r="J309" s="3"/>
      <c r="K309" s="3"/>
      <c r="L309" s="54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80"/>
      <c r="F310" s="54"/>
      <c r="G310" s="3"/>
      <c r="H310" s="3"/>
      <c r="I310" s="3"/>
      <c r="J310" s="3"/>
      <c r="K310" s="3"/>
      <c r="L310" s="54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80"/>
      <c r="F311" s="54"/>
      <c r="G311" s="3"/>
      <c r="H311" s="3"/>
      <c r="I311" s="3"/>
      <c r="J311" s="3"/>
      <c r="K311" s="3"/>
      <c r="L311" s="54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80"/>
      <c r="F312" s="54"/>
      <c r="G312" s="3"/>
      <c r="H312" s="3"/>
      <c r="I312" s="3"/>
      <c r="J312" s="3"/>
      <c r="K312" s="3"/>
      <c r="L312" s="54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80"/>
      <c r="F313" s="54"/>
      <c r="G313" s="3"/>
      <c r="H313" s="3"/>
      <c r="I313" s="3"/>
      <c r="J313" s="3"/>
      <c r="K313" s="3"/>
      <c r="L313" s="54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80"/>
      <c r="F314" s="54"/>
      <c r="G314" s="3"/>
      <c r="H314" s="3"/>
      <c r="I314" s="3"/>
      <c r="J314" s="3"/>
      <c r="K314" s="3"/>
      <c r="L314" s="54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80"/>
      <c r="F315" s="54"/>
      <c r="G315" s="3"/>
      <c r="H315" s="3"/>
      <c r="I315" s="3"/>
      <c r="J315" s="3"/>
      <c r="K315" s="3"/>
      <c r="L315" s="54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80"/>
      <c r="F316" s="54"/>
      <c r="G316" s="3"/>
      <c r="H316" s="3"/>
      <c r="I316" s="3"/>
      <c r="J316" s="3"/>
      <c r="K316" s="3"/>
      <c r="L316" s="54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80"/>
      <c r="F317" s="54"/>
      <c r="G317" s="3"/>
      <c r="H317" s="3"/>
      <c r="I317" s="3"/>
      <c r="J317" s="3"/>
      <c r="K317" s="3"/>
      <c r="L317" s="54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80"/>
      <c r="F318" s="54"/>
      <c r="G318" s="3"/>
      <c r="H318" s="3"/>
      <c r="I318" s="3"/>
      <c r="J318" s="3"/>
      <c r="K318" s="3"/>
      <c r="L318" s="54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80"/>
      <c r="F319" s="54"/>
      <c r="G319" s="3"/>
      <c r="H319" s="3"/>
      <c r="I319" s="3"/>
      <c r="J319" s="3"/>
      <c r="K319" s="3"/>
      <c r="L319" s="54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80"/>
      <c r="F320" s="54"/>
      <c r="G320" s="3"/>
      <c r="H320" s="3"/>
      <c r="I320" s="3"/>
      <c r="J320" s="3"/>
      <c r="K320" s="3"/>
      <c r="L320" s="54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80"/>
      <c r="F321" s="54"/>
      <c r="G321" s="3"/>
      <c r="H321" s="3"/>
      <c r="I321" s="3"/>
      <c r="J321" s="3"/>
      <c r="K321" s="3"/>
      <c r="L321" s="54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80"/>
      <c r="F322" s="54"/>
      <c r="G322" s="3"/>
      <c r="H322" s="3"/>
      <c r="I322" s="3"/>
      <c r="J322" s="3"/>
      <c r="K322" s="3"/>
      <c r="L322" s="54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80"/>
      <c r="F323" s="54"/>
      <c r="G323" s="3"/>
      <c r="H323" s="3"/>
      <c r="I323" s="3"/>
      <c r="J323" s="3"/>
      <c r="K323" s="3"/>
      <c r="L323" s="54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80"/>
      <c r="F324" s="54"/>
      <c r="G324" s="3"/>
      <c r="H324" s="3"/>
      <c r="I324" s="3"/>
      <c r="J324" s="3"/>
      <c r="K324" s="3"/>
      <c r="L324" s="54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80"/>
      <c r="F325" s="54"/>
      <c r="G325" s="3"/>
      <c r="H325" s="3"/>
      <c r="I325" s="3"/>
      <c r="J325" s="3"/>
      <c r="K325" s="3"/>
      <c r="L325" s="54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80"/>
      <c r="F326" s="54"/>
      <c r="G326" s="3"/>
      <c r="H326" s="3"/>
      <c r="I326" s="3"/>
      <c r="J326" s="3"/>
      <c r="K326" s="3"/>
      <c r="L326" s="54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80"/>
      <c r="F327" s="54"/>
      <c r="G327" s="3"/>
      <c r="H327" s="3"/>
      <c r="I327" s="3"/>
      <c r="J327" s="3"/>
      <c r="K327" s="3"/>
      <c r="L327" s="54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80"/>
      <c r="F328" s="54"/>
      <c r="G328" s="3"/>
      <c r="H328" s="3"/>
      <c r="I328" s="3"/>
      <c r="J328" s="3"/>
      <c r="K328" s="3"/>
      <c r="L328" s="54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80"/>
      <c r="F329" s="54"/>
      <c r="G329" s="3"/>
      <c r="H329" s="3"/>
      <c r="I329" s="3"/>
      <c r="J329" s="3"/>
      <c r="K329" s="3"/>
      <c r="L329" s="54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80"/>
      <c r="F330" s="54"/>
      <c r="G330" s="3"/>
      <c r="H330" s="3"/>
      <c r="I330" s="3"/>
      <c r="J330" s="3"/>
      <c r="K330" s="3"/>
      <c r="L330" s="54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80"/>
      <c r="F331" s="54"/>
      <c r="G331" s="3"/>
      <c r="H331" s="3"/>
      <c r="I331" s="3"/>
      <c r="J331" s="3"/>
      <c r="K331" s="3"/>
      <c r="L331" s="54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80"/>
      <c r="F332" s="54"/>
      <c r="G332" s="3"/>
      <c r="H332" s="3"/>
      <c r="I332" s="3"/>
      <c r="J332" s="3"/>
      <c r="K332" s="3"/>
      <c r="L332" s="54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80"/>
      <c r="F333" s="54"/>
      <c r="G333" s="3"/>
      <c r="H333" s="3"/>
      <c r="I333" s="3"/>
      <c r="J333" s="3"/>
      <c r="K333" s="3"/>
      <c r="L333" s="54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80"/>
      <c r="F334" s="54"/>
      <c r="G334" s="3"/>
      <c r="H334" s="3"/>
      <c r="I334" s="3"/>
      <c r="J334" s="3"/>
      <c r="K334" s="3"/>
      <c r="L334" s="54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80"/>
      <c r="F335" s="54"/>
      <c r="G335" s="3"/>
      <c r="H335" s="3"/>
      <c r="I335" s="3"/>
      <c r="J335" s="3"/>
      <c r="K335" s="3"/>
      <c r="L335" s="54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80"/>
      <c r="F336" s="54"/>
      <c r="G336" s="3"/>
      <c r="H336" s="3"/>
      <c r="I336" s="3"/>
      <c r="J336" s="3"/>
      <c r="K336" s="3"/>
      <c r="L336" s="54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80"/>
      <c r="F337" s="54"/>
      <c r="G337" s="3"/>
      <c r="H337" s="3"/>
      <c r="I337" s="3"/>
      <c r="J337" s="3"/>
      <c r="K337" s="3"/>
      <c r="L337" s="54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80"/>
      <c r="F338" s="54"/>
      <c r="G338" s="3"/>
      <c r="H338" s="3"/>
      <c r="I338" s="3"/>
      <c r="J338" s="3"/>
      <c r="K338" s="3"/>
      <c r="L338" s="54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80"/>
      <c r="F339" s="54"/>
      <c r="G339" s="3"/>
      <c r="H339" s="3"/>
      <c r="I339" s="3"/>
      <c r="J339" s="3"/>
      <c r="K339" s="3"/>
      <c r="L339" s="54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80"/>
      <c r="F340" s="54"/>
      <c r="G340" s="3"/>
      <c r="H340" s="3"/>
      <c r="I340" s="3"/>
      <c r="J340" s="3"/>
      <c r="K340" s="3"/>
      <c r="L340" s="54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80"/>
      <c r="F341" s="54"/>
      <c r="G341" s="3"/>
      <c r="H341" s="3"/>
      <c r="I341" s="3"/>
      <c r="J341" s="3"/>
      <c r="K341" s="3"/>
      <c r="L341" s="54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80"/>
      <c r="F342" s="54"/>
      <c r="G342" s="3"/>
      <c r="H342" s="3"/>
      <c r="I342" s="3"/>
      <c r="J342" s="3"/>
      <c r="K342" s="3"/>
      <c r="L342" s="54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80"/>
      <c r="F343" s="54"/>
      <c r="G343" s="3"/>
      <c r="H343" s="3"/>
      <c r="I343" s="3"/>
      <c r="J343" s="3"/>
      <c r="K343" s="3"/>
      <c r="L343" s="54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80"/>
      <c r="F344" s="54"/>
      <c r="G344" s="3"/>
      <c r="H344" s="3"/>
      <c r="I344" s="3"/>
      <c r="J344" s="3"/>
      <c r="K344" s="3"/>
      <c r="L344" s="54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80"/>
      <c r="F345" s="54"/>
      <c r="G345" s="3"/>
      <c r="H345" s="3"/>
      <c r="I345" s="3"/>
      <c r="J345" s="3"/>
      <c r="K345" s="3"/>
      <c r="L345" s="54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80"/>
      <c r="F346" s="54"/>
      <c r="G346" s="3"/>
      <c r="H346" s="3"/>
      <c r="I346" s="3"/>
      <c r="J346" s="3"/>
      <c r="K346" s="3"/>
      <c r="L346" s="54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80"/>
      <c r="F347" s="54"/>
      <c r="G347" s="3"/>
      <c r="H347" s="3"/>
      <c r="I347" s="3"/>
      <c r="J347" s="3"/>
      <c r="K347" s="3"/>
      <c r="L347" s="54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80"/>
      <c r="F348" s="54"/>
      <c r="G348" s="3"/>
      <c r="H348" s="3"/>
      <c r="I348" s="3"/>
      <c r="J348" s="3"/>
      <c r="K348" s="3"/>
      <c r="L348" s="54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80"/>
      <c r="F349" s="54"/>
      <c r="G349" s="3"/>
      <c r="H349" s="3"/>
      <c r="I349" s="3"/>
      <c r="J349" s="3"/>
      <c r="K349" s="3"/>
      <c r="L349" s="54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80"/>
      <c r="F350" s="54"/>
      <c r="G350" s="3"/>
      <c r="H350" s="3"/>
      <c r="I350" s="3"/>
      <c r="J350" s="3"/>
      <c r="K350" s="3"/>
      <c r="L350" s="54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80"/>
      <c r="F351" s="54"/>
      <c r="G351" s="3"/>
      <c r="H351" s="3"/>
      <c r="I351" s="3"/>
      <c r="J351" s="3"/>
      <c r="K351" s="3"/>
      <c r="L351" s="54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80"/>
      <c r="F352" s="54"/>
      <c r="G352" s="3"/>
      <c r="H352" s="3"/>
      <c r="I352" s="3"/>
      <c r="J352" s="3"/>
      <c r="K352" s="3"/>
      <c r="L352" s="54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80"/>
      <c r="F353" s="54"/>
      <c r="G353" s="3"/>
      <c r="H353" s="3"/>
      <c r="I353" s="3"/>
      <c r="J353" s="3"/>
      <c r="K353" s="3"/>
      <c r="L353" s="54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80"/>
      <c r="F354" s="54"/>
      <c r="G354" s="3"/>
      <c r="H354" s="3"/>
      <c r="I354" s="3"/>
      <c r="J354" s="3"/>
      <c r="K354" s="3"/>
      <c r="L354" s="54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80"/>
      <c r="F355" s="54"/>
      <c r="G355" s="3"/>
      <c r="H355" s="3"/>
      <c r="I355" s="3"/>
      <c r="J355" s="3"/>
      <c r="K355" s="3"/>
      <c r="L355" s="54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80"/>
      <c r="F356" s="54"/>
      <c r="G356" s="3"/>
      <c r="H356" s="3"/>
      <c r="I356" s="3"/>
      <c r="J356" s="3"/>
      <c r="K356" s="3"/>
      <c r="L356" s="54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80"/>
      <c r="F357" s="54"/>
      <c r="G357" s="3"/>
      <c r="H357" s="3"/>
      <c r="I357" s="3"/>
      <c r="J357" s="3"/>
      <c r="K357" s="3"/>
      <c r="L357" s="54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80"/>
      <c r="F358" s="54"/>
      <c r="G358" s="3"/>
      <c r="H358" s="3"/>
      <c r="I358" s="3"/>
      <c r="J358" s="3"/>
      <c r="K358" s="3"/>
      <c r="L358" s="54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80"/>
      <c r="F359" s="54"/>
      <c r="G359" s="3"/>
      <c r="H359" s="3"/>
      <c r="I359" s="3"/>
      <c r="J359" s="3"/>
      <c r="K359" s="3"/>
      <c r="L359" s="54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80"/>
      <c r="F360" s="54"/>
      <c r="G360" s="3"/>
      <c r="H360" s="3"/>
      <c r="I360" s="3"/>
      <c r="J360" s="3"/>
      <c r="K360" s="3"/>
      <c r="L360" s="54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80"/>
      <c r="F361" s="54"/>
      <c r="G361" s="3"/>
      <c r="H361" s="3"/>
      <c r="I361" s="3"/>
      <c r="J361" s="3"/>
      <c r="K361" s="3"/>
      <c r="L361" s="54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80"/>
      <c r="F362" s="54"/>
      <c r="G362" s="3"/>
      <c r="H362" s="3"/>
      <c r="I362" s="3"/>
      <c r="J362" s="3"/>
      <c r="K362" s="3"/>
      <c r="L362" s="54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80"/>
      <c r="F363" s="54"/>
      <c r="G363" s="3"/>
      <c r="H363" s="3"/>
      <c r="I363" s="3"/>
      <c r="J363" s="3"/>
      <c r="K363" s="3"/>
      <c r="L363" s="54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80"/>
      <c r="F364" s="54"/>
      <c r="G364" s="3"/>
      <c r="H364" s="3"/>
      <c r="I364" s="3"/>
      <c r="J364" s="3"/>
      <c r="K364" s="3"/>
      <c r="L364" s="54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80"/>
      <c r="F365" s="54"/>
      <c r="G365" s="3"/>
      <c r="H365" s="3"/>
      <c r="I365" s="3"/>
      <c r="J365" s="3"/>
      <c r="K365" s="3"/>
      <c r="L365" s="54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80"/>
      <c r="F366" s="54"/>
      <c r="G366" s="3"/>
      <c r="H366" s="3"/>
      <c r="I366" s="3"/>
      <c r="J366" s="3"/>
      <c r="K366" s="3"/>
      <c r="L366" s="54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80"/>
      <c r="F367" s="54"/>
      <c r="G367" s="3"/>
      <c r="H367" s="3"/>
      <c r="I367" s="3"/>
      <c r="J367" s="3"/>
      <c r="K367" s="3"/>
      <c r="L367" s="54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80"/>
      <c r="F368" s="54"/>
      <c r="G368" s="3"/>
      <c r="H368" s="3"/>
      <c r="I368" s="3"/>
      <c r="J368" s="3"/>
      <c r="K368" s="3"/>
      <c r="L368" s="54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80"/>
      <c r="F369" s="54"/>
      <c r="G369" s="3"/>
      <c r="H369" s="3"/>
      <c r="I369" s="3"/>
      <c r="J369" s="3"/>
      <c r="K369" s="3"/>
      <c r="L369" s="54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80"/>
      <c r="F370" s="54"/>
      <c r="G370" s="3"/>
      <c r="H370" s="3"/>
      <c r="I370" s="3"/>
      <c r="J370" s="3"/>
      <c r="K370" s="3"/>
      <c r="L370" s="54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80"/>
      <c r="F371" s="54"/>
      <c r="G371" s="3"/>
      <c r="H371" s="3"/>
      <c r="I371" s="3"/>
      <c r="J371" s="3"/>
      <c r="K371" s="3"/>
      <c r="L371" s="54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80"/>
      <c r="F372" s="54"/>
      <c r="G372" s="3"/>
      <c r="H372" s="3"/>
      <c r="I372" s="3"/>
      <c r="J372" s="3"/>
      <c r="K372" s="3"/>
      <c r="L372" s="54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80"/>
      <c r="F373" s="54"/>
      <c r="G373" s="3"/>
      <c r="H373" s="3"/>
      <c r="I373" s="3"/>
      <c r="J373" s="3"/>
      <c r="K373" s="3"/>
      <c r="L373" s="54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80"/>
      <c r="F374" s="54"/>
      <c r="G374" s="3"/>
      <c r="H374" s="3"/>
      <c r="I374" s="3"/>
      <c r="J374" s="3"/>
      <c r="K374" s="3"/>
      <c r="L374" s="54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80"/>
      <c r="F375" s="54"/>
      <c r="G375" s="3"/>
      <c r="H375" s="3"/>
      <c r="I375" s="3"/>
      <c r="J375" s="3"/>
      <c r="K375" s="3"/>
      <c r="L375" s="54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80"/>
      <c r="F376" s="54"/>
      <c r="G376" s="3"/>
      <c r="H376" s="3"/>
      <c r="I376" s="3"/>
      <c r="J376" s="3"/>
      <c r="K376" s="3"/>
      <c r="L376" s="54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80"/>
      <c r="F377" s="54"/>
      <c r="G377" s="3"/>
      <c r="H377" s="3"/>
      <c r="I377" s="3"/>
      <c r="J377" s="3"/>
      <c r="K377" s="3"/>
      <c r="L377" s="54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80"/>
      <c r="F378" s="54"/>
      <c r="G378" s="3"/>
      <c r="H378" s="3"/>
      <c r="I378" s="3"/>
      <c r="J378" s="3"/>
      <c r="K378" s="3"/>
      <c r="L378" s="54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80"/>
      <c r="F379" s="54"/>
      <c r="G379" s="3"/>
      <c r="H379" s="3"/>
      <c r="I379" s="3"/>
      <c r="J379" s="3"/>
      <c r="K379" s="3"/>
      <c r="L379" s="54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80"/>
      <c r="F380" s="54"/>
      <c r="G380" s="3"/>
      <c r="H380" s="3"/>
      <c r="I380" s="3"/>
      <c r="J380" s="3"/>
      <c r="K380" s="3"/>
      <c r="L380" s="54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80"/>
      <c r="F381" s="54"/>
      <c r="G381" s="3"/>
      <c r="H381" s="3"/>
      <c r="I381" s="3"/>
      <c r="J381" s="3"/>
      <c r="K381" s="3"/>
      <c r="L381" s="54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80"/>
      <c r="F382" s="54"/>
      <c r="G382" s="3"/>
      <c r="H382" s="3"/>
      <c r="I382" s="3"/>
      <c r="J382" s="3"/>
      <c r="K382" s="3"/>
      <c r="L382" s="54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80"/>
      <c r="F383" s="54"/>
      <c r="G383" s="3"/>
      <c r="H383" s="3"/>
      <c r="I383" s="3"/>
      <c r="J383" s="3"/>
      <c r="K383" s="3"/>
      <c r="L383" s="54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80"/>
      <c r="F384" s="54"/>
      <c r="G384" s="3"/>
      <c r="H384" s="3"/>
      <c r="I384" s="3"/>
      <c r="J384" s="3"/>
      <c r="K384" s="3"/>
      <c r="L384" s="54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80"/>
      <c r="F385" s="54"/>
      <c r="G385" s="3"/>
      <c r="H385" s="3"/>
      <c r="I385" s="3"/>
      <c r="J385" s="3"/>
      <c r="K385" s="3"/>
      <c r="L385" s="54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80"/>
      <c r="F386" s="54"/>
      <c r="G386" s="3"/>
      <c r="H386" s="3"/>
      <c r="I386" s="3"/>
      <c r="J386" s="3"/>
      <c r="K386" s="3"/>
      <c r="L386" s="54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80"/>
      <c r="F387" s="54"/>
      <c r="G387" s="3"/>
      <c r="H387" s="3"/>
      <c r="I387" s="3"/>
      <c r="J387" s="3"/>
      <c r="K387" s="3"/>
      <c r="L387" s="54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80"/>
      <c r="F388" s="54"/>
      <c r="G388" s="3"/>
      <c r="H388" s="3"/>
      <c r="I388" s="3"/>
      <c r="J388" s="3"/>
      <c r="K388" s="3"/>
      <c r="L388" s="54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80"/>
      <c r="F389" s="54"/>
      <c r="G389" s="3"/>
      <c r="H389" s="3"/>
      <c r="I389" s="3"/>
      <c r="J389" s="3"/>
      <c r="K389" s="3"/>
      <c r="L389" s="54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80"/>
      <c r="F390" s="54"/>
      <c r="G390" s="3"/>
      <c r="H390" s="3"/>
      <c r="I390" s="3"/>
      <c r="J390" s="3"/>
      <c r="K390" s="3"/>
      <c r="L390" s="54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80"/>
      <c r="F391" s="54"/>
      <c r="G391" s="3"/>
      <c r="H391" s="3"/>
      <c r="I391" s="3"/>
      <c r="J391" s="3"/>
      <c r="K391" s="3"/>
      <c r="L391" s="54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80"/>
      <c r="F392" s="54"/>
      <c r="G392" s="3"/>
      <c r="H392" s="3"/>
      <c r="I392" s="3"/>
      <c r="J392" s="3"/>
      <c r="K392" s="3"/>
      <c r="L392" s="54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80"/>
      <c r="F393" s="54"/>
      <c r="G393" s="3"/>
      <c r="H393" s="3"/>
      <c r="I393" s="3"/>
      <c r="J393" s="3"/>
      <c r="K393" s="3"/>
      <c r="L393" s="54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80"/>
      <c r="F394" s="54"/>
      <c r="G394" s="3"/>
      <c r="H394" s="3"/>
      <c r="I394" s="3"/>
      <c r="J394" s="3"/>
      <c r="K394" s="3"/>
      <c r="L394" s="54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80"/>
      <c r="F395" s="54"/>
      <c r="G395" s="3"/>
      <c r="H395" s="3"/>
      <c r="I395" s="3"/>
      <c r="J395" s="3"/>
      <c r="K395" s="3"/>
      <c r="L395" s="54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80"/>
      <c r="F396" s="54"/>
      <c r="G396" s="3"/>
      <c r="H396" s="3"/>
      <c r="I396" s="3"/>
      <c r="J396" s="3"/>
      <c r="K396" s="3"/>
      <c r="L396" s="54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80"/>
      <c r="F397" s="54"/>
      <c r="G397" s="3"/>
      <c r="H397" s="3"/>
      <c r="I397" s="3"/>
      <c r="J397" s="3"/>
      <c r="K397" s="3"/>
      <c r="L397" s="54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80"/>
      <c r="F398" s="54"/>
      <c r="G398" s="3"/>
      <c r="H398" s="3"/>
      <c r="I398" s="3"/>
      <c r="J398" s="3"/>
      <c r="K398" s="3"/>
      <c r="L398" s="54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80"/>
      <c r="F399" s="54"/>
      <c r="G399" s="3"/>
      <c r="H399" s="3"/>
      <c r="I399" s="3"/>
      <c r="J399" s="3"/>
      <c r="K399" s="3"/>
      <c r="L399" s="54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80"/>
      <c r="F400" s="54"/>
      <c r="G400" s="3"/>
      <c r="H400" s="3"/>
      <c r="I400" s="3"/>
      <c r="J400" s="3"/>
      <c r="K400" s="3"/>
      <c r="L400" s="54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80"/>
      <c r="F401" s="54"/>
      <c r="G401" s="3"/>
      <c r="H401" s="3"/>
      <c r="I401" s="3"/>
      <c r="J401" s="3"/>
      <c r="K401" s="3"/>
      <c r="L401" s="54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80"/>
      <c r="F402" s="54"/>
      <c r="G402" s="3"/>
      <c r="H402" s="3"/>
      <c r="I402" s="3"/>
      <c r="J402" s="3"/>
      <c r="K402" s="3"/>
      <c r="L402" s="54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80"/>
      <c r="F403" s="54"/>
      <c r="G403" s="3"/>
      <c r="H403" s="3"/>
      <c r="I403" s="3"/>
      <c r="J403" s="3"/>
      <c r="K403" s="3"/>
      <c r="L403" s="54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80"/>
      <c r="F404" s="54"/>
      <c r="G404" s="3"/>
      <c r="H404" s="3"/>
      <c r="I404" s="3"/>
      <c r="J404" s="3"/>
      <c r="K404" s="3"/>
      <c r="L404" s="54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80"/>
      <c r="F405" s="54"/>
      <c r="G405" s="3"/>
      <c r="H405" s="3"/>
      <c r="I405" s="3"/>
      <c r="J405" s="3"/>
      <c r="K405" s="3"/>
      <c r="L405" s="54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80"/>
      <c r="F406" s="54"/>
      <c r="G406" s="3"/>
      <c r="H406" s="3"/>
      <c r="I406" s="3"/>
      <c r="J406" s="3"/>
      <c r="K406" s="3"/>
      <c r="L406" s="54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80"/>
      <c r="F407" s="54"/>
      <c r="G407" s="3"/>
      <c r="H407" s="3"/>
      <c r="I407" s="3"/>
      <c r="J407" s="3"/>
      <c r="K407" s="3"/>
      <c r="L407" s="54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80"/>
      <c r="F408" s="54"/>
      <c r="G408" s="3"/>
      <c r="H408" s="3"/>
      <c r="I408" s="3"/>
      <c r="J408" s="3"/>
      <c r="K408" s="3"/>
      <c r="L408" s="54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80"/>
      <c r="F409" s="54"/>
      <c r="G409" s="3"/>
      <c r="H409" s="3"/>
      <c r="I409" s="3"/>
      <c r="J409" s="3"/>
      <c r="K409" s="3"/>
      <c r="L409" s="54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80"/>
      <c r="F410" s="54"/>
      <c r="G410" s="3"/>
      <c r="H410" s="3"/>
      <c r="I410" s="3"/>
      <c r="J410" s="3"/>
      <c r="K410" s="3"/>
      <c r="L410" s="54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80"/>
      <c r="F411" s="54"/>
      <c r="G411" s="3"/>
      <c r="H411" s="3"/>
      <c r="I411" s="3"/>
      <c r="J411" s="3"/>
      <c r="K411" s="3"/>
      <c r="L411" s="54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80"/>
      <c r="F412" s="54"/>
      <c r="G412" s="3"/>
      <c r="H412" s="3"/>
      <c r="I412" s="3"/>
      <c r="J412" s="3"/>
      <c r="K412" s="3"/>
      <c r="L412" s="54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80"/>
      <c r="F413" s="54"/>
      <c r="G413" s="3"/>
      <c r="H413" s="3"/>
      <c r="I413" s="3"/>
      <c r="J413" s="3"/>
      <c r="K413" s="3"/>
      <c r="L413" s="54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80"/>
      <c r="F414" s="54"/>
      <c r="G414" s="3"/>
      <c r="H414" s="3"/>
      <c r="I414" s="3"/>
      <c r="J414" s="3"/>
      <c r="K414" s="3"/>
      <c r="L414" s="54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80"/>
      <c r="F415" s="54"/>
      <c r="G415" s="3"/>
      <c r="H415" s="3"/>
      <c r="I415" s="3"/>
      <c r="J415" s="3"/>
      <c r="K415" s="3"/>
      <c r="L415" s="54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80"/>
      <c r="F416" s="54"/>
      <c r="G416" s="3"/>
      <c r="H416" s="3"/>
      <c r="I416" s="3"/>
      <c r="J416" s="3"/>
      <c r="K416" s="3"/>
      <c r="L416" s="54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80"/>
      <c r="F417" s="54"/>
      <c r="G417" s="3"/>
      <c r="H417" s="3"/>
      <c r="I417" s="3"/>
      <c r="J417" s="3"/>
      <c r="K417" s="3"/>
      <c r="L417" s="54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80"/>
      <c r="F418" s="54"/>
      <c r="G418" s="3"/>
      <c r="H418" s="3"/>
      <c r="I418" s="3"/>
      <c r="J418" s="3"/>
      <c r="K418" s="3"/>
      <c r="L418" s="54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80"/>
      <c r="F419" s="54"/>
      <c r="G419" s="3"/>
      <c r="H419" s="3"/>
      <c r="I419" s="3"/>
      <c r="J419" s="3"/>
      <c r="K419" s="3"/>
      <c r="L419" s="54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80"/>
      <c r="F420" s="54"/>
      <c r="G420" s="3"/>
      <c r="H420" s="3"/>
      <c r="I420" s="3"/>
      <c r="J420" s="3"/>
      <c r="K420" s="3"/>
      <c r="L420" s="54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80"/>
      <c r="F421" s="54"/>
      <c r="G421" s="3"/>
      <c r="H421" s="3"/>
      <c r="I421" s="3"/>
      <c r="J421" s="3"/>
      <c r="K421" s="3"/>
      <c r="L421" s="54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80"/>
      <c r="F422" s="54"/>
      <c r="G422" s="3"/>
      <c r="H422" s="3"/>
      <c r="I422" s="3"/>
      <c r="J422" s="3"/>
      <c r="K422" s="3"/>
      <c r="L422" s="54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80"/>
      <c r="F423" s="54"/>
      <c r="G423" s="3"/>
      <c r="H423" s="3"/>
      <c r="I423" s="3"/>
      <c r="J423" s="3"/>
      <c r="K423" s="3"/>
      <c r="L423" s="54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80"/>
      <c r="F424" s="54"/>
      <c r="G424" s="3"/>
      <c r="H424" s="3"/>
      <c r="I424" s="3"/>
      <c r="J424" s="3"/>
      <c r="K424" s="3"/>
      <c r="L424" s="54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80"/>
      <c r="F425" s="54"/>
      <c r="G425" s="3"/>
      <c r="H425" s="3"/>
      <c r="I425" s="3"/>
      <c r="J425" s="3"/>
      <c r="K425" s="3"/>
      <c r="L425" s="54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80"/>
      <c r="F426" s="54"/>
      <c r="G426" s="3"/>
      <c r="H426" s="3"/>
      <c r="I426" s="3"/>
      <c r="J426" s="3"/>
      <c r="K426" s="3"/>
      <c r="L426" s="54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80"/>
      <c r="F427" s="54"/>
      <c r="G427" s="3"/>
      <c r="H427" s="3"/>
      <c r="I427" s="3"/>
      <c r="J427" s="3"/>
      <c r="K427" s="3"/>
      <c r="L427" s="54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80"/>
      <c r="F428" s="54"/>
      <c r="G428" s="3"/>
      <c r="H428" s="3"/>
      <c r="I428" s="3"/>
      <c r="J428" s="3"/>
      <c r="K428" s="3"/>
      <c r="L428" s="54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80"/>
      <c r="F429" s="54"/>
      <c r="G429" s="3"/>
      <c r="H429" s="3"/>
      <c r="I429" s="3"/>
      <c r="J429" s="3"/>
      <c r="K429" s="3"/>
      <c r="L429" s="54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80"/>
      <c r="F430" s="54"/>
      <c r="G430" s="3"/>
      <c r="H430" s="3"/>
      <c r="I430" s="3"/>
      <c r="J430" s="3"/>
      <c r="K430" s="3"/>
      <c r="L430" s="54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80"/>
      <c r="F431" s="54"/>
      <c r="G431" s="3"/>
      <c r="H431" s="3"/>
      <c r="I431" s="3"/>
      <c r="J431" s="3"/>
      <c r="K431" s="3"/>
      <c r="L431" s="54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80"/>
      <c r="F432" s="54"/>
      <c r="G432" s="3"/>
      <c r="H432" s="3"/>
      <c r="I432" s="3"/>
      <c r="J432" s="3"/>
      <c r="K432" s="3"/>
      <c r="L432" s="54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80"/>
      <c r="F433" s="54"/>
      <c r="G433" s="3"/>
      <c r="H433" s="3"/>
      <c r="I433" s="3"/>
      <c r="J433" s="3"/>
      <c r="K433" s="3"/>
      <c r="L433" s="54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80"/>
      <c r="F434" s="54"/>
      <c r="G434" s="3"/>
      <c r="H434" s="3"/>
      <c r="I434" s="3"/>
      <c r="J434" s="3"/>
      <c r="K434" s="3"/>
      <c r="L434" s="54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80"/>
      <c r="F435" s="54"/>
      <c r="G435" s="3"/>
      <c r="H435" s="3"/>
      <c r="I435" s="3"/>
      <c r="J435" s="3"/>
      <c r="K435" s="3"/>
      <c r="L435" s="54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80"/>
      <c r="F436" s="54"/>
      <c r="G436" s="3"/>
      <c r="H436" s="3"/>
      <c r="I436" s="3"/>
      <c r="J436" s="3"/>
      <c r="K436" s="3"/>
      <c r="L436" s="54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80"/>
      <c r="F437" s="54"/>
      <c r="G437" s="3"/>
      <c r="H437" s="3"/>
      <c r="I437" s="3"/>
      <c r="J437" s="3"/>
      <c r="K437" s="3"/>
      <c r="L437" s="54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80"/>
      <c r="F438" s="54"/>
      <c r="G438" s="3"/>
      <c r="H438" s="3"/>
      <c r="I438" s="3"/>
      <c r="J438" s="3"/>
      <c r="K438" s="3"/>
      <c r="L438" s="54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80"/>
      <c r="F439" s="54"/>
      <c r="G439" s="3"/>
      <c r="H439" s="3"/>
      <c r="I439" s="3"/>
      <c r="J439" s="3"/>
      <c r="K439" s="3"/>
      <c r="L439" s="54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80"/>
      <c r="F440" s="54"/>
      <c r="G440" s="3"/>
      <c r="H440" s="3"/>
      <c r="I440" s="3"/>
      <c r="J440" s="3"/>
      <c r="K440" s="3"/>
      <c r="L440" s="54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80"/>
      <c r="F441" s="54"/>
      <c r="G441" s="3"/>
      <c r="H441" s="3"/>
      <c r="I441" s="3"/>
      <c r="J441" s="3"/>
      <c r="K441" s="3"/>
      <c r="L441" s="54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80"/>
      <c r="F442" s="54"/>
      <c r="G442" s="3"/>
      <c r="H442" s="3"/>
      <c r="I442" s="3"/>
      <c r="J442" s="3"/>
      <c r="K442" s="3"/>
      <c r="L442" s="54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80"/>
      <c r="F443" s="54"/>
      <c r="G443" s="3"/>
      <c r="H443" s="3"/>
      <c r="I443" s="3"/>
      <c r="J443" s="3"/>
      <c r="K443" s="3"/>
      <c r="L443" s="54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80"/>
      <c r="F444" s="54"/>
      <c r="G444" s="3"/>
      <c r="H444" s="3"/>
      <c r="I444" s="3"/>
      <c r="J444" s="3"/>
      <c r="K444" s="3"/>
      <c r="L444" s="54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80"/>
      <c r="F445" s="54"/>
      <c r="G445" s="3"/>
      <c r="H445" s="3"/>
      <c r="I445" s="3"/>
      <c r="J445" s="3"/>
      <c r="K445" s="3"/>
      <c r="L445" s="54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80"/>
      <c r="F446" s="54"/>
      <c r="G446" s="3"/>
      <c r="H446" s="3"/>
      <c r="I446" s="3"/>
      <c r="J446" s="3"/>
      <c r="K446" s="3"/>
      <c r="L446" s="54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80"/>
      <c r="F447" s="54"/>
      <c r="G447" s="3"/>
      <c r="H447" s="3"/>
      <c r="I447" s="3"/>
      <c r="J447" s="3"/>
      <c r="K447" s="3"/>
      <c r="L447" s="54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80"/>
      <c r="F448" s="54"/>
      <c r="G448" s="3"/>
      <c r="H448" s="3"/>
      <c r="I448" s="3"/>
      <c r="J448" s="3"/>
      <c r="K448" s="3"/>
      <c r="L448" s="54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80"/>
      <c r="F449" s="54"/>
      <c r="G449" s="3"/>
      <c r="H449" s="3"/>
      <c r="I449" s="3"/>
      <c r="J449" s="3"/>
      <c r="K449" s="3"/>
      <c r="L449" s="54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80"/>
      <c r="F450" s="54"/>
      <c r="G450" s="3"/>
      <c r="H450" s="3"/>
      <c r="I450" s="3"/>
      <c r="J450" s="3"/>
      <c r="K450" s="3"/>
      <c r="L450" s="54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80"/>
      <c r="F451" s="54"/>
      <c r="G451" s="3"/>
      <c r="H451" s="3"/>
      <c r="I451" s="3"/>
      <c r="J451" s="3"/>
      <c r="K451" s="3"/>
      <c r="L451" s="54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80"/>
      <c r="F452" s="54"/>
      <c r="G452" s="3"/>
      <c r="H452" s="3"/>
      <c r="I452" s="3"/>
      <c r="J452" s="3"/>
      <c r="K452" s="3"/>
      <c r="L452" s="54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80"/>
      <c r="F453" s="54"/>
      <c r="G453" s="3"/>
      <c r="H453" s="3"/>
      <c r="I453" s="3"/>
      <c r="J453" s="3"/>
      <c r="K453" s="3"/>
      <c r="L453" s="54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80"/>
      <c r="F454" s="54"/>
      <c r="G454" s="3"/>
      <c r="H454" s="3"/>
      <c r="I454" s="3"/>
      <c r="J454" s="3"/>
      <c r="K454" s="3"/>
      <c r="L454" s="54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80"/>
      <c r="F455" s="54"/>
      <c r="G455" s="3"/>
      <c r="H455" s="3"/>
      <c r="I455" s="3"/>
      <c r="J455" s="3"/>
      <c r="K455" s="3"/>
      <c r="L455" s="54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80"/>
      <c r="F456" s="54"/>
      <c r="G456" s="3"/>
      <c r="H456" s="3"/>
      <c r="I456" s="3"/>
      <c r="J456" s="3"/>
      <c r="K456" s="3"/>
      <c r="L456" s="54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80"/>
      <c r="F457" s="54"/>
      <c r="G457" s="3"/>
      <c r="H457" s="3"/>
      <c r="I457" s="3"/>
      <c r="J457" s="3"/>
      <c r="K457" s="3"/>
      <c r="L457" s="54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80"/>
      <c r="F458" s="54"/>
      <c r="G458" s="3"/>
      <c r="H458" s="3"/>
      <c r="I458" s="3"/>
      <c r="J458" s="3"/>
      <c r="K458" s="3"/>
      <c r="L458" s="54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80"/>
      <c r="F459" s="54"/>
      <c r="G459" s="3"/>
      <c r="H459" s="3"/>
      <c r="I459" s="3"/>
      <c r="J459" s="3"/>
      <c r="K459" s="3"/>
      <c r="L459" s="54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80"/>
      <c r="F460" s="54"/>
      <c r="G460" s="3"/>
      <c r="H460" s="3"/>
      <c r="I460" s="3"/>
      <c r="J460" s="3"/>
      <c r="K460" s="3"/>
      <c r="L460" s="54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80"/>
      <c r="F461" s="54"/>
      <c r="G461" s="3"/>
      <c r="H461" s="3"/>
      <c r="I461" s="3"/>
      <c r="J461" s="3"/>
      <c r="K461" s="3"/>
      <c r="L461" s="54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80"/>
      <c r="F462" s="54"/>
      <c r="G462" s="3"/>
      <c r="H462" s="3"/>
      <c r="I462" s="3"/>
      <c r="J462" s="3"/>
      <c r="K462" s="3"/>
      <c r="L462" s="54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80"/>
      <c r="F463" s="54"/>
      <c r="G463" s="3"/>
      <c r="H463" s="3"/>
      <c r="I463" s="3"/>
      <c r="J463" s="3"/>
      <c r="K463" s="3"/>
      <c r="L463" s="54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80"/>
      <c r="F464" s="54"/>
      <c r="G464" s="3"/>
      <c r="H464" s="3"/>
      <c r="I464" s="3"/>
      <c r="J464" s="3"/>
      <c r="K464" s="3"/>
      <c r="L464" s="54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80"/>
      <c r="F465" s="54"/>
      <c r="G465" s="3"/>
      <c r="H465" s="3"/>
      <c r="I465" s="3"/>
      <c r="J465" s="3"/>
      <c r="K465" s="3"/>
      <c r="L465" s="54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80"/>
      <c r="F466" s="54"/>
      <c r="G466" s="3"/>
      <c r="H466" s="3"/>
      <c r="I466" s="3"/>
      <c r="J466" s="3"/>
      <c r="K466" s="3"/>
      <c r="L466" s="54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80"/>
      <c r="F467" s="54"/>
      <c r="G467" s="3"/>
      <c r="H467" s="3"/>
      <c r="I467" s="3"/>
      <c r="J467" s="3"/>
      <c r="K467" s="3"/>
      <c r="L467" s="54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80"/>
      <c r="F468" s="54"/>
      <c r="G468" s="3"/>
      <c r="H468" s="3"/>
      <c r="I468" s="3"/>
      <c r="J468" s="3"/>
      <c r="K468" s="3"/>
      <c r="L468" s="54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80"/>
      <c r="F469" s="54"/>
      <c r="G469" s="3"/>
      <c r="H469" s="3"/>
      <c r="I469" s="3"/>
      <c r="J469" s="3"/>
      <c r="K469" s="3"/>
      <c r="L469" s="54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80"/>
      <c r="F470" s="54"/>
      <c r="G470" s="3"/>
      <c r="H470" s="3"/>
      <c r="I470" s="3"/>
      <c r="J470" s="3"/>
      <c r="K470" s="3"/>
      <c r="L470" s="54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80"/>
      <c r="F471" s="54"/>
      <c r="G471" s="3"/>
      <c r="H471" s="3"/>
      <c r="I471" s="3"/>
      <c r="J471" s="3"/>
      <c r="K471" s="3"/>
      <c r="L471" s="54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80"/>
      <c r="F472" s="54"/>
      <c r="G472" s="3"/>
      <c r="H472" s="3"/>
      <c r="I472" s="3"/>
      <c r="J472" s="3"/>
      <c r="K472" s="3"/>
      <c r="L472" s="54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80"/>
      <c r="F473" s="54"/>
      <c r="G473" s="3"/>
      <c r="H473" s="3"/>
      <c r="I473" s="3"/>
      <c r="J473" s="3"/>
      <c r="K473" s="3"/>
      <c r="L473" s="54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80"/>
      <c r="F474" s="54"/>
      <c r="G474" s="3"/>
      <c r="H474" s="3"/>
      <c r="I474" s="3"/>
      <c r="J474" s="3"/>
      <c r="K474" s="3"/>
      <c r="L474" s="54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80"/>
      <c r="F475" s="54"/>
      <c r="G475" s="3"/>
      <c r="H475" s="3"/>
      <c r="I475" s="3"/>
      <c r="J475" s="3"/>
      <c r="K475" s="3"/>
      <c r="L475" s="54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80"/>
      <c r="F476" s="54"/>
      <c r="G476" s="3"/>
      <c r="H476" s="3"/>
      <c r="I476" s="3"/>
      <c r="J476" s="3"/>
      <c r="K476" s="3"/>
      <c r="L476" s="54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80"/>
      <c r="F477" s="54"/>
      <c r="G477" s="3"/>
      <c r="H477" s="3"/>
      <c r="I477" s="3"/>
      <c r="J477" s="3"/>
      <c r="K477" s="3"/>
      <c r="L477" s="54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80"/>
      <c r="F478" s="54"/>
      <c r="G478" s="3"/>
      <c r="H478" s="3"/>
      <c r="I478" s="3"/>
      <c r="J478" s="3"/>
      <c r="K478" s="3"/>
      <c r="L478" s="54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80"/>
      <c r="F479" s="54"/>
      <c r="G479" s="3"/>
      <c r="H479" s="3"/>
      <c r="I479" s="3"/>
      <c r="J479" s="3"/>
      <c r="K479" s="3"/>
      <c r="L479" s="54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80"/>
      <c r="F480" s="54"/>
      <c r="G480" s="3"/>
      <c r="H480" s="3"/>
      <c r="I480" s="3"/>
      <c r="J480" s="3"/>
      <c r="K480" s="3"/>
      <c r="L480" s="54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80"/>
      <c r="F481" s="54"/>
      <c r="G481" s="3"/>
      <c r="H481" s="3"/>
      <c r="I481" s="3"/>
      <c r="J481" s="3"/>
      <c r="K481" s="3"/>
      <c r="L481" s="54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80"/>
      <c r="F482" s="54"/>
      <c r="G482" s="3"/>
      <c r="H482" s="3"/>
      <c r="I482" s="3"/>
      <c r="J482" s="3"/>
      <c r="K482" s="3"/>
      <c r="L482" s="54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80"/>
      <c r="F483" s="54"/>
      <c r="G483" s="3"/>
      <c r="H483" s="3"/>
      <c r="I483" s="3"/>
      <c r="J483" s="3"/>
      <c r="K483" s="3"/>
      <c r="L483" s="54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80"/>
      <c r="F484" s="54"/>
      <c r="G484" s="3"/>
      <c r="H484" s="3"/>
      <c r="I484" s="3"/>
      <c r="J484" s="3"/>
      <c r="K484" s="3"/>
      <c r="L484" s="54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80"/>
      <c r="F485" s="54"/>
      <c r="G485" s="3"/>
      <c r="H485" s="3"/>
      <c r="I485" s="3"/>
      <c r="J485" s="3"/>
      <c r="K485" s="3"/>
      <c r="L485" s="54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80"/>
      <c r="F486" s="54"/>
      <c r="G486" s="3"/>
      <c r="H486" s="3"/>
      <c r="I486" s="3"/>
      <c r="J486" s="3"/>
      <c r="K486" s="3"/>
      <c r="L486" s="54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80"/>
      <c r="F487" s="54"/>
      <c r="G487" s="3"/>
      <c r="H487" s="3"/>
      <c r="I487" s="3"/>
      <c r="J487" s="3"/>
      <c r="K487" s="3"/>
      <c r="L487" s="54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80"/>
      <c r="F488" s="54"/>
      <c r="G488" s="3"/>
      <c r="H488" s="3"/>
      <c r="I488" s="3"/>
      <c r="J488" s="3"/>
      <c r="K488" s="3"/>
      <c r="L488" s="54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80"/>
      <c r="F489" s="54"/>
      <c r="G489" s="3"/>
      <c r="H489" s="3"/>
      <c r="I489" s="3"/>
      <c r="J489" s="3"/>
      <c r="K489" s="3"/>
      <c r="L489" s="54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80"/>
      <c r="F490" s="54"/>
      <c r="G490" s="3"/>
      <c r="H490" s="3"/>
      <c r="I490" s="3"/>
      <c r="J490" s="3"/>
      <c r="K490" s="3"/>
      <c r="L490" s="54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80"/>
      <c r="F491" s="54"/>
      <c r="G491" s="3"/>
      <c r="H491" s="3"/>
      <c r="I491" s="3"/>
      <c r="J491" s="3"/>
      <c r="K491" s="3"/>
      <c r="L491" s="54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80"/>
      <c r="F492" s="54"/>
      <c r="G492" s="3"/>
      <c r="H492" s="3"/>
      <c r="I492" s="3"/>
      <c r="J492" s="3"/>
      <c r="K492" s="3"/>
      <c r="L492" s="54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80"/>
      <c r="F493" s="54"/>
      <c r="G493" s="3"/>
      <c r="H493" s="3"/>
      <c r="I493" s="3"/>
      <c r="J493" s="3"/>
      <c r="K493" s="3"/>
      <c r="L493" s="54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80"/>
      <c r="F494" s="54"/>
      <c r="G494" s="3"/>
      <c r="H494" s="3"/>
      <c r="I494" s="3"/>
      <c r="J494" s="3"/>
      <c r="K494" s="3"/>
      <c r="L494" s="54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80"/>
      <c r="F495" s="54"/>
      <c r="G495" s="3"/>
      <c r="H495" s="3"/>
      <c r="I495" s="3"/>
      <c r="J495" s="3"/>
      <c r="K495" s="3"/>
      <c r="L495" s="54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80"/>
      <c r="F496" s="54"/>
      <c r="G496" s="3"/>
      <c r="H496" s="3"/>
      <c r="I496" s="3"/>
      <c r="J496" s="3"/>
      <c r="K496" s="3"/>
      <c r="L496" s="54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80"/>
      <c r="F497" s="54"/>
      <c r="G497" s="3"/>
      <c r="H497" s="3"/>
      <c r="I497" s="3"/>
      <c r="J497" s="3"/>
      <c r="K497" s="3"/>
      <c r="L497" s="54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80"/>
      <c r="F498" s="54"/>
      <c r="G498" s="3"/>
      <c r="H498" s="3"/>
      <c r="I498" s="3"/>
      <c r="J498" s="3"/>
      <c r="K498" s="3"/>
      <c r="L498" s="54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80"/>
      <c r="F499" s="54"/>
      <c r="G499" s="3"/>
      <c r="H499" s="3"/>
      <c r="I499" s="3"/>
      <c r="J499" s="3"/>
      <c r="K499" s="3"/>
      <c r="L499" s="54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80"/>
      <c r="F500" s="54"/>
      <c r="G500" s="3"/>
      <c r="H500" s="3"/>
      <c r="I500" s="3"/>
      <c r="J500" s="3"/>
      <c r="K500" s="3"/>
      <c r="L500" s="54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80"/>
      <c r="F501" s="54"/>
      <c r="G501" s="3"/>
      <c r="H501" s="3"/>
      <c r="I501" s="3"/>
      <c r="J501" s="3"/>
      <c r="K501" s="3"/>
      <c r="L501" s="54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80"/>
      <c r="F502" s="54"/>
      <c r="G502" s="3"/>
      <c r="H502" s="3"/>
      <c r="I502" s="3"/>
      <c r="J502" s="3"/>
      <c r="K502" s="3"/>
      <c r="L502" s="54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80"/>
      <c r="F503" s="54"/>
      <c r="G503" s="3"/>
      <c r="H503" s="3"/>
      <c r="I503" s="3"/>
      <c r="J503" s="3"/>
      <c r="K503" s="3"/>
      <c r="L503" s="54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80"/>
      <c r="F504" s="54"/>
      <c r="G504" s="3"/>
      <c r="H504" s="3"/>
      <c r="I504" s="3"/>
      <c r="J504" s="3"/>
      <c r="K504" s="3"/>
      <c r="L504" s="54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80"/>
      <c r="F505" s="54"/>
      <c r="G505" s="3"/>
      <c r="H505" s="3"/>
      <c r="I505" s="3"/>
      <c r="J505" s="3"/>
      <c r="K505" s="3"/>
      <c r="L505" s="54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80"/>
      <c r="F506" s="54"/>
      <c r="G506" s="3"/>
      <c r="H506" s="3"/>
      <c r="I506" s="3"/>
      <c r="J506" s="3"/>
      <c r="K506" s="3"/>
      <c r="L506" s="54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80"/>
      <c r="F507" s="54"/>
      <c r="G507" s="3"/>
      <c r="H507" s="3"/>
      <c r="I507" s="3"/>
      <c r="J507" s="3"/>
      <c r="K507" s="3"/>
      <c r="L507" s="54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80"/>
      <c r="F508" s="54"/>
      <c r="G508" s="3"/>
      <c r="H508" s="3"/>
      <c r="I508" s="3"/>
      <c r="J508" s="3"/>
      <c r="K508" s="3"/>
      <c r="L508" s="54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80"/>
      <c r="F509" s="54"/>
      <c r="G509" s="3"/>
      <c r="H509" s="3"/>
      <c r="I509" s="3"/>
      <c r="J509" s="3"/>
      <c r="K509" s="3"/>
      <c r="L509" s="54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80"/>
      <c r="F510" s="54"/>
      <c r="G510" s="3"/>
      <c r="H510" s="3"/>
      <c r="I510" s="3"/>
      <c r="J510" s="3"/>
      <c r="K510" s="3"/>
      <c r="L510" s="54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80"/>
      <c r="F511" s="54"/>
      <c r="G511" s="3"/>
      <c r="H511" s="3"/>
      <c r="I511" s="3"/>
      <c r="J511" s="3"/>
      <c r="K511" s="3"/>
      <c r="L511" s="54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80"/>
      <c r="F512" s="54"/>
      <c r="G512" s="3"/>
      <c r="H512" s="3"/>
      <c r="I512" s="3"/>
      <c r="J512" s="3"/>
      <c r="K512" s="3"/>
      <c r="L512" s="54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80"/>
      <c r="F513" s="54"/>
      <c r="G513" s="3"/>
      <c r="H513" s="3"/>
      <c r="I513" s="3"/>
      <c r="J513" s="3"/>
      <c r="K513" s="3"/>
      <c r="L513" s="54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80"/>
      <c r="F514" s="54"/>
      <c r="G514" s="3"/>
      <c r="H514" s="3"/>
      <c r="I514" s="3"/>
      <c r="J514" s="3"/>
      <c r="K514" s="3"/>
      <c r="L514" s="54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80"/>
      <c r="F515" s="54"/>
      <c r="G515" s="3"/>
      <c r="H515" s="3"/>
      <c r="I515" s="3"/>
      <c r="J515" s="3"/>
      <c r="K515" s="3"/>
      <c r="L515" s="54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80"/>
      <c r="F516" s="54"/>
      <c r="G516" s="3"/>
      <c r="H516" s="3"/>
      <c r="I516" s="3"/>
      <c r="J516" s="3"/>
      <c r="K516" s="3"/>
      <c r="L516" s="54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80"/>
      <c r="F517" s="54"/>
      <c r="G517" s="3"/>
      <c r="H517" s="3"/>
      <c r="I517" s="3"/>
      <c r="J517" s="3"/>
      <c r="K517" s="3"/>
      <c r="L517" s="54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80"/>
      <c r="F518" s="54"/>
      <c r="G518" s="3"/>
      <c r="H518" s="3"/>
      <c r="I518" s="3"/>
      <c r="J518" s="3"/>
      <c r="K518" s="3"/>
      <c r="L518" s="54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80"/>
      <c r="F519" s="54"/>
      <c r="G519" s="3"/>
      <c r="H519" s="3"/>
      <c r="I519" s="3"/>
      <c r="J519" s="3"/>
      <c r="K519" s="3"/>
      <c r="L519" s="54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80"/>
      <c r="F520" s="54"/>
      <c r="G520" s="3"/>
      <c r="H520" s="3"/>
      <c r="I520" s="3"/>
      <c r="J520" s="3"/>
      <c r="K520" s="3"/>
      <c r="L520" s="54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80"/>
      <c r="F521" s="54"/>
      <c r="G521" s="3"/>
      <c r="H521" s="3"/>
      <c r="I521" s="3"/>
      <c r="J521" s="3"/>
      <c r="K521" s="3"/>
      <c r="L521" s="54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80"/>
      <c r="F522" s="54"/>
      <c r="G522" s="3"/>
      <c r="H522" s="3"/>
      <c r="I522" s="3"/>
      <c r="J522" s="3"/>
      <c r="K522" s="3"/>
      <c r="L522" s="54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80"/>
      <c r="F523" s="54"/>
      <c r="G523" s="3"/>
      <c r="H523" s="3"/>
      <c r="I523" s="3"/>
      <c r="J523" s="3"/>
      <c r="K523" s="3"/>
      <c r="L523" s="54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80"/>
      <c r="F524" s="54"/>
      <c r="G524" s="3"/>
      <c r="H524" s="3"/>
      <c r="I524" s="3"/>
      <c r="J524" s="3"/>
      <c r="K524" s="3"/>
      <c r="L524" s="54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80"/>
      <c r="F525" s="54"/>
      <c r="G525" s="3"/>
      <c r="H525" s="3"/>
      <c r="I525" s="3"/>
      <c r="J525" s="3"/>
      <c r="K525" s="3"/>
      <c r="L525" s="54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80"/>
      <c r="F526" s="54"/>
      <c r="G526" s="3"/>
      <c r="H526" s="3"/>
      <c r="I526" s="3"/>
      <c r="J526" s="3"/>
      <c r="K526" s="3"/>
      <c r="L526" s="54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80"/>
      <c r="F527" s="54"/>
      <c r="G527" s="3"/>
      <c r="H527" s="3"/>
      <c r="I527" s="3"/>
      <c r="J527" s="3"/>
      <c r="K527" s="3"/>
      <c r="L527" s="54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80"/>
      <c r="F528" s="54"/>
      <c r="G528" s="3"/>
      <c r="H528" s="3"/>
      <c r="I528" s="3"/>
      <c r="J528" s="3"/>
      <c r="K528" s="3"/>
      <c r="L528" s="54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80"/>
      <c r="F529" s="54"/>
      <c r="G529" s="3"/>
      <c r="H529" s="3"/>
      <c r="I529" s="3"/>
      <c r="J529" s="3"/>
      <c r="K529" s="3"/>
      <c r="L529" s="54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80"/>
      <c r="F530" s="54"/>
      <c r="G530" s="3"/>
      <c r="H530" s="3"/>
      <c r="I530" s="3"/>
      <c r="J530" s="3"/>
      <c r="K530" s="3"/>
      <c r="L530" s="54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80"/>
      <c r="F531" s="54"/>
      <c r="G531" s="3"/>
      <c r="H531" s="3"/>
      <c r="I531" s="3"/>
      <c r="J531" s="3"/>
      <c r="K531" s="3"/>
      <c r="L531" s="54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80"/>
      <c r="F532" s="54"/>
      <c r="G532" s="3"/>
      <c r="H532" s="3"/>
      <c r="I532" s="3"/>
      <c r="J532" s="3"/>
      <c r="K532" s="3"/>
      <c r="L532" s="54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80"/>
      <c r="F533" s="54"/>
      <c r="G533" s="3"/>
      <c r="H533" s="3"/>
      <c r="I533" s="3"/>
      <c r="J533" s="3"/>
      <c r="K533" s="3"/>
      <c r="L533" s="54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80"/>
      <c r="F534" s="54"/>
      <c r="G534" s="3"/>
      <c r="H534" s="3"/>
      <c r="I534" s="3"/>
      <c r="J534" s="3"/>
      <c r="K534" s="3"/>
      <c r="L534" s="54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80"/>
      <c r="F535" s="54"/>
      <c r="G535" s="3"/>
      <c r="H535" s="3"/>
      <c r="I535" s="3"/>
      <c r="J535" s="3"/>
      <c r="K535" s="3"/>
      <c r="L535" s="54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80"/>
      <c r="F536" s="54"/>
      <c r="G536" s="3"/>
      <c r="H536" s="3"/>
      <c r="I536" s="3"/>
      <c r="J536" s="3"/>
      <c r="K536" s="3"/>
      <c r="L536" s="54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80"/>
      <c r="F537" s="54"/>
      <c r="G537" s="3"/>
      <c r="H537" s="3"/>
      <c r="I537" s="3"/>
      <c r="J537" s="3"/>
      <c r="K537" s="3"/>
      <c r="L537" s="54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80"/>
      <c r="F538" s="54"/>
      <c r="G538" s="3"/>
      <c r="H538" s="3"/>
      <c r="I538" s="3"/>
      <c r="J538" s="3"/>
      <c r="K538" s="3"/>
      <c r="L538" s="54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80"/>
      <c r="F539" s="54"/>
      <c r="G539" s="3"/>
      <c r="H539" s="3"/>
      <c r="I539" s="3"/>
      <c r="J539" s="3"/>
      <c r="K539" s="3"/>
      <c r="L539" s="54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80"/>
      <c r="F540" s="54"/>
      <c r="G540" s="3"/>
      <c r="H540" s="3"/>
      <c r="I540" s="3"/>
      <c r="J540" s="3"/>
      <c r="K540" s="3"/>
      <c r="L540" s="54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80"/>
      <c r="F541" s="54"/>
      <c r="G541" s="3"/>
      <c r="H541" s="3"/>
      <c r="I541" s="3"/>
      <c r="J541" s="3"/>
      <c r="K541" s="3"/>
      <c r="L541" s="54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80"/>
      <c r="F542" s="54"/>
      <c r="G542" s="3"/>
      <c r="H542" s="3"/>
      <c r="I542" s="3"/>
      <c r="J542" s="3"/>
      <c r="K542" s="3"/>
      <c r="L542" s="54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80"/>
      <c r="F543" s="54"/>
      <c r="G543" s="3"/>
      <c r="H543" s="3"/>
      <c r="I543" s="3"/>
      <c r="J543" s="3"/>
      <c r="K543" s="3"/>
      <c r="L543" s="54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80"/>
      <c r="F544" s="54"/>
      <c r="G544" s="3"/>
      <c r="H544" s="3"/>
      <c r="I544" s="3"/>
      <c r="J544" s="3"/>
      <c r="K544" s="3"/>
      <c r="L544" s="54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80"/>
      <c r="F545" s="54"/>
      <c r="G545" s="3"/>
      <c r="H545" s="3"/>
      <c r="I545" s="3"/>
      <c r="J545" s="3"/>
      <c r="K545" s="3"/>
      <c r="L545" s="54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80"/>
      <c r="F546" s="54"/>
      <c r="G546" s="3"/>
      <c r="H546" s="3"/>
      <c r="I546" s="3"/>
      <c r="J546" s="3"/>
      <c r="K546" s="3"/>
      <c r="L546" s="54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80"/>
      <c r="F547" s="54"/>
      <c r="G547" s="3"/>
      <c r="H547" s="3"/>
      <c r="I547" s="3"/>
      <c r="J547" s="3"/>
      <c r="K547" s="3"/>
      <c r="L547" s="54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80"/>
      <c r="F548" s="54"/>
      <c r="G548" s="3"/>
      <c r="H548" s="3"/>
      <c r="I548" s="3"/>
      <c r="J548" s="3"/>
      <c r="K548" s="3"/>
      <c r="L548" s="54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80"/>
      <c r="F549" s="54"/>
      <c r="G549" s="3"/>
      <c r="H549" s="3"/>
      <c r="I549" s="3"/>
      <c r="J549" s="3"/>
      <c r="K549" s="3"/>
      <c r="L549" s="54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80"/>
      <c r="F550" s="54"/>
      <c r="G550" s="3"/>
      <c r="H550" s="3"/>
      <c r="I550" s="3"/>
      <c r="J550" s="3"/>
      <c r="K550" s="3"/>
      <c r="L550" s="54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80"/>
      <c r="F551" s="54"/>
      <c r="G551" s="3"/>
      <c r="H551" s="3"/>
      <c r="I551" s="3"/>
      <c r="J551" s="3"/>
      <c r="K551" s="3"/>
      <c r="L551" s="54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80"/>
      <c r="F552" s="54"/>
      <c r="G552" s="3"/>
      <c r="H552" s="3"/>
      <c r="I552" s="3"/>
      <c r="J552" s="3"/>
      <c r="K552" s="3"/>
      <c r="L552" s="54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80"/>
      <c r="F553" s="54"/>
      <c r="G553" s="3"/>
      <c r="H553" s="3"/>
      <c r="I553" s="3"/>
      <c r="J553" s="3"/>
      <c r="K553" s="3"/>
      <c r="L553" s="54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80"/>
      <c r="F554" s="54"/>
      <c r="G554" s="3"/>
      <c r="H554" s="3"/>
      <c r="I554" s="3"/>
      <c r="J554" s="3"/>
      <c r="K554" s="3"/>
      <c r="L554" s="54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80"/>
      <c r="F555" s="54"/>
      <c r="G555" s="3"/>
      <c r="H555" s="3"/>
      <c r="I555" s="3"/>
      <c r="J555" s="3"/>
      <c r="K555" s="3"/>
      <c r="L555" s="54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80"/>
      <c r="F556" s="54"/>
      <c r="G556" s="3"/>
      <c r="H556" s="3"/>
      <c r="I556" s="3"/>
      <c r="J556" s="3"/>
      <c r="K556" s="3"/>
      <c r="L556" s="54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80"/>
      <c r="F557" s="54"/>
      <c r="G557" s="3"/>
      <c r="H557" s="3"/>
      <c r="I557" s="3"/>
      <c r="J557" s="3"/>
      <c r="K557" s="3"/>
      <c r="L557" s="54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80"/>
      <c r="F558" s="54"/>
      <c r="G558" s="3"/>
      <c r="H558" s="3"/>
      <c r="I558" s="3"/>
      <c r="J558" s="3"/>
      <c r="K558" s="3"/>
      <c r="L558" s="54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80"/>
      <c r="F559" s="54"/>
      <c r="G559" s="3"/>
      <c r="H559" s="3"/>
      <c r="I559" s="3"/>
      <c r="J559" s="3"/>
      <c r="K559" s="3"/>
      <c r="L559" s="54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80"/>
      <c r="F560" s="54"/>
      <c r="G560" s="3"/>
      <c r="H560" s="3"/>
      <c r="I560" s="3"/>
      <c r="J560" s="3"/>
      <c r="K560" s="3"/>
      <c r="L560" s="54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80"/>
      <c r="F561" s="54"/>
      <c r="G561" s="3"/>
      <c r="H561" s="3"/>
      <c r="I561" s="3"/>
      <c r="J561" s="3"/>
      <c r="K561" s="3"/>
      <c r="L561" s="54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80"/>
      <c r="F562" s="54"/>
      <c r="G562" s="3"/>
      <c r="H562" s="3"/>
      <c r="I562" s="3"/>
      <c r="J562" s="3"/>
      <c r="K562" s="3"/>
      <c r="L562" s="54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80"/>
      <c r="F563" s="54"/>
      <c r="G563" s="3"/>
      <c r="H563" s="3"/>
      <c r="I563" s="3"/>
      <c r="J563" s="3"/>
      <c r="K563" s="3"/>
      <c r="L563" s="54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80"/>
      <c r="F564" s="54"/>
      <c r="G564" s="3"/>
      <c r="H564" s="3"/>
      <c r="I564" s="3"/>
      <c r="J564" s="3"/>
      <c r="K564" s="3"/>
      <c r="L564" s="54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80"/>
      <c r="F565" s="54"/>
      <c r="G565" s="3"/>
      <c r="H565" s="3"/>
      <c r="I565" s="3"/>
      <c r="J565" s="3"/>
      <c r="K565" s="3"/>
      <c r="L565" s="54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80"/>
      <c r="F566" s="54"/>
      <c r="G566" s="3"/>
      <c r="H566" s="3"/>
      <c r="I566" s="3"/>
      <c r="J566" s="3"/>
      <c r="K566" s="3"/>
      <c r="L566" s="54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80"/>
      <c r="F567" s="54"/>
      <c r="G567" s="3"/>
      <c r="H567" s="3"/>
      <c r="I567" s="3"/>
      <c r="J567" s="3"/>
      <c r="K567" s="3"/>
      <c r="L567" s="54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80"/>
      <c r="F568" s="54"/>
      <c r="G568" s="3"/>
      <c r="H568" s="3"/>
      <c r="I568" s="3"/>
      <c r="J568" s="3"/>
      <c r="K568" s="3"/>
      <c r="L568" s="54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80"/>
      <c r="F569" s="54"/>
      <c r="G569" s="3"/>
      <c r="H569" s="3"/>
      <c r="I569" s="3"/>
      <c r="J569" s="3"/>
      <c r="K569" s="3"/>
      <c r="L569" s="54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80"/>
      <c r="F570" s="54"/>
      <c r="G570" s="3"/>
      <c r="H570" s="3"/>
      <c r="I570" s="3"/>
      <c r="J570" s="3"/>
      <c r="K570" s="3"/>
      <c r="L570" s="54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80"/>
      <c r="F571" s="54"/>
      <c r="G571" s="3"/>
      <c r="H571" s="3"/>
      <c r="I571" s="3"/>
      <c r="J571" s="3"/>
      <c r="K571" s="3"/>
      <c r="L571" s="54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80"/>
      <c r="F572" s="54"/>
      <c r="G572" s="3"/>
      <c r="H572" s="3"/>
      <c r="I572" s="3"/>
      <c r="J572" s="3"/>
      <c r="K572" s="3"/>
      <c r="L572" s="54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80"/>
      <c r="F573" s="54"/>
      <c r="G573" s="3"/>
      <c r="H573" s="3"/>
      <c r="I573" s="3"/>
      <c r="J573" s="3"/>
      <c r="K573" s="3"/>
      <c r="L573" s="54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80"/>
      <c r="F574" s="54"/>
      <c r="G574" s="3"/>
      <c r="H574" s="3"/>
      <c r="I574" s="3"/>
      <c r="J574" s="3"/>
      <c r="K574" s="3"/>
      <c r="L574" s="54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80"/>
      <c r="F575" s="54"/>
      <c r="G575" s="3"/>
      <c r="H575" s="3"/>
      <c r="I575" s="3"/>
      <c r="J575" s="3"/>
      <c r="K575" s="3"/>
      <c r="L575" s="54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80"/>
      <c r="F576" s="54"/>
      <c r="G576" s="3"/>
      <c r="H576" s="3"/>
      <c r="I576" s="3"/>
      <c r="J576" s="3"/>
      <c r="K576" s="3"/>
      <c r="L576" s="54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80"/>
      <c r="F577" s="54"/>
      <c r="G577" s="3"/>
      <c r="H577" s="3"/>
      <c r="I577" s="3"/>
      <c r="J577" s="3"/>
      <c r="K577" s="3"/>
      <c r="L577" s="54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80"/>
      <c r="F578" s="54"/>
      <c r="G578" s="3"/>
      <c r="H578" s="3"/>
      <c r="I578" s="3"/>
      <c r="J578" s="3"/>
      <c r="K578" s="3"/>
      <c r="L578" s="54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80"/>
      <c r="F579" s="54"/>
      <c r="G579" s="3"/>
      <c r="H579" s="3"/>
      <c r="I579" s="3"/>
      <c r="J579" s="3"/>
      <c r="K579" s="3"/>
      <c r="L579" s="54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80"/>
      <c r="F580" s="54"/>
      <c r="G580" s="3"/>
      <c r="H580" s="3"/>
      <c r="I580" s="3"/>
      <c r="J580" s="3"/>
      <c r="K580" s="3"/>
      <c r="L580" s="54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80"/>
      <c r="F581" s="54"/>
      <c r="G581" s="3"/>
      <c r="H581" s="3"/>
      <c r="I581" s="3"/>
      <c r="J581" s="3"/>
      <c r="K581" s="3"/>
      <c r="L581" s="54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80"/>
      <c r="F582" s="54"/>
      <c r="G582" s="3"/>
      <c r="H582" s="3"/>
      <c r="I582" s="3"/>
      <c r="J582" s="3"/>
      <c r="K582" s="3"/>
      <c r="L582" s="54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80"/>
      <c r="F583" s="54"/>
      <c r="G583" s="3"/>
      <c r="H583" s="3"/>
      <c r="I583" s="3"/>
      <c r="J583" s="3"/>
      <c r="K583" s="3"/>
      <c r="L583" s="54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80"/>
      <c r="F584" s="54"/>
      <c r="G584" s="3"/>
      <c r="H584" s="3"/>
      <c r="I584" s="3"/>
      <c r="J584" s="3"/>
      <c r="K584" s="3"/>
      <c r="L584" s="54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80"/>
      <c r="F585" s="54"/>
      <c r="G585" s="3"/>
      <c r="H585" s="3"/>
      <c r="I585" s="3"/>
      <c r="J585" s="3"/>
      <c r="K585" s="3"/>
      <c r="L585" s="54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80"/>
      <c r="F586" s="54"/>
      <c r="G586" s="3"/>
      <c r="H586" s="3"/>
      <c r="I586" s="3"/>
      <c r="J586" s="3"/>
      <c r="K586" s="3"/>
      <c r="L586" s="54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80"/>
      <c r="F587" s="54"/>
      <c r="G587" s="3"/>
      <c r="H587" s="3"/>
      <c r="I587" s="3"/>
      <c r="J587" s="3"/>
      <c r="K587" s="3"/>
      <c r="L587" s="54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80"/>
      <c r="F588" s="54"/>
      <c r="G588" s="3"/>
      <c r="H588" s="3"/>
      <c r="I588" s="3"/>
      <c r="J588" s="3"/>
      <c r="K588" s="3"/>
      <c r="L588" s="54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80"/>
      <c r="F589" s="54"/>
      <c r="G589" s="3"/>
      <c r="H589" s="3"/>
      <c r="I589" s="3"/>
      <c r="J589" s="3"/>
      <c r="K589" s="3"/>
      <c r="L589" s="54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80"/>
      <c r="F590" s="54"/>
      <c r="G590" s="3"/>
      <c r="H590" s="3"/>
      <c r="I590" s="3"/>
      <c r="J590" s="3"/>
      <c r="K590" s="3"/>
      <c r="L590" s="54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80"/>
      <c r="F591" s="54"/>
      <c r="G591" s="3"/>
      <c r="H591" s="3"/>
      <c r="I591" s="3"/>
      <c r="J591" s="3"/>
      <c r="K591" s="3"/>
      <c r="L591" s="54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80"/>
      <c r="F592" s="54"/>
      <c r="G592" s="3"/>
      <c r="H592" s="3"/>
      <c r="I592" s="3"/>
      <c r="J592" s="3"/>
      <c r="K592" s="3"/>
      <c r="L592" s="54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80"/>
      <c r="F593" s="54"/>
      <c r="G593" s="3"/>
      <c r="H593" s="3"/>
      <c r="I593" s="3"/>
      <c r="J593" s="3"/>
      <c r="K593" s="3"/>
      <c r="L593" s="54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80"/>
      <c r="F594" s="54"/>
      <c r="G594" s="3"/>
      <c r="H594" s="3"/>
      <c r="I594" s="3"/>
      <c r="J594" s="3"/>
      <c r="K594" s="3"/>
      <c r="L594" s="54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80"/>
      <c r="F595" s="54"/>
      <c r="G595" s="3"/>
      <c r="H595" s="3"/>
      <c r="I595" s="3"/>
      <c r="J595" s="3"/>
      <c r="K595" s="3"/>
      <c r="L595" s="54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80"/>
      <c r="F596" s="54"/>
      <c r="G596" s="3"/>
      <c r="H596" s="3"/>
      <c r="I596" s="3"/>
      <c r="J596" s="3"/>
      <c r="K596" s="3"/>
      <c r="L596" s="54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80"/>
      <c r="F597" s="54"/>
      <c r="G597" s="3"/>
      <c r="H597" s="3"/>
      <c r="I597" s="3"/>
      <c r="J597" s="3"/>
      <c r="K597" s="3"/>
      <c r="L597" s="54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80"/>
      <c r="F598" s="54"/>
      <c r="G598" s="3"/>
      <c r="H598" s="3"/>
      <c r="I598" s="3"/>
      <c r="J598" s="3"/>
      <c r="K598" s="3"/>
      <c r="L598" s="54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80"/>
      <c r="F599" s="54"/>
      <c r="G599" s="3"/>
      <c r="H599" s="3"/>
      <c r="I599" s="3"/>
      <c r="J599" s="3"/>
      <c r="K599" s="3"/>
      <c r="L599" s="54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80"/>
      <c r="F600" s="54"/>
      <c r="G600" s="3"/>
      <c r="H600" s="3"/>
      <c r="I600" s="3"/>
      <c r="J600" s="3"/>
      <c r="K600" s="3"/>
      <c r="L600" s="54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80"/>
      <c r="F601" s="54"/>
      <c r="G601" s="3"/>
      <c r="H601" s="3"/>
      <c r="I601" s="3"/>
      <c r="J601" s="3"/>
      <c r="K601" s="3"/>
      <c r="L601" s="54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80"/>
      <c r="F602" s="54"/>
      <c r="G602" s="3"/>
      <c r="H602" s="3"/>
      <c r="I602" s="3"/>
      <c r="J602" s="3"/>
      <c r="K602" s="3"/>
      <c r="L602" s="54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80"/>
      <c r="F603" s="54"/>
      <c r="G603" s="3"/>
      <c r="H603" s="3"/>
      <c r="I603" s="3"/>
      <c r="J603" s="3"/>
      <c r="K603" s="3"/>
      <c r="L603" s="54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80"/>
      <c r="F604" s="54"/>
      <c r="G604" s="3"/>
      <c r="H604" s="3"/>
      <c r="I604" s="3"/>
      <c r="J604" s="3"/>
      <c r="K604" s="3"/>
      <c r="L604" s="54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80"/>
      <c r="F605" s="54"/>
      <c r="G605" s="3"/>
      <c r="H605" s="3"/>
      <c r="I605" s="3"/>
      <c r="J605" s="3"/>
      <c r="K605" s="3"/>
      <c r="L605" s="54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80"/>
      <c r="F606" s="54"/>
      <c r="G606" s="3"/>
      <c r="H606" s="3"/>
      <c r="I606" s="3"/>
      <c r="J606" s="3"/>
      <c r="K606" s="3"/>
      <c r="L606" s="54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80"/>
      <c r="F607" s="54"/>
      <c r="G607" s="3"/>
      <c r="H607" s="3"/>
      <c r="I607" s="3"/>
      <c r="J607" s="3"/>
      <c r="K607" s="3"/>
      <c r="L607" s="54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80"/>
      <c r="F608" s="54"/>
      <c r="G608" s="3"/>
      <c r="H608" s="3"/>
      <c r="I608" s="3"/>
      <c r="J608" s="3"/>
      <c r="K608" s="3"/>
      <c r="L608" s="54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80"/>
      <c r="F609" s="54"/>
      <c r="G609" s="3"/>
      <c r="H609" s="3"/>
      <c r="I609" s="3"/>
      <c r="J609" s="3"/>
      <c r="K609" s="3"/>
      <c r="L609" s="54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80"/>
      <c r="F610" s="54"/>
      <c r="G610" s="3"/>
      <c r="H610" s="3"/>
      <c r="I610" s="3"/>
      <c r="J610" s="3"/>
      <c r="K610" s="3"/>
      <c r="L610" s="54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80"/>
      <c r="F611" s="54"/>
      <c r="G611" s="3"/>
      <c r="H611" s="3"/>
      <c r="I611" s="3"/>
      <c r="J611" s="3"/>
      <c r="K611" s="3"/>
      <c r="L611" s="54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80"/>
      <c r="F612" s="54"/>
      <c r="G612" s="3"/>
      <c r="H612" s="3"/>
      <c r="I612" s="3"/>
      <c r="J612" s="3"/>
      <c r="K612" s="3"/>
      <c r="L612" s="54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80"/>
      <c r="F613" s="54"/>
      <c r="G613" s="3"/>
      <c r="H613" s="3"/>
      <c r="I613" s="3"/>
      <c r="J613" s="3"/>
      <c r="K613" s="3"/>
      <c r="L613" s="54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80"/>
      <c r="F614" s="54"/>
      <c r="G614" s="3"/>
      <c r="H614" s="3"/>
      <c r="I614" s="3"/>
      <c r="J614" s="3"/>
      <c r="K614" s="3"/>
      <c r="L614" s="54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80"/>
      <c r="F615" s="54"/>
      <c r="G615" s="3"/>
      <c r="H615" s="3"/>
      <c r="I615" s="3"/>
      <c r="J615" s="3"/>
      <c r="K615" s="3"/>
      <c r="L615" s="54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80"/>
      <c r="F616" s="54"/>
      <c r="G616" s="3"/>
      <c r="H616" s="3"/>
      <c r="I616" s="3"/>
      <c r="J616" s="3"/>
      <c r="K616" s="3"/>
      <c r="L616" s="54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80"/>
      <c r="F617" s="54"/>
      <c r="G617" s="3"/>
      <c r="H617" s="3"/>
      <c r="I617" s="3"/>
      <c r="J617" s="3"/>
      <c r="K617" s="3"/>
      <c r="L617" s="54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80"/>
      <c r="F618" s="54"/>
      <c r="G618" s="3"/>
      <c r="H618" s="3"/>
      <c r="I618" s="3"/>
      <c r="J618" s="3"/>
      <c r="K618" s="3"/>
      <c r="L618" s="54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80"/>
      <c r="F619" s="54"/>
      <c r="G619" s="3"/>
      <c r="H619" s="3"/>
      <c r="I619" s="3"/>
      <c r="J619" s="3"/>
      <c r="K619" s="3"/>
      <c r="L619" s="54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80"/>
      <c r="F620" s="54"/>
      <c r="G620" s="3"/>
      <c r="H620" s="3"/>
      <c r="I620" s="3"/>
      <c r="J620" s="3"/>
      <c r="K620" s="3"/>
      <c r="L620" s="54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80"/>
      <c r="F621" s="54"/>
      <c r="G621" s="3"/>
      <c r="H621" s="3"/>
      <c r="I621" s="3"/>
      <c r="J621" s="3"/>
      <c r="K621" s="3"/>
      <c r="L621" s="54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80"/>
      <c r="F622" s="54"/>
      <c r="G622" s="3"/>
      <c r="H622" s="3"/>
      <c r="I622" s="3"/>
      <c r="J622" s="3"/>
      <c r="K622" s="3"/>
      <c r="L622" s="54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80"/>
      <c r="F623" s="54"/>
      <c r="G623" s="3"/>
      <c r="H623" s="3"/>
      <c r="I623" s="3"/>
      <c r="J623" s="3"/>
      <c r="K623" s="3"/>
      <c r="L623" s="54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80"/>
      <c r="F624" s="54"/>
      <c r="G624" s="3"/>
      <c r="H624" s="3"/>
      <c r="I624" s="3"/>
      <c r="J624" s="3"/>
      <c r="K624" s="3"/>
      <c r="L624" s="54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80"/>
      <c r="F625" s="54"/>
      <c r="G625" s="3"/>
      <c r="H625" s="3"/>
      <c r="I625" s="3"/>
      <c r="J625" s="3"/>
      <c r="K625" s="3"/>
      <c r="L625" s="54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80"/>
      <c r="F626" s="54"/>
      <c r="G626" s="3"/>
      <c r="H626" s="3"/>
      <c r="I626" s="3"/>
      <c r="J626" s="3"/>
      <c r="K626" s="3"/>
      <c r="L626" s="54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80"/>
      <c r="F627" s="54"/>
      <c r="G627" s="3"/>
      <c r="H627" s="3"/>
      <c r="I627" s="3"/>
      <c r="J627" s="3"/>
      <c r="K627" s="3"/>
      <c r="L627" s="54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80"/>
      <c r="F628" s="54"/>
      <c r="G628" s="3"/>
      <c r="H628" s="3"/>
      <c r="I628" s="3"/>
      <c r="J628" s="3"/>
      <c r="K628" s="3"/>
      <c r="L628" s="54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80"/>
      <c r="F629" s="54"/>
      <c r="G629" s="3"/>
      <c r="H629" s="3"/>
      <c r="I629" s="3"/>
      <c r="J629" s="3"/>
      <c r="K629" s="3"/>
      <c r="L629" s="54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80"/>
      <c r="F630" s="54"/>
      <c r="G630" s="3"/>
      <c r="H630" s="3"/>
      <c r="I630" s="3"/>
      <c r="J630" s="3"/>
      <c r="K630" s="3"/>
      <c r="L630" s="54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80"/>
      <c r="F631" s="54"/>
      <c r="G631" s="3"/>
      <c r="H631" s="3"/>
      <c r="I631" s="3"/>
      <c r="J631" s="3"/>
      <c r="K631" s="3"/>
      <c r="L631" s="54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80"/>
      <c r="F632" s="54"/>
      <c r="G632" s="3"/>
      <c r="H632" s="3"/>
      <c r="I632" s="3"/>
      <c r="J632" s="3"/>
      <c r="K632" s="3"/>
      <c r="L632" s="54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80"/>
      <c r="F633" s="54"/>
      <c r="G633" s="3"/>
      <c r="H633" s="3"/>
      <c r="I633" s="3"/>
      <c r="J633" s="3"/>
      <c r="K633" s="3"/>
      <c r="L633" s="54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80"/>
      <c r="F634" s="54"/>
      <c r="G634" s="3"/>
      <c r="H634" s="3"/>
      <c r="I634" s="3"/>
      <c r="J634" s="3"/>
      <c r="K634" s="3"/>
      <c r="L634" s="54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80"/>
      <c r="F635" s="54"/>
      <c r="G635" s="3"/>
      <c r="H635" s="3"/>
      <c r="I635" s="3"/>
      <c r="J635" s="3"/>
      <c r="K635" s="3"/>
      <c r="L635" s="54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80"/>
      <c r="F636" s="54"/>
      <c r="G636" s="3"/>
      <c r="H636" s="3"/>
      <c r="I636" s="3"/>
      <c r="J636" s="3"/>
      <c r="K636" s="3"/>
      <c r="L636" s="54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80"/>
      <c r="F637" s="54"/>
      <c r="G637" s="3"/>
      <c r="H637" s="3"/>
      <c r="I637" s="3"/>
      <c r="J637" s="3"/>
      <c r="K637" s="3"/>
      <c r="L637" s="54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80"/>
      <c r="F638" s="54"/>
      <c r="G638" s="3"/>
      <c r="H638" s="3"/>
      <c r="I638" s="3"/>
      <c r="J638" s="3"/>
      <c r="K638" s="3"/>
      <c r="L638" s="54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80"/>
      <c r="F639" s="54"/>
      <c r="G639" s="3"/>
      <c r="H639" s="3"/>
      <c r="I639" s="3"/>
      <c r="J639" s="3"/>
      <c r="K639" s="3"/>
      <c r="L639" s="54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80"/>
      <c r="F640" s="54"/>
      <c r="G640" s="3"/>
      <c r="H640" s="3"/>
      <c r="I640" s="3"/>
      <c r="J640" s="3"/>
      <c r="K640" s="3"/>
      <c r="L640" s="54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80"/>
      <c r="F641" s="54"/>
      <c r="G641" s="3"/>
      <c r="H641" s="3"/>
      <c r="I641" s="3"/>
      <c r="J641" s="3"/>
      <c r="K641" s="3"/>
      <c r="L641" s="54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80"/>
      <c r="F642" s="54"/>
      <c r="G642" s="3"/>
      <c r="H642" s="3"/>
      <c r="I642" s="3"/>
      <c r="J642" s="3"/>
      <c r="K642" s="3"/>
      <c r="L642" s="54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80"/>
      <c r="F643" s="54"/>
      <c r="G643" s="3"/>
      <c r="H643" s="3"/>
      <c r="I643" s="3"/>
      <c r="J643" s="3"/>
      <c r="K643" s="3"/>
      <c r="L643" s="54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80"/>
      <c r="F644" s="54"/>
      <c r="G644" s="3"/>
      <c r="H644" s="3"/>
      <c r="I644" s="3"/>
      <c r="J644" s="3"/>
      <c r="K644" s="3"/>
      <c r="L644" s="54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80"/>
      <c r="F645" s="54"/>
      <c r="G645" s="3"/>
      <c r="H645" s="3"/>
      <c r="I645" s="3"/>
      <c r="J645" s="3"/>
      <c r="K645" s="3"/>
      <c r="L645" s="54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80"/>
      <c r="F646" s="54"/>
      <c r="G646" s="3"/>
      <c r="H646" s="3"/>
      <c r="I646" s="3"/>
      <c r="J646" s="3"/>
      <c r="K646" s="3"/>
      <c r="L646" s="54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80"/>
      <c r="F647" s="54"/>
      <c r="G647" s="3"/>
      <c r="H647" s="3"/>
      <c r="I647" s="3"/>
      <c r="J647" s="3"/>
      <c r="K647" s="3"/>
      <c r="L647" s="54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80"/>
      <c r="F648" s="54"/>
      <c r="G648" s="3"/>
      <c r="H648" s="3"/>
      <c r="I648" s="3"/>
      <c r="J648" s="3"/>
      <c r="K648" s="3"/>
      <c r="L648" s="54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80"/>
      <c r="F649" s="54"/>
      <c r="G649" s="3"/>
      <c r="H649" s="3"/>
      <c r="I649" s="3"/>
      <c r="J649" s="3"/>
      <c r="K649" s="3"/>
      <c r="L649" s="54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80"/>
      <c r="F650" s="54"/>
      <c r="G650" s="3"/>
      <c r="H650" s="3"/>
      <c r="I650" s="3"/>
      <c r="J650" s="3"/>
      <c r="K650" s="3"/>
      <c r="L650" s="54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80"/>
      <c r="F651" s="54"/>
      <c r="G651" s="3"/>
      <c r="H651" s="3"/>
      <c r="I651" s="3"/>
      <c r="J651" s="3"/>
      <c r="K651" s="3"/>
      <c r="L651" s="54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80"/>
      <c r="F652" s="54"/>
      <c r="G652" s="3"/>
      <c r="H652" s="3"/>
      <c r="I652" s="3"/>
      <c r="J652" s="3"/>
      <c r="K652" s="3"/>
      <c r="L652" s="54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80"/>
      <c r="F653" s="54"/>
      <c r="G653" s="3"/>
      <c r="H653" s="3"/>
      <c r="I653" s="3"/>
      <c r="J653" s="3"/>
      <c r="K653" s="3"/>
      <c r="L653" s="54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80"/>
      <c r="F654" s="54"/>
      <c r="G654" s="3"/>
      <c r="H654" s="3"/>
      <c r="I654" s="3"/>
      <c r="J654" s="3"/>
      <c r="K654" s="3"/>
      <c r="L654" s="54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80"/>
      <c r="F655" s="54"/>
      <c r="G655" s="3"/>
      <c r="H655" s="3"/>
      <c r="I655" s="3"/>
      <c r="J655" s="3"/>
      <c r="K655" s="3"/>
      <c r="L655" s="54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80"/>
      <c r="F656" s="54"/>
      <c r="G656" s="3"/>
      <c r="H656" s="3"/>
      <c r="I656" s="3"/>
      <c r="J656" s="3"/>
      <c r="K656" s="3"/>
      <c r="L656" s="54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80"/>
      <c r="F657" s="54"/>
      <c r="G657" s="3"/>
      <c r="H657" s="3"/>
      <c r="I657" s="3"/>
      <c r="J657" s="3"/>
      <c r="K657" s="3"/>
      <c r="L657" s="54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80"/>
      <c r="F658" s="54"/>
      <c r="G658" s="3"/>
      <c r="H658" s="3"/>
      <c r="I658" s="3"/>
      <c r="J658" s="3"/>
      <c r="K658" s="3"/>
      <c r="L658" s="54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80"/>
      <c r="F659" s="54"/>
      <c r="G659" s="3"/>
      <c r="H659" s="3"/>
      <c r="I659" s="3"/>
      <c r="J659" s="3"/>
      <c r="K659" s="3"/>
      <c r="L659" s="54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80"/>
      <c r="F660" s="54"/>
      <c r="G660" s="3"/>
      <c r="H660" s="3"/>
      <c r="I660" s="3"/>
      <c r="J660" s="3"/>
      <c r="K660" s="3"/>
      <c r="L660" s="54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80"/>
      <c r="F661" s="54"/>
      <c r="G661" s="3"/>
      <c r="H661" s="3"/>
      <c r="I661" s="3"/>
      <c r="J661" s="3"/>
      <c r="K661" s="3"/>
      <c r="L661" s="54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80"/>
      <c r="F662" s="54"/>
      <c r="G662" s="3"/>
      <c r="H662" s="3"/>
      <c r="I662" s="3"/>
      <c r="J662" s="3"/>
      <c r="K662" s="3"/>
      <c r="L662" s="54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80"/>
      <c r="F663" s="54"/>
      <c r="G663" s="3"/>
      <c r="H663" s="3"/>
      <c r="I663" s="3"/>
      <c r="J663" s="3"/>
      <c r="K663" s="3"/>
      <c r="L663" s="54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80"/>
      <c r="F664" s="54"/>
      <c r="G664" s="3"/>
      <c r="H664" s="3"/>
      <c r="I664" s="3"/>
      <c r="J664" s="3"/>
      <c r="K664" s="3"/>
      <c r="L664" s="54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80"/>
      <c r="F665" s="54"/>
      <c r="G665" s="3"/>
      <c r="H665" s="3"/>
      <c r="I665" s="3"/>
      <c r="J665" s="3"/>
      <c r="K665" s="3"/>
      <c r="L665" s="54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80"/>
      <c r="F666" s="54"/>
      <c r="G666" s="3"/>
      <c r="H666" s="3"/>
      <c r="I666" s="3"/>
      <c r="J666" s="3"/>
      <c r="K666" s="3"/>
      <c r="L666" s="54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80"/>
      <c r="F667" s="54"/>
      <c r="G667" s="3"/>
      <c r="H667" s="3"/>
      <c r="I667" s="3"/>
      <c r="J667" s="3"/>
      <c r="K667" s="3"/>
      <c r="L667" s="54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80"/>
      <c r="F668" s="54"/>
      <c r="G668" s="3"/>
      <c r="H668" s="3"/>
      <c r="I668" s="3"/>
      <c r="J668" s="3"/>
      <c r="K668" s="3"/>
      <c r="L668" s="54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80"/>
      <c r="F669" s="54"/>
      <c r="G669" s="3"/>
      <c r="H669" s="3"/>
      <c r="I669" s="3"/>
      <c r="J669" s="3"/>
      <c r="K669" s="3"/>
      <c r="L669" s="54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80"/>
      <c r="F670" s="54"/>
      <c r="G670" s="3"/>
      <c r="H670" s="3"/>
      <c r="I670" s="3"/>
      <c r="J670" s="3"/>
      <c r="K670" s="3"/>
      <c r="L670" s="54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80"/>
      <c r="F671" s="54"/>
      <c r="G671" s="3"/>
      <c r="H671" s="3"/>
      <c r="I671" s="3"/>
      <c r="J671" s="3"/>
      <c r="K671" s="3"/>
      <c r="L671" s="54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80"/>
      <c r="F672" s="54"/>
      <c r="G672" s="3"/>
      <c r="H672" s="3"/>
      <c r="I672" s="3"/>
      <c r="J672" s="3"/>
      <c r="K672" s="3"/>
      <c r="L672" s="54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80"/>
      <c r="F673" s="54"/>
      <c r="G673" s="3"/>
      <c r="H673" s="3"/>
      <c r="I673" s="3"/>
      <c r="J673" s="3"/>
      <c r="K673" s="3"/>
      <c r="L673" s="54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80"/>
      <c r="F674" s="54"/>
      <c r="G674" s="3"/>
      <c r="H674" s="3"/>
      <c r="I674" s="3"/>
      <c r="J674" s="3"/>
      <c r="K674" s="3"/>
      <c r="L674" s="54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80"/>
      <c r="F675" s="54"/>
      <c r="G675" s="3"/>
      <c r="H675" s="3"/>
      <c r="I675" s="3"/>
      <c r="J675" s="3"/>
      <c r="K675" s="3"/>
      <c r="L675" s="54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80"/>
      <c r="F676" s="54"/>
      <c r="G676" s="3"/>
      <c r="H676" s="3"/>
      <c r="I676" s="3"/>
      <c r="J676" s="3"/>
      <c r="K676" s="3"/>
      <c r="L676" s="54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80"/>
      <c r="F677" s="54"/>
      <c r="G677" s="3"/>
      <c r="H677" s="3"/>
      <c r="I677" s="3"/>
      <c r="J677" s="3"/>
      <c r="K677" s="3"/>
      <c r="L677" s="54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80"/>
      <c r="F678" s="54"/>
      <c r="G678" s="3"/>
      <c r="H678" s="3"/>
      <c r="I678" s="3"/>
      <c r="J678" s="3"/>
      <c r="K678" s="3"/>
      <c r="L678" s="54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80"/>
      <c r="F679" s="54"/>
      <c r="G679" s="3"/>
      <c r="H679" s="3"/>
      <c r="I679" s="3"/>
      <c r="J679" s="3"/>
      <c r="K679" s="3"/>
      <c r="L679" s="54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80"/>
      <c r="F680" s="54"/>
      <c r="G680" s="3"/>
      <c r="H680" s="3"/>
      <c r="I680" s="3"/>
      <c r="J680" s="3"/>
      <c r="K680" s="3"/>
      <c r="L680" s="54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80"/>
      <c r="F681" s="54"/>
      <c r="G681" s="3"/>
      <c r="H681" s="3"/>
      <c r="I681" s="3"/>
      <c r="J681" s="3"/>
      <c r="K681" s="3"/>
      <c r="L681" s="54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80"/>
      <c r="F682" s="54"/>
      <c r="G682" s="3"/>
      <c r="H682" s="3"/>
      <c r="I682" s="3"/>
      <c r="J682" s="3"/>
      <c r="K682" s="3"/>
      <c r="L682" s="54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80"/>
      <c r="F683" s="54"/>
      <c r="G683" s="3"/>
      <c r="H683" s="3"/>
      <c r="I683" s="3"/>
      <c r="J683" s="3"/>
      <c r="K683" s="3"/>
      <c r="L683" s="54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80"/>
      <c r="F684" s="54"/>
      <c r="G684" s="3"/>
      <c r="H684" s="3"/>
      <c r="I684" s="3"/>
      <c r="J684" s="3"/>
      <c r="K684" s="3"/>
      <c r="L684" s="54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80"/>
      <c r="F685" s="54"/>
      <c r="G685" s="3"/>
      <c r="H685" s="3"/>
      <c r="I685" s="3"/>
      <c r="J685" s="3"/>
      <c r="K685" s="3"/>
      <c r="L685" s="54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80"/>
      <c r="F686" s="54"/>
      <c r="G686" s="3"/>
      <c r="H686" s="3"/>
      <c r="I686" s="3"/>
      <c r="J686" s="3"/>
      <c r="K686" s="3"/>
      <c r="L686" s="54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80"/>
      <c r="F687" s="54"/>
      <c r="G687" s="3"/>
      <c r="H687" s="3"/>
      <c r="I687" s="3"/>
      <c r="J687" s="3"/>
      <c r="K687" s="3"/>
      <c r="L687" s="54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80"/>
      <c r="F688" s="54"/>
      <c r="G688" s="3"/>
      <c r="H688" s="3"/>
      <c r="I688" s="3"/>
      <c r="J688" s="3"/>
      <c r="K688" s="3"/>
      <c r="L688" s="54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80"/>
      <c r="F689" s="54"/>
      <c r="G689" s="3"/>
      <c r="H689" s="3"/>
      <c r="I689" s="3"/>
      <c r="J689" s="3"/>
      <c r="K689" s="3"/>
      <c r="L689" s="54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80"/>
      <c r="F690" s="54"/>
      <c r="G690" s="3"/>
      <c r="H690" s="3"/>
      <c r="I690" s="3"/>
      <c r="J690" s="3"/>
      <c r="K690" s="3"/>
      <c r="L690" s="54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80"/>
      <c r="F691" s="54"/>
      <c r="G691" s="3"/>
      <c r="H691" s="3"/>
      <c r="I691" s="3"/>
      <c r="J691" s="3"/>
      <c r="K691" s="3"/>
      <c r="L691" s="54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80"/>
      <c r="F692" s="54"/>
      <c r="G692" s="3"/>
      <c r="H692" s="3"/>
      <c r="I692" s="3"/>
      <c r="J692" s="3"/>
      <c r="K692" s="3"/>
      <c r="L692" s="54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80"/>
      <c r="F693" s="54"/>
      <c r="G693" s="3"/>
      <c r="H693" s="3"/>
      <c r="I693" s="3"/>
      <c r="J693" s="3"/>
      <c r="K693" s="3"/>
      <c r="L693" s="54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80"/>
      <c r="F694" s="54"/>
      <c r="G694" s="3"/>
      <c r="H694" s="3"/>
      <c r="I694" s="3"/>
      <c r="J694" s="3"/>
      <c r="K694" s="3"/>
      <c r="L694" s="54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80"/>
      <c r="F695" s="54"/>
      <c r="G695" s="3"/>
      <c r="H695" s="3"/>
      <c r="I695" s="3"/>
      <c r="J695" s="3"/>
      <c r="K695" s="3"/>
      <c r="L695" s="54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80"/>
      <c r="F696" s="54"/>
      <c r="G696" s="3"/>
      <c r="H696" s="3"/>
      <c r="I696" s="3"/>
      <c r="J696" s="3"/>
      <c r="K696" s="3"/>
      <c r="L696" s="54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80"/>
      <c r="F697" s="54"/>
      <c r="G697" s="3"/>
      <c r="H697" s="3"/>
      <c r="I697" s="3"/>
      <c r="J697" s="3"/>
      <c r="K697" s="3"/>
      <c r="L697" s="54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80"/>
      <c r="F698" s="54"/>
      <c r="G698" s="3"/>
      <c r="H698" s="3"/>
      <c r="I698" s="3"/>
      <c r="J698" s="3"/>
      <c r="K698" s="3"/>
      <c r="L698" s="54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80"/>
      <c r="F699" s="54"/>
      <c r="G699" s="3"/>
      <c r="H699" s="3"/>
      <c r="I699" s="3"/>
      <c r="J699" s="3"/>
      <c r="K699" s="3"/>
      <c r="L699" s="54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80"/>
      <c r="F700" s="54"/>
      <c r="G700" s="3"/>
      <c r="H700" s="3"/>
      <c r="I700" s="3"/>
      <c r="J700" s="3"/>
      <c r="K700" s="3"/>
      <c r="L700" s="54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80"/>
      <c r="F701" s="54"/>
      <c r="G701" s="3"/>
      <c r="H701" s="3"/>
      <c r="I701" s="3"/>
      <c r="J701" s="3"/>
      <c r="K701" s="3"/>
      <c r="L701" s="54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80"/>
      <c r="F702" s="54"/>
      <c r="G702" s="3"/>
      <c r="H702" s="3"/>
      <c r="I702" s="3"/>
      <c r="J702" s="3"/>
      <c r="K702" s="3"/>
      <c r="L702" s="54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80"/>
      <c r="F703" s="54"/>
      <c r="G703" s="3"/>
      <c r="H703" s="3"/>
      <c r="I703" s="3"/>
      <c r="J703" s="3"/>
      <c r="K703" s="3"/>
      <c r="L703" s="54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80"/>
      <c r="F704" s="54"/>
      <c r="G704" s="3"/>
      <c r="H704" s="3"/>
      <c r="I704" s="3"/>
      <c r="J704" s="3"/>
      <c r="K704" s="3"/>
      <c r="L704" s="54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80"/>
      <c r="F705" s="54"/>
      <c r="G705" s="3"/>
      <c r="H705" s="3"/>
      <c r="I705" s="3"/>
      <c r="J705" s="3"/>
      <c r="K705" s="3"/>
      <c r="L705" s="54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80"/>
      <c r="F706" s="54"/>
      <c r="G706" s="3"/>
      <c r="H706" s="3"/>
      <c r="I706" s="3"/>
      <c r="J706" s="3"/>
      <c r="K706" s="3"/>
      <c r="L706" s="54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80"/>
      <c r="F707" s="54"/>
      <c r="G707" s="3"/>
      <c r="H707" s="3"/>
      <c r="I707" s="3"/>
      <c r="J707" s="3"/>
      <c r="K707" s="3"/>
      <c r="L707" s="54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80"/>
      <c r="F708" s="54"/>
      <c r="G708" s="3"/>
      <c r="H708" s="3"/>
      <c r="I708" s="3"/>
      <c r="J708" s="3"/>
      <c r="K708" s="3"/>
      <c r="L708" s="54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80"/>
      <c r="F709" s="54"/>
      <c r="G709" s="3"/>
      <c r="H709" s="3"/>
      <c r="I709" s="3"/>
      <c r="J709" s="3"/>
      <c r="K709" s="3"/>
      <c r="L709" s="54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80"/>
      <c r="F710" s="54"/>
      <c r="G710" s="3"/>
      <c r="H710" s="3"/>
      <c r="I710" s="3"/>
      <c r="J710" s="3"/>
      <c r="K710" s="3"/>
      <c r="L710" s="54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80"/>
      <c r="F711" s="54"/>
      <c r="G711" s="3"/>
      <c r="H711" s="3"/>
      <c r="I711" s="3"/>
      <c r="J711" s="3"/>
      <c r="K711" s="3"/>
      <c r="L711" s="54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80"/>
      <c r="F712" s="54"/>
      <c r="G712" s="3"/>
      <c r="H712" s="3"/>
      <c r="I712" s="3"/>
      <c r="J712" s="3"/>
      <c r="K712" s="3"/>
      <c r="L712" s="54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80"/>
      <c r="F713" s="54"/>
      <c r="G713" s="3"/>
      <c r="H713" s="3"/>
      <c r="I713" s="3"/>
      <c r="J713" s="3"/>
      <c r="K713" s="3"/>
      <c r="L713" s="54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80"/>
      <c r="F714" s="54"/>
      <c r="G714" s="3"/>
      <c r="H714" s="3"/>
      <c r="I714" s="3"/>
      <c r="J714" s="3"/>
      <c r="K714" s="3"/>
      <c r="L714" s="54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80"/>
      <c r="F715" s="54"/>
      <c r="G715" s="3"/>
      <c r="H715" s="3"/>
      <c r="I715" s="3"/>
      <c r="J715" s="3"/>
      <c r="K715" s="3"/>
      <c r="L715" s="54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80"/>
      <c r="F716" s="54"/>
      <c r="G716" s="3"/>
      <c r="H716" s="3"/>
      <c r="I716" s="3"/>
      <c r="J716" s="3"/>
      <c r="K716" s="3"/>
      <c r="L716" s="54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80"/>
      <c r="F717" s="54"/>
      <c r="G717" s="3"/>
      <c r="H717" s="3"/>
      <c r="I717" s="3"/>
      <c r="J717" s="3"/>
      <c r="K717" s="3"/>
      <c r="L717" s="54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80"/>
      <c r="F718" s="54"/>
      <c r="G718" s="3"/>
      <c r="H718" s="3"/>
      <c r="I718" s="3"/>
      <c r="J718" s="3"/>
      <c r="K718" s="3"/>
      <c r="L718" s="54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80"/>
      <c r="F719" s="54"/>
      <c r="G719" s="3"/>
      <c r="H719" s="3"/>
      <c r="I719" s="3"/>
      <c r="J719" s="3"/>
      <c r="K719" s="3"/>
      <c r="L719" s="54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80"/>
      <c r="F720" s="54"/>
      <c r="G720" s="3"/>
      <c r="H720" s="3"/>
      <c r="I720" s="3"/>
      <c r="J720" s="3"/>
      <c r="K720" s="3"/>
      <c r="L720" s="54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80"/>
      <c r="F721" s="54"/>
      <c r="G721" s="3"/>
      <c r="H721" s="3"/>
      <c r="I721" s="3"/>
      <c r="J721" s="3"/>
      <c r="K721" s="3"/>
      <c r="L721" s="54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80"/>
      <c r="F722" s="54"/>
      <c r="G722" s="3"/>
      <c r="H722" s="3"/>
      <c r="I722" s="3"/>
      <c r="J722" s="3"/>
      <c r="K722" s="3"/>
      <c r="L722" s="54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80"/>
      <c r="F723" s="54"/>
      <c r="G723" s="3"/>
      <c r="H723" s="3"/>
      <c r="I723" s="3"/>
      <c r="J723" s="3"/>
      <c r="K723" s="3"/>
      <c r="L723" s="54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80"/>
      <c r="F724" s="54"/>
      <c r="G724" s="3"/>
      <c r="H724" s="3"/>
      <c r="I724" s="3"/>
      <c r="J724" s="3"/>
      <c r="K724" s="3"/>
      <c r="L724" s="54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80"/>
      <c r="F725" s="54"/>
      <c r="G725" s="3"/>
      <c r="H725" s="3"/>
      <c r="I725" s="3"/>
      <c r="J725" s="3"/>
      <c r="K725" s="3"/>
      <c r="L725" s="54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80"/>
      <c r="F726" s="54"/>
      <c r="G726" s="3"/>
      <c r="H726" s="3"/>
      <c r="I726" s="3"/>
      <c r="J726" s="3"/>
      <c r="K726" s="3"/>
      <c r="L726" s="54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80"/>
      <c r="F727" s="54"/>
      <c r="G727" s="3"/>
      <c r="H727" s="3"/>
      <c r="I727" s="3"/>
      <c r="J727" s="3"/>
      <c r="K727" s="3"/>
      <c r="L727" s="54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80"/>
      <c r="F728" s="54"/>
      <c r="G728" s="3"/>
      <c r="H728" s="3"/>
      <c r="I728" s="3"/>
      <c r="J728" s="3"/>
      <c r="K728" s="3"/>
      <c r="L728" s="54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80"/>
      <c r="F729" s="54"/>
      <c r="G729" s="3"/>
      <c r="H729" s="3"/>
      <c r="I729" s="3"/>
      <c r="J729" s="3"/>
      <c r="K729" s="3"/>
      <c r="L729" s="54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80"/>
      <c r="F730" s="54"/>
      <c r="G730" s="3"/>
      <c r="H730" s="3"/>
      <c r="I730" s="3"/>
      <c r="J730" s="3"/>
      <c r="K730" s="3"/>
      <c r="L730" s="54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80"/>
      <c r="F731" s="54"/>
      <c r="G731" s="3"/>
      <c r="H731" s="3"/>
      <c r="I731" s="3"/>
      <c r="J731" s="3"/>
      <c r="K731" s="3"/>
      <c r="L731" s="54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80"/>
      <c r="F732" s="54"/>
      <c r="G732" s="3"/>
      <c r="H732" s="3"/>
      <c r="I732" s="3"/>
      <c r="J732" s="3"/>
      <c r="K732" s="3"/>
      <c r="L732" s="54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80"/>
      <c r="F733" s="54"/>
      <c r="G733" s="3"/>
      <c r="H733" s="3"/>
      <c r="I733" s="3"/>
      <c r="J733" s="3"/>
      <c r="K733" s="3"/>
      <c r="L733" s="54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80"/>
      <c r="F734" s="54"/>
      <c r="G734" s="3"/>
      <c r="H734" s="3"/>
      <c r="I734" s="3"/>
      <c r="J734" s="3"/>
      <c r="K734" s="3"/>
      <c r="L734" s="54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80"/>
      <c r="F735" s="54"/>
      <c r="G735" s="3"/>
      <c r="H735" s="3"/>
      <c r="I735" s="3"/>
      <c r="J735" s="3"/>
      <c r="K735" s="3"/>
      <c r="L735" s="54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80"/>
      <c r="F736" s="54"/>
      <c r="G736" s="3"/>
      <c r="H736" s="3"/>
      <c r="I736" s="3"/>
      <c r="J736" s="3"/>
      <c r="K736" s="3"/>
      <c r="L736" s="54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80"/>
      <c r="F737" s="54"/>
      <c r="G737" s="3"/>
      <c r="H737" s="3"/>
      <c r="I737" s="3"/>
      <c r="J737" s="3"/>
      <c r="K737" s="3"/>
      <c r="L737" s="54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80"/>
      <c r="F738" s="54"/>
      <c r="G738" s="3"/>
      <c r="H738" s="3"/>
      <c r="I738" s="3"/>
      <c r="J738" s="3"/>
      <c r="K738" s="3"/>
      <c r="L738" s="54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80"/>
      <c r="F739" s="54"/>
      <c r="G739" s="3"/>
      <c r="H739" s="3"/>
      <c r="I739" s="3"/>
      <c r="J739" s="3"/>
      <c r="K739" s="3"/>
      <c r="L739" s="54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80"/>
      <c r="F740" s="54"/>
      <c r="G740" s="3"/>
      <c r="H740" s="3"/>
      <c r="I740" s="3"/>
      <c r="J740" s="3"/>
      <c r="K740" s="3"/>
      <c r="L740" s="54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80"/>
      <c r="F741" s="54"/>
      <c r="G741" s="3"/>
      <c r="H741" s="3"/>
      <c r="I741" s="3"/>
      <c r="J741" s="3"/>
      <c r="K741" s="3"/>
      <c r="L741" s="54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80"/>
      <c r="F742" s="54"/>
      <c r="G742" s="3"/>
      <c r="H742" s="3"/>
      <c r="I742" s="3"/>
      <c r="J742" s="3"/>
      <c r="K742" s="3"/>
      <c r="L742" s="54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80"/>
      <c r="F743" s="54"/>
      <c r="G743" s="3"/>
      <c r="H743" s="3"/>
      <c r="I743" s="3"/>
      <c r="J743" s="3"/>
      <c r="K743" s="3"/>
      <c r="L743" s="54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80"/>
      <c r="F744" s="54"/>
      <c r="G744" s="3"/>
      <c r="H744" s="3"/>
      <c r="I744" s="3"/>
      <c r="J744" s="3"/>
      <c r="K744" s="3"/>
      <c r="L744" s="54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80"/>
      <c r="F745" s="54"/>
      <c r="G745" s="3"/>
      <c r="H745" s="3"/>
      <c r="I745" s="3"/>
      <c r="J745" s="3"/>
      <c r="K745" s="3"/>
      <c r="L745" s="54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80"/>
      <c r="F746" s="54"/>
      <c r="G746" s="3"/>
      <c r="H746" s="3"/>
      <c r="I746" s="3"/>
      <c r="J746" s="3"/>
      <c r="K746" s="3"/>
      <c r="L746" s="54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80"/>
      <c r="F747" s="54"/>
      <c r="G747" s="3"/>
      <c r="H747" s="3"/>
      <c r="I747" s="3"/>
      <c r="J747" s="3"/>
      <c r="K747" s="3"/>
      <c r="L747" s="54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80"/>
      <c r="F748" s="54"/>
      <c r="G748" s="3"/>
      <c r="H748" s="3"/>
      <c r="I748" s="3"/>
      <c r="J748" s="3"/>
      <c r="K748" s="3"/>
      <c r="L748" s="54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80"/>
      <c r="F749" s="54"/>
      <c r="G749" s="3"/>
      <c r="H749" s="3"/>
      <c r="I749" s="3"/>
      <c r="J749" s="3"/>
      <c r="K749" s="3"/>
      <c r="L749" s="54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80"/>
      <c r="F750" s="54"/>
      <c r="G750" s="3"/>
      <c r="H750" s="3"/>
      <c r="I750" s="3"/>
      <c r="J750" s="3"/>
      <c r="K750" s="3"/>
      <c r="L750" s="54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80"/>
      <c r="F751" s="54"/>
      <c r="G751" s="3"/>
      <c r="H751" s="3"/>
      <c r="I751" s="3"/>
      <c r="J751" s="3"/>
      <c r="K751" s="3"/>
      <c r="L751" s="54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80"/>
      <c r="F752" s="54"/>
      <c r="G752" s="3"/>
      <c r="H752" s="3"/>
      <c r="I752" s="3"/>
      <c r="J752" s="3"/>
      <c r="K752" s="3"/>
      <c r="L752" s="54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80"/>
      <c r="F753" s="54"/>
      <c r="G753" s="3"/>
      <c r="H753" s="3"/>
      <c r="I753" s="3"/>
      <c r="J753" s="3"/>
      <c r="K753" s="3"/>
      <c r="L753" s="54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80"/>
      <c r="F754" s="54"/>
      <c r="G754" s="3"/>
      <c r="H754" s="3"/>
      <c r="I754" s="3"/>
      <c r="J754" s="3"/>
      <c r="K754" s="3"/>
      <c r="L754" s="54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80"/>
      <c r="F755" s="54"/>
      <c r="G755" s="3"/>
      <c r="H755" s="3"/>
      <c r="I755" s="3"/>
      <c r="J755" s="3"/>
      <c r="K755" s="3"/>
      <c r="L755" s="54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80"/>
      <c r="F756" s="54"/>
      <c r="G756" s="3"/>
      <c r="H756" s="3"/>
      <c r="I756" s="3"/>
      <c r="J756" s="3"/>
      <c r="K756" s="3"/>
      <c r="L756" s="54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80"/>
      <c r="F757" s="54"/>
      <c r="G757" s="3"/>
      <c r="H757" s="3"/>
      <c r="I757" s="3"/>
      <c r="J757" s="3"/>
      <c r="K757" s="3"/>
      <c r="L757" s="54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80"/>
      <c r="F758" s="54"/>
      <c r="G758" s="3"/>
      <c r="H758" s="3"/>
      <c r="I758" s="3"/>
      <c r="J758" s="3"/>
      <c r="K758" s="3"/>
      <c r="L758" s="54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80"/>
      <c r="F759" s="54"/>
      <c r="G759" s="3"/>
      <c r="H759" s="3"/>
      <c r="I759" s="3"/>
      <c r="J759" s="3"/>
      <c r="K759" s="3"/>
      <c r="L759" s="54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80"/>
      <c r="F760" s="54"/>
      <c r="G760" s="3"/>
      <c r="H760" s="3"/>
      <c r="I760" s="3"/>
      <c r="J760" s="3"/>
      <c r="K760" s="3"/>
      <c r="L760" s="54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80"/>
      <c r="F761" s="54"/>
      <c r="G761" s="3"/>
      <c r="H761" s="3"/>
      <c r="I761" s="3"/>
      <c r="J761" s="3"/>
      <c r="K761" s="3"/>
      <c r="L761" s="54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80"/>
      <c r="F762" s="54"/>
      <c r="G762" s="3"/>
      <c r="H762" s="3"/>
      <c r="I762" s="3"/>
      <c r="J762" s="3"/>
      <c r="K762" s="3"/>
      <c r="L762" s="54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80"/>
      <c r="F763" s="54"/>
      <c r="G763" s="3"/>
      <c r="H763" s="3"/>
      <c r="I763" s="3"/>
      <c r="J763" s="3"/>
      <c r="K763" s="3"/>
      <c r="L763" s="54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80"/>
      <c r="F764" s="54"/>
      <c r="G764" s="3"/>
      <c r="H764" s="3"/>
      <c r="I764" s="3"/>
      <c r="J764" s="3"/>
      <c r="K764" s="3"/>
      <c r="L764" s="54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80"/>
      <c r="F765" s="54"/>
      <c r="G765" s="3"/>
      <c r="H765" s="3"/>
      <c r="I765" s="3"/>
      <c r="J765" s="3"/>
      <c r="K765" s="3"/>
      <c r="L765" s="54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80"/>
      <c r="F766" s="54"/>
      <c r="G766" s="3"/>
      <c r="H766" s="3"/>
      <c r="I766" s="3"/>
      <c r="J766" s="3"/>
      <c r="K766" s="3"/>
      <c r="L766" s="54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80"/>
      <c r="F767" s="54"/>
      <c r="G767" s="3"/>
      <c r="H767" s="3"/>
      <c r="I767" s="3"/>
      <c r="J767" s="3"/>
      <c r="K767" s="3"/>
      <c r="L767" s="54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80"/>
      <c r="F768" s="54"/>
      <c r="G768" s="3"/>
      <c r="H768" s="3"/>
      <c r="I768" s="3"/>
      <c r="J768" s="3"/>
      <c r="K768" s="3"/>
      <c r="L768" s="54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80"/>
      <c r="F769" s="54"/>
      <c r="G769" s="3"/>
      <c r="H769" s="3"/>
      <c r="I769" s="3"/>
      <c r="J769" s="3"/>
      <c r="K769" s="3"/>
      <c r="L769" s="54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80"/>
      <c r="F770" s="54"/>
      <c r="G770" s="3"/>
      <c r="H770" s="3"/>
      <c r="I770" s="3"/>
      <c r="J770" s="3"/>
      <c r="K770" s="3"/>
      <c r="L770" s="54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80"/>
      <c r="F771" s="54"/>
      <c r="G771" s="3"/>
      <c r="H771" s="3"/>
      <c r="I771" s="3"/>
      <c r="J771" s="3"/>
      <c r="K771" s="3"/>
      <c r="L771" s="54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80"/>
      <c r="F772" s="54"/>
      <c r="G772" s="3"/>
      <c r="H772" s="3"/>
      <c r="I772" s="3"/>
      <c r="J772" s="3"/>
      <c r="K772" s="3"/>
      <c r="L772" s="54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80"/>
      <c r="F773" s="54"/>
      <c r="G773" s="3"/>
      <c r="H773" s="3"/>
      <c r="I773" s="3"/>
      <c r="J773" s="3"/>
      <c r="K773" s="3"/>
      <c r="L773" s="54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80"/>
      <c r="F774" s="54"/>
      <c r="G774" s="3"/>
      <c r="H774" s="3"/>
      <c r="I774" s="3"/>
      <c r="J774" s="3"/>
      <c r="K774" s="3"/>
      <c r="L774" s="54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80"/>
      <c r="F775" s="54"/>
      <c r="G775" s="3"/>
      <c r="H775" s="3"/>
      <c r="I775" s="3"/>
      <c r="J775" s="3"/>
      <c r="K775" s="3"/>
      <c r="L775" s="54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80"/>
      <c r="F776" s="54"/>
      <c r="G776" s="3"/>
      <c r="H776" s="3"/>
      <c r="I776" s="3"/>
      <c r="J776" s="3"/>
      <c r="K776" s="3"/>
      <c r="L776" s="54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80"/>
      <c r="F777" s="54"/>
      <c r="G777" s="3"/>
      <c r="H777" s="3"/>
      <c r="I777" s="3"/>
      <c r="J777" s="3"/>
      <c r="K777" s="3"/>
      <c r="L777" s="54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80"/>
      <c r="F778" s="54"/>
      <c r="G778" s="3"/>
      <c r="H778" s="3"/>
      <c r="I778" s="3"/>
      <c r="J778" s="3"/>
      <c r="K778" s="3"/>
      <c r="L778" s="54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80"/>
      <c r="F779" s="54"/>
      <c r="G779" s="3"/>
      <c r="H779" s="3"/>
      <c r="I779" s="3"/>
      <c r="J779" s="3"/>
      <c r="K779" s="3"/>
      <c r="L779" s="54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80"/>
      <c r="F780" s="54"/>
      <c r="G780" s="3"/>
      <c r="H780" s="3"/>
      <c r="I780" s="3"/>
      <c r="J780" s="3"/>
      <c r="K780" s="3"/>
      <c r="L780" s="54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80"/>
      <c r="F781" s="54"/>
      <c r="G781" s="3"/>
      <c r="H781" s="3"/>
      <c r="I781" s="3"/>
      <c r="J781" s="3"/>
      <c r="K781" s="3"/>
      <c r="L781" s="54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80"/>
      <c r="F782" s="54"/>
      <c r="G782" s="3"/>
      <c r="H782" s="3"/>
      <c r="I782" s="3"/>
      <c r="J782" s="3"/>
      <c r="K782" s="3"/>
      <c r="L782" s="54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80"/>
      <c r="F783" s="54"/>
      <c r="G783" s="3"/>
      <c r="H783" s="3"/>
      <c r="I783" s="3"/>
      <c r="J783" s="3"/>
      <c r="K783" s="3"/>
      <c r="L783" s="54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80"/>
      <c r="F784" s="54"/>
      <c r="G784" s="3"/>
      <c r="H784" s="3"/>
      <c r="I784" s="3"/>
      <c r="J784" s="3"/>
      <c r="K784" s="3"/>
      <c r="L784" s="54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80"/>
      <c r="F785" s="54"/>
      <c r="G785" s="3"/>
      <c r="H785" s="3"/>
      <c r="I785" s="3"/>
      <c r="J785" s="3"/>
      <c r="K785" s="3"/>
      <c r="L785" s="54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80"/>
      <c r="F786" s="54"/>
      <c r="G786" s="3"/>
      <c r="H786" s="3"/>
      <c r="I786" s="3"/>
      <c r="J786" s="3"/>
      <c r="K786" s="3"/>
      <c r="L786" s="54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80"/>
      <c r="F787" s="54"/>
      <c r="G787" s="3"/>
      <c r="H787" s="3"/>
      <c r="I787" s="3"/>
      <c r="J787" s="3"/>
      <c r="K787" s="3"/>
      <c r="L787" s="54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80"/>
      <c r="F788" s="54"/>
      <c r="G788" s="3"/>
      <c r="H788" s="3"/>
      <c r="I788" s="3"/>
      <c r="J788" s="3"/>
      <c r="K788" s="3"/>
      <c r="L788" s="54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80"/>
      <c r="F789" s="54"/>
      <c r="G789" s="3"/>
      <c r="H789" s="3"/>
      <c r="I789" s="3"/>
      <c r="J789" s="3"/>
      <c r="K789" s="3"/>
      <c r="L789" s="54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80"/>
      <c r="F790" s="54"/>
      <c r="G790" s="3"/>
      <c r="H790" s="3"/>
      <c r="I790" s="3"/>
      <c r="J790" s="3"/>
      <c r="K790" s="3"/>
      <c r="L790" s="54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80"/>
      <c r="F791" s="54"/>
      <c r="G791" s="3"/>
      <c r="H791" s="3"/>
      <c r="I791" s="3"/>
      <c r="J791" s="3"/>
      <c r="K791" s="3"/>
      <c r="L791" s="54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80"/>
      <c r="F792" s="54"/>
      <c r="G792" s="3"/>
      <c r="H792" s="3"/>
      <c r="I792" s="3"/>
      <c r="J792" s="3"/>
      <c r="K792" s="3"/>
      <c r="L792" s="54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80"/>
      <c r="F793" s="54"/>
      <c r="G793" s="3"/>
      <c r="H793" s="3"/>
      <c r="I793" s="3"/>
      <c r="J793" s="3"/>
      <c r="K793" s="3"/>
      <c r="L793" s="54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80"/>
      <c r="F794" s="54"/>
      <c r="G794" s="3"/>
      <c r="H794" s="3"/>
      <c r="I794" s="3"/>
      <c r="J794" s="3"/>
      <c r="K794" s="3"/>
      <c r="L794" s="54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80"/>
      <c r="F795" s="54"/>
      <c r="G795" s="3"/>
      <c r="H795" s="3"/>
      <c r="I795" s="3"/>
      <c r="J795" s="3"/>
      <c r="K795" s="3"/>
      <c r="L795" s="54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80"/>
      <c r="F796" s="54"/>
      <c r="G796" s="3"/>
      <c r="H796" s="3"/>
      <c r="I796" s="3"/>
      <c r="J796" s="3"/>
      <c r="K796" s="3"/>
      <c r="L796" s="54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80"/>
      <c r="F797" s="54"/>
      <c r="G797" s="3"/>
      <c r="H797" s="3"/>
      <c r="I797" s="3"/>
      <c r="J797" s="3"/>
      <c r="K797" s="3"/>
      <c r="L797" s="54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80"/>
      <c r="F798" s="54"/>
      <c r="G798" s="3"/>
      <c r="H798" s="3"/>
      <c r="I798" s="3"/>
      <c r="J798" s="3"/>
      <c r="K798" s="3"/>
      <c r="L798" s="54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80"/>
      <c r="F799" s="54"/>
      <c r="G799" s="3"/>
      <c r="H799" s="3"/>
      <c r="I799" s="3"/>
      <c r="J799" s="3"/>
      <c r="K799" s="3"/>
      <c r="L799" s="54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80"/>
      <c r="F800" s="54"/>
      <c r="G800" s="3"/>
      <c r="H800" s="3"/>
      <c r="I800" s="3"/>
      <c r="J800" s="3"/>
      <c r="K800" s="3"/>
      <c r="L800" s="54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80"/>
      <c r="F801" s="54"/>
      <c r="G801" s="3"/>
      <c r="H801" s="3"/>
      <c r="I801" s="3"/>
      <c r="J801" s="3"/>
      <c r="K801" s="3"/>
      <c r="L801" s="54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80"/>
      <c r="F802" s="54"/>
      <c r="G802" s="3"/>
      <c r="H802" s="3"/>
      <c r="I802" s="3"/>
      <c r="J802" s="3"/>
      <c r="K802" s="3"/>
      <c r="L802" s="54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80"/>
      <c r="F803" s="54"/>
      <c r="G803" s="3"/>
      <c r="H803" s="3"/>
      <c r="I803" s="3"/>
      <c r="J803" s="3"/>
      <c r="K803" s="3"/>
      <c r="L803" s="54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80"/>
      <c r="F804" s="54"/>
      <c r="G804" s="3"/>
      <c r="H804" s="3"/>
      <c r="I804" s="3"/>
      <c r="J804" s="3"/>
      <c r="K804" s="3"/>
      <c r="L804" s="54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80"/>
      <c r="F805" s="54"/>
      <c r="G805" s="3"/>
      <c r="H805" s="3"/>
      <c r="I805" s="3"/>
      <c r="J805" s="3"/>
      <c r="K805" s="3"/>
      <c r="L805" s="54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80"/>
      <c r="F806" s="54"/>
      <c r="G806" s="3"/>
      <c r="H806" s="3"/>
      <c r="I806" s="3"/>
      <c r="J806" s="3"/>
      <c r="K806" s="3"/>
      <c r="L806" s="54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80"/>
      <c r="F807" s="54"/>
      <c r="G807" s="3"/>
      <c r="H807" s="3"/>
      <c r="I807" s="3"/>
      <c r="J807" s="3"/>
      <c r="K807" s="3"/>
      <c r="L807" s="54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80"/>
      <c r="F808" s="54"/>
      <c r="G808" s="3"/>
      <c r="H808" s="3"/>
      <c r="I808" s="3"/>
      <c r="J808" s="3"/>
      <c r="K808" s="3"/>
      <c r="L808" s="54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80"/>
      <c r="F809" s="54"/>
      <c r="G809" s="3"/>
      <c r="H809" s="3"/>
      <c r="I809" s="3"/>
      <c r="J809" s="3"/>
      <c r="K809" s="3"/>
      <c r="L809" s="54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80"/>
      <c r="F810" s="54"/>
      <c r="G810" s="3"/>
      <c r="H810" s="3"/>
      <c r="I810" s="3"/>
      <c r="J810" s="3"/>
      <c r="K810" s="3"/>
      <c r="L810" s="54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80"/>
      <c r="F811" s="54"/>
      <c r="G811" s="3"/>
      <c r="H811" s="3"/>
      <c r="I811" s="3"/>
      <c r="J811" s="3"/>
      <c r="K811" s="3"/>
      <c r="L811" s="54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80"/>
      <c r="F812" s="54"/>
      <c r="G812" s="3"/>
      <c r="H812" s="3"/>
      <c r="I812" s="3"/>
      <c r="J812" s="3"/>
      <c r="K812" s="3"/>
      <c r="L812" s="54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80"/>
      <c r="F813" s="54"/>
      <c r="G813" s="3"/>
      <c r="H813" s="3"/>
      <c r="I813" s="3"/>
      <c r="J813" s="3"/>
      <c r="K813" s="3"/>
      <c r="L813" s="54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80"/>
      <c r="F814" s="54"/>
      <c r="G814" s="3"/>
      <c r="H814" s="3"/>
      <c r="I814" s="3"/>
      <c r="J814" s="3"/>
      <c r="K814" s="3"/>
      <c r="L814" s="54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80"/>
      <c r="F815" s="54"/>
      <c r="G815" s="3"/>
      <c r="H815" s="3"/>
      <c r="I815" s="3"/>
      <c r="J815" s="3"/>
      <c r="K815" s="3"/>
      <c r="L815" s="54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80"/>
      <c r="F816" s="54"/>
      <c r="G816" s="3"/>
      <c r="H816" s="3"/>
      <c r="I816" s="3"/>
      <c r="J816" s="3"/>
      <c r="K816" s="3"/>
      <c r="L816" s="54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80"/>
      <c r="F817" s="54"/>
      <c r="G817" s="3"/>
      <c r="H817" s="3"/>
      <c r="I817" s="3"/>
      <c r="J817" s="3"/>
      <c r="K817" s="3"/>
      <c r="L817" s="54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80"/>
      <c r="F818" s="54"/>
      <c r="G818" s="3"/>
      <c r="H818" s="3"/>
      <c r="I818" s="3"/>
      <c r="J818" s="3"/>
      <c r="K818" s="3"/>
      <c r="L818" s="54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80"/>
      <c r="F819" s="54"/>
      <c r="G819" s="3"/>
      <c r="H819" s="3"/>
      <c r="I819" s="3"/>
      <c r="J819" s="3"/>
      <c r="K819" s="3"/>
      <c r="L819" s="54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80"/>
      <c r="F820" s="54"/>
      <c r="G820" s="3"/>
      <c r="H820" s="3"/>
      <c r="I820" s="3"/>
      <c r="J820" s="3"/>
      <c r="K820" s="3"/>
      <c r="L820" s="54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80"/>
      <c r="F821" s="54"/>
      <c r="G821" s="3"/>
      <c r="H821" s="3"/>
      <c r="I821" s="3"/>
      <c r="J821" s="3"/>
      <c r="K821" s="3"/>
      <c r="L821" s="54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80"/>
      <c r="F822" s="54"/>
      <c r="G822" s="3"/>
      <c r="H822" s="3"/>
      <c r="I822" s="3"/>
      <c r="J822" s="3"/>
      <c r="K822" s="3"/>
      <c r="L822" s="54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80"/>
      <c r="F823" s="54"/>
      <c r="G823" s="3"/>
      <c r="H823" s="3"/>
      <c r="I823" s="3"/>
      <c r="J823" s="3"/>
      <c r="K823" s="3"/>
      <c r="L823" s="54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80"/>
      <c r="F824" s="54"/>
      <c r="G824" s="3"/>
      <c r="H824" s="3"/>
      <c r="I824" s="3"/>
      <c r="J824" s="3"/>
      <c r="K824" s="3"/>
      <c r="L824" s="54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80"/>
      <c r="F825" s="54"/>
      <c r="G825" s="3"/>
      <c r="H825" s="3"/>
      <c r="I825" s="3"/>
      <c r="J825" s="3"/>
      <c r="K825" s="3"/>
      <c r="L825" s="54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80"/>
      <c r="F826" s="54"/>
      <c r="G826" s="3"/>
      <c r="H826" s="3"/>
      <c r="I826" s="3"/>
      <c r="J826" s="3"/>
      <c r="K826" s="3"/>
      <c r="L826" s="54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80"/>
      <c r="F827" s="54"/>
      <c r="G827" s="3"/>
      <c r="H827" s="3"/>
      <c r="I827" s="3"/>
      <c r="J827" s="3"/>
      <c r="K827" s="3"/>
      <c r="L827" s="54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80"/>
      <c r="F828" s="54"/>
      <c r="G828" s="3"/>
      <c r="H828" s="3"/>
      <c r="I828" s="3"/>
      <c r="J828" s="3"/>
      <c r="K828" s="3"/>
      <c r="L828" s="54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80"/>
      <c r="F829" s="54"/>
      <c r="G829" s="3"/>
      <c r="H829" s="3"/>
      <c r="I829" s="3"/>
      <c r="J829" s="3"/>
      <c r="K829" s="3"/>
      <c r="L829" s="54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80"/>
      <c r="F830" s="54"/>
      <c r="G830" s="3"/>
      <c r="H830" s="3"/>
      <c r="I830" s="3"/>
      <c r="J830" s="3"/>
      <c r="K830" s="3"/>
      <c r="L830" s="54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80"/>
      <c r="F831" s="54"/>
      <c r="G831" s="3"/>
      <c r="H831" s="3"/>
      <c r="I831" s="3"/>
      <c r="J831" s="3"/>
      <c r="K831" s="3"/>
      <c r="L831" s="54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80"/>
      <c r="F832" s="54"/>
      <c r="G832" s="3"/>
      <c r="H832" s="3"/>
      <c r="I832" s="3"/>
      <c r="J832" s="3"/>
      <c r="K832" s="3"/>
      <c r="L832" s="54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80"/>
      <c r="F833" s="54"/>
      <c r="G833" s="3"/>
      <c r="H833" s="3"/>
      <c r="I833" s="3"/>
      <c r="J833" s="3"/>
      <c r="K833" s="3"/>
      <c r="L833" s="54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80"/>
      <c r="F834" s="54"/>
      <c r="G834" s="3"/>
      <c r="H834" s="3"/>
      <c r="I834" s="3"/>
      <c r="J834" s="3"/>
      <c r="K834" s="3"/>
      <c r="L834" s="54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80"/>
      <c r="F835" s="54"/>
      <c r="G835" s="3"/>
      <c r="H835" s="3"/>
      <c r="I835" s="3"/>
      <c r="J835" s="3"/>
      <c r="K835" s="3"/>
      <c r="L835" s="54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80"/>
      <c r="F836" s="54"/>
      <c r="G836" s="3"/>
      <c r="H836" s="3"/>
      <c r="I836" s="3"/>
      <c r="J836" s="3"/>
      <c r="K836" s="3"/>
      <c r="L836" s="54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80"/>
      <c r="F837" s="54"/>
      <c r="G837" s="3"/>
      <c r="H837" s="3"/>
      <c r="I837" s="3"/>
      <c r="J837" s="3"/>
      <c r="K837" s="3"/>
      <c r="L837" s="54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80"/>
      <c r="F838" s="54"/>
      <c r="G838" s="3"/>
      <c r="H838" s="3"/>
      <c r="I838" s="3"/>
      <c r="J838" s="3"/>
      <c r="K838" s="3"/>
      <c r="L838" s="54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80"/>
      <c r="F839" s="54"/>
      <c r="G839" s="3"/>
      <c r="H839" s="3"/>
      <c r="I839" s="3"/>
      <c r="J839" s="3"/>
      <c r="K839" s="3"/>
      <c r="L839" s="54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80"/>
      <c r="F840" s="54"/>
      <c r="G840" s="3"/>
      <c r="H840" s="3"/>
      <c r="I840" s="3"/>
      <c r="J840" s="3"/>
      <c r="K840" s="3"/>
      <c r="L840" s="54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80"/>
      <c r="F841" s="54"/>
      <c r="G841" s="3"/>
      <c r="H841" s="3"/>
      <c r="I841" s="3"/>
      <c r="J841" s="3"/>
      <c r="K841" s="3"/>
      <c r="L841" s="54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80"/>
      <c r="F842" s="54"/>
      <c r="G842" s="3"/>
      <c r="H842" s="3"/>
      <c r="I842" s="3"/>
      <c r="J842" s="3"/>
      <c r="K842" s="3"/>
      <c r="L842" s="54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80"/>
      <c r="F843" s="54"/>
      <c r="G843" s="3"/>
      <c r="H843" s="3"/>
      <c r="I843" s="3"/>
      <c r="J843" s="3"/>
      <c r="K843" s="3"/>
      <c r="L843" s="54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80"/>
      <c r="F844" s="54"/>
      <c r="G844" s="3"/>
      <c r="H844" s="3"/>
      <c r="I844" s="3"/>
      <c r="J844" s="3"/>
      <c r="K844" s="3"/>
      <c r="L844" s="54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80"/>
      <c r="F845" s="54"/>
      <c r="G845" s="3"/>
      <c r="H845" s="3"/>
      <c r="I845" s="3"/>
      <c r="J845" s="3"/>
      <c r="K845" s="3"/>
      <c r="L845" s="54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80"/>
      <c r="F846" s="54"/>
      <c r="G846" s="3"/>
      <c r="H846" s="3"/>
      <c r="I846" s="3"/>
      <c r="J846" s="3"/>
      <c r="K846" s="3"/>
      <c r="L846" s="54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80"/>
      <c r="F847" s="54"/>
      <c r="G847" s="3"/>
      <c r="H847" s="3"/>
      <c r="I847" s="3"/>
      <c r="J847" s="3"/>
      <c r="K847" s="3"/>
      <c r="L847" s="54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80"/>
      <c r="F848" s="54"/>
      <c r="G848" s="3"/>
      <c r="H848" s="3"/>
      <c r="I848" s="3"/>
      <c r="J848" s="3"/>
      <c r="K848" s="3"/>
      <c r="L848" s="54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80"/>
      <c r="F849" s="54"/>
      <c r="G849" s="3"/>
      <c r="H849" s="3"/>
      <c r="I849" s="3"/>
      <c r="J849" s="3"/>
      <c r="K849" s="3"/>
      <c r="L849" s="54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80"/>
      <c r="F850" s="54"/>
      <c r="G850" s="3"/>
      <c r="H850" s="3"/>
      <c r="I850" s="3"/>
      <c r="J850" s="3"/>
      <c r="K850" s="3"/>
      <c r="L850" s="54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80"/>
      <c r="F851" s="54"/>
      <c r="G851" s="3"/>
      <c r="H851" s="3"/>
      <c r="I851" s="3"/>
      <c r="J851" s="3"/>
      <c r="K851" s="3"/>
      <c r="L851" s="54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80"/>
      <c r="F852" s="54"/>
      <c r="G852" s="3"/>
      <c r="H852" s="3"/>
      <c r="I852" s="3"/>
      <c r="J852" s="3"/>
      <c r="K852" s="3"/>
      <c r="L852" s="54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80"/>
      <c r="F853" s="54"/>
      <c r="G853" s="3"/>
      <c r="H853" s="3"/>
      <c r="I853" s="3"/>
      <c r="J853" s="3"/>
      <c r="K853" s="3"/>
      <c r="L853" s="54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80"/>
      <c r="F854" s="54"/>
      <c r="G854" s="3"/>
      <c r="H854" s="3"/>
      <c r="I854" s="3"/>
      <c r="J854" s="3"/>
      <c r="K854" s="3"/>
      <c r="L854" s="54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80"/>
      <c r="F855" s="54"/>
      <c r="G855" s="3"/>
      <c r="H855" s="3"/>
      <c r="I855" s="3"/>
      <c r="J855" s="3"/>
      <c r="K855" s="3"/>
      <c r="L855" s="54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80"/>
      <c r="F856" s="54"/>
      <c r="G856" s="3"/>
      <c r="H856" s="3"/>
      <c r="I856" s="3"/>
      <c r="J856" s="3"/>
      <c r="K856" s="3"/>
      <c r="L856" s="54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80"/>
      <c r="F857" s="54"/>
      <c r="G857" s="3"/>
      <c r="H857" s="3"/>
      <c r="I857" s="3"/>
      <c r="J857" s="3"/>
      <c r="K857" s="3"/>
      <c r="L857" s="54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80"/>
      <c r="F858" s="54"/>
      <c r="G858" s="3"/>
      <c r="H858" s="3"/>
      <c r="I858" s="3"/>
      <c r="J858" s="3"/>
      <c r="K858" s="3"/>
      <c r="L858" s="54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80"/>
      <c r="F859" s="54"/>
      <c r="G859" s="3"/>
      <c r="H859" s="3"/>
      <c r="I859" s="3"/>
      <c r="J859" s="3"/>
      <c r="K859" s="3"/>
      <c r="L859" s="54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80"/>
      <c r="F860" s="54"/>
      <c r="G860" s="3"/>
      <c r="H860" s="3"/>
      <c r="I860" s="3"/>
      <c r="J860" s="3"/>
      <c r="K860" s="3"/>
      <c r="L860" s="54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80"/>
      <c r="F861" s="54"/>
      <c r="G861" s="3"/>
      <c r="H861" s="3"/>
      <c r="I861" s="3"/>
      <c r="J861" s="3"/>
      <c r="K861" s="3"/>
      <c r="L861" s="54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80"/>
      <c r="F862" s="54"/>
      <c r="G862" s="3"/>
      <c r="H862" s="3"/>
      <c r="I862" s="3"/>
      <c r="J862" s="3"/>
      <c r="K862" s="3"/>
      <c r="L862" s="54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80"/>
      <c r="F863" s="54"/>
      <c r="G863" s="3"/>
      <c r="H863" s="3"/>
      <c r="I863" s="3"/>
      <c r="J863" s="3"/>
      <c r="K863" s="3"/>
      <c r="L863" s="54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80"/>
      <c r="F864" s="54"/>
      <c r="G864" s="3"/>
      <c r="H864" s="3"/>
      <c r="I864" s="3"/>
      <c r="J864" s="3"/>
      <c r="K864" s="3"/>
      <c r="L864" s="54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80"/>
      <c r="F865" s="54"/>
      <c r="G865" s="3"/>
      <c r="H865" s="3"/>
      <c r="I865" s="3"/>
      <c r="J865" s="3"/>
      <c r="K865" s="3"/>
      <c r="L865" s="54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80"/>
      <c r="F866" s="54"/>
      <c r="G866" s="3"/>
      <c r="H866" s="3"/>
      <c r="I866" s="3"/>
      <c r="J866" s="3"/>
      <c r="K866" s="3"/>
      <c r="L866" s="54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80"/>
      <c r="F867" s="54"/>
      <c r="G867" s="3"/>
      <c r="H867" s="3"/>
      <c r="I867" s="3"/>
      <c r="J867" s="3"/>
      <c r="K867" s="3"/>
      <c r="L867" s="54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80"/>
      <c r="F868" s="54"/>
      <c r="G868" s="3"/>
      <c r="H868" s="3"/>
      <c r="I868" s="3"/>
      <c r="J868" s="3"/>
      <c r="K868" s="3"/>
      <c r="L868" s="54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80"/>
      <c r="F869" s="54"/>
      <c r="G869" s="3"/>
      <c r="H869" s="3"/>
      <c r="I869" s="3"/>
      <c r="J869" s="3"/>
      <c r="K869" s="3"/>
      <c r="L869" s="54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80"/>
      <c r="F870" s="54"/>
      <c r="G870" s="3"/>
      <c r="H870" s="3"/>
      <c r="I870" s="3"/>
      <c r="J870" s="3"/>
      <c r="K870" s="3"/>
      <c r="L870" s="54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80"/>
      <c r="F871" s="54"/>
      <c r="G871" s="3"/>
      <c r="H871" s="3"/>
      <c r="I871" s="3"/>
      <c r="J871" s="3"/>
      <c r="K871" s="3"/>
      <c r="L871" s="54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80"/>
      <c r="F872" s="54"/>
      <c r="G872" s="3"/>
      <c r="H872" s="3"/>
      <c r="I872" s="3"/>
      <c r="J872" s="3"/>
      <c r="K872" s="3"/>
      <c r="L872" s="54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80"/>
      <c r="F873" s="54"/>
      <c r="G873" s="3"/>
      <c r="H873" s="3"/>
      <c r="I873" s="3"/>
      <c r="J873" s="3"/>
      <c r="K873" s="3"/>
      <c r="L873" s="54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80"/>
      <c r="F874" s="54"/>
      <c r="G874" s="3"/>
      <c r="H874" s="3"/>
      <c r="I874" s="3"/>
      <c r="J874" s="3"/>
      <c r="K874" s="3"/>
      <c r="L874" s="54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80"/>
      <c r="F875" s="54"/>
      <c r="G875" s="3"/>
      <c r="H875" s="3"/>
      <c r="I875" s="3"/>
      <c r="J875" s="3"/>
      <c r="K875" s="3"/>
      <c r="L875" s="54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80"/>
      <c r="F876" s="54"/>
      <c r="G876" s="3"/>
      <c r="H876" s="3"/>
      <c r="I876" s="3"/>
      <c r="J876" s="3"/>
      <c r="K876" s="3"/>
      <c r="L876" s="54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80"/>
      <c r="F877" s="54"/>
      <c r="G877" s="3"/>
      <c r="H877" s="3"/>
      <c r="I877" s="3"/>
      <c r="J877" s="3"/>
      <c r="K877" s="3"/>
      <c r="L877" s="54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80"/>
      <c r="F878" s="54"/>
      <c r="G878" s="3"/>
      <c r="H878" s="3"/>
      <c r="I878" s="3"/>
      <c r="J878" s="3"/>
      <c r="K878" s="3"/>
      <c r="L878" s="54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80"/>
      <c r="F879" s="54"/>
      <c r="G879" s="3"/>
      <c r="H879" s="3"/>
      <c r="I879" s="3"/>
      <c r="J879" s="3"/>
      <c r="K879" s="3"/>
      <c r="L879" s="54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80"/>
      <c r="F880" s="54"/>
      <c r="G880" s="3"/>
      <c r="H880" s="3"/>
      <c r="I880" s="3"/>
      <c r="J880" s="3"/>
      <c r="K880" s="3"/>
      <c r="L880" s="54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80"/>
      <c r="F881" s="54"/>
      <c r="G881" s="3"/>
      <c r="H881" s="3"/>
      <c r="I881" s="3"/>
      <c r="J881" s="3"/>
      <c r="K881" s="3"/>
      <c r="L881" s="54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80"/>
      <c r="F882" s="54"/>
      <c r="G882" s="3"/>
      <c r="H882" s="3"/>
      <c r="I882" s="3"/>
      <c r="J882" s="3"/>
      <c r="K882" s="3"/>
      <c r="L882" s="54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80"/>
      <c r="F883" s="54"/>
      <c r="G883" s="3"/>
      <c r="H883" s="3"/>
      <c r="I883" s="3"/>
      <c r="J883" s="3"/>
      <c r="K883" s="3"/>
      <c r="L883" s="54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80"/>
      <c r="F884" s="54"/>
      <c r="G884" s="3"/>
      <c r="H884" s="3"/>
      <c r="I884" s="3"/>
      <c r="J884" s="3"/>
      <c r="K884" s="3"/>
      <c r="L884" s="54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80"/>
      <c r="F885" s="54"/>
      <c r="G885" s="3"/>
      <c r="H885" s="3"/>
      <c r="I885" s="3"/>
      <c r="J885" s="3"/>
      <c r="K885" s="3"/>
      <c r="L885" s="54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80"/>
      <c r="F886" s="54"/>
      <c r="G886" s="3"/>
      <c r="H886" s="3"/>
      <c r="I886" s="3"/>
      <c r="J886" s="3"/>
      <c r="K886" s="3"/>
      <c r="L886" s="54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80"/>
      <c r="F887" s="54"/>
      <c r="G887" s="3"/>
      <c r="H887" s="3"/>
      <c r="I887" s="3"/>
      <c r="J887" s="3"/>
      <c r="K887" s="3"/>
      <c r="L887" s="54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80"/>
      <c r="F888" s="54"/>
      <c r="G888" s="3"/>
      <c r="H888" s="3"/>
      <c r="I888" s="3"/>
      <c r="J888" s="3"/>
      <c r="K888" s="3"/>
      <c r="L888" s="54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80"/>
      <c r="F889" s="54"/>
      <c r="G889" s="3"/>
      <c r="H889" s="3"/>
      <c r="I889" s="3"/>
      <c r="J889" s="3"/>
      <c r="K889" s="3"/>
      <c r="L889" s="54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80"/>
      <c r="F890" s="54"/>
      <c r="G890" s="3"/>
      <c r="H890" s="3"/>
      <c r="I890" s="3"/>
      <c r="J890" s="3"/>
      <c r="K890" s="3"/>
      <c r="L890" s="54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80"/>
      <c r="F891" s="54"/>
      <c r="G891" s="3"/>
      <c r="H891" s="3"/>
      <c r="I891" s="3"/>
      <c r="J891" s="3"/>
      <c r="K891" s="3"/>
      <c r="L891" s="54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80"/>
      <c r="F892" s="54"/>
      <c r="G892" s="3"/>
      <c r="H892" s="3"/>
      <c r="I892" s="3"/>
      <c r="J892" s="3"/>
      <c r="K892" s="3"/>
      <c r="L892" s="54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80"/>
      <c r="F893" s="54"/>
      <c r="G893" s="3"/>
      <c r="H893" s="3"/>
      <c r="I893" s="3"/>
      <c r="J893" s="3"/>
      <c r="K893" s="3"/>
      <c r="L893" s="54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80"/>
      <c r="F894" s="54"/>
      <c r="G894" s="3"/>
      <c r="H894" s="3"/>
      <c r="I894" s="3"/>
      <c r="J894" s="3"/>
      <c r="K894" s="3"/>
      <c r="L894" s="54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80"/>
      <c r="F895" s="54"/>
      <c r="G895" s="3"/>
      <c r="H895" s="3"/>
      <c r="I895" s="3"/>
      <c r="J895" s="3"/>
      <c r="K895" s="3"/>
      <c r="L895" s="54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80"/>
      <c r="F896" s="54"/>
      <c r="G896" s="3"/>
      <c r="H896" s="3"/>
      <c r="I896" s="3"/>
      <c r="J896" s="3"/>
      <c r="K896" s="3"/>
      <c r="L896" s="54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80"/>
      <c r="F897" s="54"/>
      <c r="G897" s="3"/>
      <c r="H897" s="3"/>
      <c r="I897" s="3"/>
      <c r="J897" s="3"/>
      <c r="K897" s="3"/>
      <c r="L897" s="54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80"/>
      <c r="F898" s="54"/>
      <c r="G898" s="3"/>
      <c r="H898" s="3"/>
      <c r="I898" s="3"/>
      <c r="J898" s="3"/>
      <c r="K898" s="3"/>
      <c r="L898" s="54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80"/>
      <c r="F899" s="54"/>
      <c r="G899" s="3"/>
      <c r="H899" s="3"/>
      <c r="I899" s="3"/>
      <c r="J899" s="3"/>
      <c r="K899" s="3"/>
      <c r="L899" s="54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80"/>
      <c r="F900" s="54"/>
      <c r="G900" s="3"/>
      <c r="H900" s="3"/>
      <c r="I900" s="3"/>
      <c r="J900" s="3"/>
      <c r="K900" s="3"/>
      <c r="L900" s="54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80"/>
      <c r="F901" s="54"/>
      <c r="G901" s="3"/>
      <c r="H901" s="3"/>
      <c r="I901" s="3"/>
      <c r="J901" s="3"/>
      <c r="K901" s="3"/>
      <c r="L901" s="54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80"/>
      <c r="F902" s="54"/>
      <c r="G902" s="3"/>
      <c r="H902" s="3"/>
      <c r="I902" s="3"/>
      <c r="J902" s="3"/>
      <c r="K902" s="3"/>
      <c r="L902" s="54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80"/>
      <c r="F903" s="54"/>
      <c r="G903" s="3"/>
      <c r="H903" s="3"/>
      <c r="I903" s="3"/>
      <c r="J903" s="3"/>
      <c r="K903" s="3"/>
      <c r="L903" s="54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80"/>
      <c r="F904" s="54"/>
      <c r="G904" s="3"/>
      <c r="H904" s="3"/>
      <c r="I904" s="3"/>
      <c r="J904" s="3"/>
      <c r="K904" s="3"/>
      <c r="L904" s="54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80"/>
      <c r="F905" s="54"/>
      <c r="G905" s="3"/>
      <c r="H905" s="3"/>
      <c r="I905" s="3"/>
      <c r="J905" s="3"/>
      <c r="K905" s="3"/>
      <c r="L905" s="54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80"/>
      <c r="F906" s="54"/>
      <c r="G906" s="3"/>
      <c r="H906" s="3"/>
      <c r="I906" s="3"/>
      <c r="J906" s="3"/>
      <c r="K906" s="3"/>
      <c r="L906" s="54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80"/>
      <c r="F907" s="54"/>
      <c r="G907" s="3"/>
      <c r="H907" s="3"/>
      <c r="I907" s="3"/>
      <c r="J907" s="3"/>
      <c r="K907" s="3"/>
      <c r="L907" s="54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80"/>
      <c r="F908" s="54"/>
      <c r="G908" s="3"/>
      <c r="H908" s="3"/>
      <c r="I908" s="3"/>
      <c r="J908" s="3"/>
      <c r="K908" s="3"/>
      <c r="L908" s="54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80"/>
      <c r="F909" s="54"/>
      <c r="G909" s="3"/>
      <c r="H909" s="3"/>
      <c r="I909" s="3"/>
      <c r="J909" s="3"/>
      <c r="K909" s="3"/>
      <c r="L909" s="54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80"/>
      <c r="F910" s="54"/>
      <c r="G910" s="3"/>
      <c r="H910" s="3"/>
      <c r="I910" s="3"/>
      <c r="J910" s="3"/>
      <c r="K910" s="3"/>
      <c r="L910" s="54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80"/>
      <c r="F911" s="54"/>
      <c r="G911" s="3"/>
      <c r="H911" s="3"/>
      <c r="I911" s="3"/>
      <c r="J911" s="3"/>
      <c r="K911" s="3"/>
      <c r="L911" s="54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80"/>
      <c r="F912" s="54"/>
      <c r="G912" s="3"/>
      <c r="H912" s="3"/>
      <c r="I912" s="3"/>
      <c r="J912" s="3"/>
      <c r="K912" s="3"/>
      <c r="L912" s="54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80"/>
      <c r="F913" s="54"/>
      <c r="G913" s="3"/>
      <c r="H913" s="3"/>
      <c r="I913" s="3"/>
      <c r="J913" s="3"/>
      <c r="K913" s="3"/>
      <c r="L913" s="54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80"/>
      <c r="F914" s="54"/>
      <c r="G914" s="3"/>
      <c r="H914" s="3"/>
      <c r="I914" s="3"/>
      <c r="J914" s="3"/>
      <c r="K914" s="3"/>
      <c r="L914" s="54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80"/>
      <c r="F915" s="54"/>
      <c r="G915" s="3"/>
      <c r="H915" s="3"/>
      <c r="I915" s="3"/>
      <c r="J915" s="3"/>
      <c r="K915" s="3"/>
      <c r="L915" s="54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80"/>
      <c r="F916" s="54"/>
      <c r="G916" s="3"/>
      <c r="H916" s="3"/>
      <c r="I916" s="3"/>
      <c r="J916" s="3"/>
      <c r="K916" s="3"/>
      <c r="L916" s="54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80"/>
      <c r="F917" s="54"/>
      <c r="G917" s="3"/>
      <c r="H917" s="3"/>
      <c r="I917" s="3"/>
      <c r="J917" s="3"/>
      <c r="K917" s="3"/>
      <c r="L917" s="54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80"/>
      <c r="F918" s="54"/>
      <c r="G918" s="3"/>
      <c r="H918" s="3"/>
      <c r="I918" s="3"/>
      <c r="J918" s="3"/>
      <c r="K918" s="3"/>
      <c r="L918" s="54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80"/>
      <c r="F919" s="54"/>
      <c r="G919" s="3"/>
      <c r="H919" s="3"/>
      <c r="I919" s="3"/>
      <c r="J919" s="3"/>
      <c r="K919" s="3"/>
      <c r="L919" s="54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80"/>
      <c r="F920" s="54"/>
      <c r="G920" s="3"/>
      <c r="H920" s="3"/>
      <c r="I920" s="3"/>
      <c r="J920" s="3"/>
      <c r="K920" s="3"/>
      <c r="L920" s="54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80"/>
      <c r="F921" s="54"/>
      <c r="G921" s="3"/>
      <c r="H921" s="3"/>
      <c r="I921" s="3"/>
      <c r="J921" s="3"/>
      <c r="K921" s="3"/>
      <c r="L921" s="54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80"/>
      <c r="F922" s="54"/>
      <c r="G922" s="3"/>
      <c r="H922" s="3"/>
      <c r="I922" s="3"/>
      <c r="J922" s="3"/>
      <c r="K922" s="3"/>
      <c r="L922" s="54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80"/>
      <c r="F923" s="54"/>
      <c r="G923" s="3"/>
      <c r="H923" s="3"/>
      <c r="I923" s="3"/>
      <c r="J923" s="3"/>
      <c r="K923" s="3"/>
      <c r="L923" s="54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80"/>
      <c r="F924" s="54"/>
      <c r="G924" s="3"/>
      <c r="H924" s="3"/>
      <c r="I924" s="3"/>
      <c r="J924" s="3"/>
      <c r="K924" s="3"/>
      <c r="L924" s="54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80"/>
      <c r="F925" s="54"/>
      <c r="G925" s="3"/>
      <c r="H925" s="3"/>
      <c r="I925" s="3"/>
      <c r="J925" s="3"/>
      <c r="K925" s="3"/>
      <c r="L925" s="54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80"/>
      <c r="F926" s="54"/>
      <c r="G926" s="3"/>
      <c r="H926" s="3"/>
      <c r="I926" s="3"/>
      <c r="J926" s="3"/>
      <c r="K926" s="3"/>
      <c r="L926" s="54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80"/>
      <c r="F927" s="54"/>
      <c r="G927" s="3"/>
      <c r="H927" s="3"/>
      <c r="I927" s="3"/>
      <c r="J927" s="3"/>
      <c r="K927" s="3"/>
      <c r="L927" s="54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80"/>
      <c r="F928" s="54"/>
      <c r="G928" s="3"/>
      <c r="H928" s="3"/>
      <c r="I928" s="3"/>
      <c r="J928" s="3"/>
      <c r="K928" s="3"/>
      <c r="L928" s="54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80"/>
      <c r="F929" s="54"/>
      <c r="G929" s="3"/>
      <c r="H929" s="3"/>
      <c r="I929" s="3"/>
      <c r="J929" s="3"/>
      <c r="K929" s="3"/>
      <c r="L929" s="54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80"/>
      <c r="F930" s="54"/>
      <c r="G930" s="3"/>
      <c r="H930" s="3"/>
      <c r="I930" s="3"/>
      <c r="J930" s="3"/>
      <c r="K930" s="3"/>
      <c r="L930" s="54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80"/>
      <c r="F931" s="54"/>
      <c r="G931" s="3"/>
      <c r="H931" s="3"/>
      <c r="I931" s="3"/>
      <c r="J931" s="3"/>
      <c r="K931" s="3"/>
      <c r="L931" s="54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80"/>
      <c r="F932" s="54"/>
      <c r="G932" s="3"/>
      <c r="H932" s="3"/>
      <c r="I932" s="3"/>
      <c r="J932" s="3"/>
      <c r="K932" s="3"/>
      <c r="L932" s="54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80"/>
      <c r="F933" s="54"/>
      <c r="G933" s="3"/>
      <c r="H933" s="3"/>
      <c r="I933" s="3"/>
      <c r="J933" s="3"/>
      <c r="K933" s="3"/>
      <c r="L933" s="54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80"/>
      <c r="F934" s="54"/>
      <c r="G934" s="3"/>
      <c r="H934" s="3"/>
      <c r="I934" s="3"/>
      <c r="J934" s="3"/>
      <c r="K934" s="3"/>
      <c r="L934" s="54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80"/>
      <c r="F935" s="54"/>
      <c r="G935" s="3"/>
      <c r="H935" s="3"/>
      <c r="I935" s="3"/>
      <c r="J935" s="3"/>
      <c r="K935" s="3"/>
      <c r="L935" s="54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80"/>
      <c r="F936" s="54"/>
      <c r="G936" s="3"/>
      <c r="H936" s="3"/>
      <c r="I936" s="3"/>
      <c r="J936" s="3"/>
      <c r="K936" s="3"/>
      <c r="L936" s="54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80"/>
      <c r="F937" s="54"/>
      <c r="G937" s="3"/>
      <c r="H937" s="3"/>
      <c r="I937" s="3"/>
      <c r="J937" s="3"/>
      <c r="K937" s="3"/>
      <c r="L937" s="54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80"/>
      <c r="F938" s="54"/>
      <c r="G938" s="3"/>
      <c r="H938" s="3"/>
      <c r="I938" s="3"/>
      <c r="J938" s="3"/>
      <c r="K938" s="3"/>
      <c r="L938" s="54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80"/>
      <c r="F939" s="54"/>
      <c r="G939" s="3"/>
      <c r="H939" s="3"/>
      <c r="I939" s="3"/>
      <c r="J939" s="3"/>
      <c r="K939" s="3"/>
      <c r="L939" s="54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80"/>
      <c r="F940" s="54"/>
      <c r="G940" s="3"/>
      <c r="H940" s="3"/>
      <c r="I940" s="3"/>
      <c r="J940" s="3"/>
      <c r="K940" s="3"/>
      <c r="L940" s="54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80"/>
      <c r="F941" s="54"/>
      <c r="G941" s="3"/>
      <c r="H941" s="3"/>
      <c r="I941" s="3"/>
      <c r="J941" s="3"/>
      <c r="K941" s="3"/>
      <c r="L941" s="54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80"/>
      <c r="F942" s="54"/>
      <c r="G942" s="3"/>
      <c r="H942" s="3"/>
      <c r="I942" s="3"/>
      <c r="J942" s="3"/>
      <c r="K942" s="3"/>
      <c r="L942" s="54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80"/>
      <c r="F943" s="54"/>
      <c r="G943" s="3"/>
      <c r="H943" s="3"/>
      <c r="I943" s="3"/>
      <c r="J943" s="3"/>
      <c r="K943" s="3"/>
      <c r="L943" s="54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3"/>
      <c r="C944" s="3"/>
      <c r="D944" s="3"/>
      <c r="E944" s="80"/>
      <c r="F944" s="54"/>
      <c r="G944" s="3"/>
      <c r="H944" s="3"/>
      <c r="I944" s="3"/>
      <c r="J944" s="3"/>
      <c r="K944" s="3"/>
      <c r="L944" s="54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3"/>
      <c r="C945" s="3"/>
      <c r="D945" s="3"/>
      <c r="E945" s="80"/>
      <c r="F945" s="54"/>
      <c r="G945" s="3"/>
      <c r="H945" s="3"/>
      <c r="I945" s="3"/>
      <c r="J945" s="3"/>
      <c r="K945" s="3"/>
      <c r="L945" s="54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3"/>
      <c r="C946" s="3"/>
      <c r="D946" s="3"/>
      <c r="E946" s="80"/>
      <c r="F946" s="54"/>
      <c r="G946" s="3"/>
      <c r="H946" s="3"/>
      <c r="I946" s="3"/>
      <c r="J946" s="3"/>
      <c r="K946" s="3"/>
      <c r="L946" s="54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3"/>
      <c r="C947" s="3"/>
      <c r="D947" s="3"/>
      <c r="E947" s="80"/>
      <c r="F947" s="54"/>
      <c r="G947" s="3"/>
      <c r="H947" s="3"/>
      <c r="I947" s="3"/>
      <c r="J947" s="3"/>
      <c r="K947" s="3"/>
      <c r="L947" s="54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3"/>
      <c r="C948" s="3"/>
      <c r="D948" s="3"/>
      <c r="E948" s="80"/>
      <c r="F948" s="54"/>
      <c r="G948" s="3"/>
      <c r="H948" s="3"/>
      <c r="I948" s="3"/>
      <c r="J948" s="3"/>
      <c r="K948" s="3"/>
      <c r="L948" s="54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3"/>
      <c r="C949" s="3"/>
      <c r="D949" s="3"/>
      <c r="E949" s="80"/>
      <c r="F949" s="54"/>
      <c r="G949" s="3"/>
      <c r="H949" s="3"/>
      <c r="I949" s="3"/>
      <c r="J949" s="3"/>
      <c r="K949" s="3"/>
      <c r="L949" s="54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3"/>
      <c r="C950" s="3"/>
      <c r="D950" s="3"/>
      <c r="E950" s="80"/>
      <c r="F950" s="54"/>
      <c r="G950" s="3"/>
      <c r="H950" s="3"/>
      <c r="I950" s="3"/>
      <c r="J950" s="3"/>
      <c r="K950" s="3"/>
      <c r="L950" s="54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3"/>
      <c r="C951" s="3"/>
      <c r="D951" s="3"/>
      <c r="E951" s="80"/>
      <c r="F951" s="54"/>
      <c r="G951" s="3"/>
      <c r="H951" s="3"/>
      <c r="I951" s="3"/>
      <c r="J951" s="3"/>
      <c r="K951" s="3"/>
      <c r="L951" s="54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3"/>
      <c r="C952" s="3"/>
      <c r="D952" s="3"/>
      <c r="E952" s="80"/>
      <c r="F952" s="54"/>
      <c r="G952" s="3"/>
      <c r="H952" s="3"/>
      <c r="I952" s="3"/>
      <c r="J952" s="3"/>
      <c r="K952" s="3"/>
      <c r="L952" s="54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3"/>
      <c r="C953" s="3"/>
      <c r="D953" s="3"/>
      <c r="E953" s="80"/>
      <c r="F953" s="54"/>
      <c r="G953" s="3"/>
      <c r="H953" s="3"/>
      <c r="I953" s="3"/>
      <c r="J953" s="3"/>
      <c r="K953" s="3"/>
      <c r="L953" s="54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3"/>
      <c r="C954" s="3"/>
      <c r="D954" s="3"/>
      <c r="E954" s="80"/>
      <c r="F954" s="54"/>
      <c r="G954" s="3"/>
      <c r="H954" s="3"/>
      <c r="I954" s="3"/>
      <c r="J954" s="3"/>
      <c r="K954" s="3"/>
      <c r="L954" s="54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3"/>
      <c r="C955" s="3"/>
      <c r="D955" s="3"/>
      <c r="E955" s="80"/>
      <c r="F955" s="54"/>
      <c r="G955" s="3"/>
      <c r="H955" s="3"/>
      <c r="I955" s="3"/>
      <c r="J955" s="3"/>
      <c r="K955" s="3"/>
      <c r="L955" s="54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3"/>
      <c r="C956" s="3"/>
      <c r="D956" s="3"/>
      <c r="E956" s="80"/>
      <c r="F956" s="54"/>
      <c r="G956" s="3"/>
      <c r="H956" s="3"/>
      <c r="I956" s="3"/>
      <c r="J956" s="3"/>
      <c r="K956" s="3"/>
      <c r="L956" s="54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3"/>
      <c r="C957" s="3"/>
      <c r="D957" s="3"/>
      <c r="E957" s="80"/>
      <c r="F957" s="54"/>
      <c r="G957" s="3"/>
      <c r="H957" s="3"/>
      <c r="I957" s="3"/>
      <c r="J957" s="3"/>
      <c r="K957" s="3"/>
      <c r="L957" s="54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3"/>
      <c r="C958" s="3"/>
      <c r="D958" s="3"/>
      <c r="E958" s="80"/>
      <c r="F958" s="54"/>
      <c r="G958" s="3"/>
      <c r="H958" s="3"/>
      <c r="I958" s="3"/>
      <c r="J958" s="3"/>
      <c r="K958" s="3"/>
      <c r="L958" s="54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3"/>
      <c r="C959" s="3"/>
      <c r="D959" s="3"/>
      <c r="E959" s="80"/>
      <c r="F959" s="54"/>
      <c r="G959" s="3"/>
      <c r="H959" s="3"/>
      <c r="I959" s="3"/>
      <c r="J959" s="3"/>
      <c r="K959" s="3"/>
      <c r="L959" s="54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3"/>
      <c r="C960" s="3"/>
      <c r="D960" s="3"/>
      <c r="E960" s="80"/>
      <c r="F960" s="54"/>
      <c r="G960" s="3"/>
      <c r="H960" s="3"/>
      <c r="I960" s="3"/>
      <c r="J960" s="3"/>
      <c r="K960" s="3"/>
      <c r="L960" s="54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3"/>
      <c r="C961" s="3"/>
      <c r="D961" s="3"/>
      <c r="E961" s="80"/>
      <c r="F961" s="54"/>
      <c r="G961" s="3"/>
      <c r="H961" s="3"/>
      <c r="I961" s="3"/>
      <c r="J961" s="3"/>
      <c r="K961" s="3"/>
      <c r="L961" s="54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3"/>
      <c r="C962" s="3"/>
      <c r="D962" s="3"/>
      <c r="E962" s="80"/>
      <c r="F962" s="54"/>
      <c r="G962" s="3"/>
      <c r="H962" s="3"/>
      <c r="I962" s="3"/>
      <c r="J962" s="3"/>
      <c r="K962" s="3"/>
      <c r="L962" s="54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3"/>
      <c r="C963" s="3"/>
      <c r="D963" s="3"/>
      <c r="E963" s="80"/>
      <c r="F963" s="54"/>
      <c r="G963" s="3"/>
      <c r="H963" s="3"/>
      <c r="I963" s="3"/>
      <c r="J963" s="3"/>
      <c r="K963" s="3"/>
      <c r="L963" s="54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3"/>
      <c r="C964" s="3"/>
      <c r="D964" s="3"/>
      <c r="E964" s="80"/>
      <c r="F964" s="54"/>
      <c r="G964" s="3"/>
      <c r="H964" s="3"/>
      <c r="I964" s="3"/>
      <c r="J964" s="3"/>
      <c r="K964" s="3"/>
      <c r="L964" s="54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3"/>
      <c r="C965" s="3"/>
      <c r="D965" s="3"/>
      <c r="E965" s="80"/>
      <c r="F965" s="54"/>
      <c r="G965" s="3"/>
      <c r="H965" s="3"/>
      <c r="I965" s="3"/>
      <c r="J965" s="3"/>
      <c r="K965" s="3"/>
      <c r="L965" s="54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3"/>
      <c r="C966" s="3"/>
      <c r="D966" s="3"/>
      <c r="E966" s="80"/>
      <c r="F966" s="54"/>
      <c r="G966" s="3"/>
      <c r="H966" s="3"/>
      <c r="I966" s="3"/>
      <c r="J966" s="3"/>
      <c r="K966" s="3"/>
      <c r="L966" s="54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3"/>
      <c r="C967" s="3"/>
      <c r="D967" s="3"/>
      <c r="E967" s="80"/>
      <c r="F967" s="54"/>
      <c r="G967" s="3"/>
      <c r="H967" s="3"/>
      <c r="I967" s="3"/>
      <c r="J967" s="3"/>
      <c r="K967" s="3"/>
      <c r="L967" s="54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3"/>
      <c r="C968" s="3"/>
      <c r="D968" s="3"/>
      <c r="E968" s="80"/>
      <c r="F968" s="54"/>
      <c r="G968" s="3"/>
      <c r="H968" s="3"/>
      <c r="I968" s="3"/>
      <c r="J968" s="3"/>
      <c r="K968" s="3"/>
      <c r="L968" s="54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3"/>
      <c r="C969" s="3"/>
      <c r="D969" s="3"/>
      <c r="E969" s="80"/>
      <c r="F969" s="54"/>
      <c r="G969" s="3"/>
      <c r="H969" s="3"/>
      <c r="I969" s="3"/>
      <c r="J969" s="3"/>
      <c r="K969" s="3"/>
      <c r="L969" s="54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3"/>
      <c r="C970" s="3"/>
      <c r="D970" s="3"/>
      <c r="E970" s="80"/>
      <c r="F970" s="54"/>
      <c r="G970" s="3"/>
      <c r="H970" s="3"/>
      <c r="I970" s="3"/>
      <c r="J970" s="3"/>
      <c r="K970" s="3"/>
      <c r="L970" s="54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3"/>
      <c r="C971" s="3"/>
      <c r="D971" s="3"/>
      <c r="E971" s="80"/>
      <c r="F971" s="54"/>
      <c r="G971" s="3"/>
      <c r="H971" s="3"/>
      <c r="I971" s="3"/>
      <c r="J971" s="3"/>
      <c r="K971" s="3"/>
      <c r="L971" s="54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3"/>
      <c r="C972" s="3"/>
      <c r="D972" s="3"/>
      <c r="E972" s="80"/>
      <c r="F972" s="54"/>
      <c r="G972" s="3"/>
      <c r="H972" s="3"/>
      <c r="I972" s="3"/>
      <c r="J972" s="3"/>
      <c r="K972" s="3"/>
      <c r="L972" s="54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3"/>
      <c r="C973" s="3"/>
      <c r="D973" s="3"/>
      <c r="E973" s="80"/>
      <c r="F973" s="54"/>
      <c r="G973" s="3"/>
      <c r="H973" s="3"/>
      <c r="I973" s="3"/>
      <c r="J973" s="3"/>
      <c r="K973" s="3"/>
      <c r="L973" s="54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3"/>
      <c r="C974" s="3"/>
      <c r="D974" s="3"/>
      <c r="E974" s="80"/>
      <c r="F974" s="54"/>
      <c r="G974" s="3"/>
      <c r="H974" s="3"/>
      <c r="I974" s="3"/>
      <c r="J974" s="3"/>
      <c r="K974" s="3"/>
      <c r="L974" s="54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3"/>
      <c r="C975" s="3"/>
      <c r="D975" s="3"/>
      <c r="E975" s="80"/>
      <c r="F975" s="54"/>
      <c r="G975" s="3"/>
      <c r="H975" s="3"/>
      <c r="I975" s="3"/>
      <c r="J975" s="3"/>
      <c r="K975" s="3"/>
      <c r="L975" s="54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3"/>
      <c r="C976" s="3"/>
      <c r="D976" s="3"/>
      <c r="E976" s="80"/>
      <c r="F976" s="54"/>
      <c r="G976" s="3"/>
      <c r="H976" s="3"/>
      <c r="I976" s="3"/>
      <c r="J976" s="3"/>
      <c r="K976" s="3"/>
      <c r="L976" s="54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3"/>
      <c r="C977" s="3"/>
      <c r="D977" s="3"/>
      <c r="E977" s="80"/>
      <c r="F977" s="54"/>
      <c r="G977" s="3"/>
      <c r="H977" s="3"/>
      <c r="I977" s="3"/>
      <c r="J977" s="3"/>
      <c r="K977" s="3"/>
      <c r="L977" s="54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3"/>
      <c r="C978" s="3"/>
      <c r="D978" s="3"/>
      <c r="E978" s="80"/>
      <c r="F978" s="54"/>
      <c r="G978" s="3"/>
      <c r="H978" s="3"/>
      <c r="I978" s="3"/>
      <c r="J978" s="3"/>
      <c r="K978" s="3"/>
      <c r="L978" s="54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3"/>
      <c r="C979" s="3"/>
      <c r="D979" s="3"/>
      <c r="E979" s="80"/>
      <c r="F979" s="54"/>
      <c r="G979" s="3"/>
      <c r="H979" s="3"/>
      <c r="I979" s="3"/>
      <c r="J979" s="3"/>
      <c r="K979" s="3"/>
      <c r="L979" s="54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3"/>
      <c r="C980" s="3"/>
      <c r="D980" s="3"/>
      <c r="E980" s="80"/>
      <c r="F980" s="54"/>
      <c r="G980" s="3"/>
      <c r="H980" s="3"/>
      <c r="I980" s="3"/>
      <c r="J980" s="3"/>
      <c r="K980" s="3"/>
      <c r="L980" s="54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3"/>
      <c r="C981" s="3"/>
      <c r="D981" s="3"/>
      <c r="E981" s="80"/>
      <c r="F981" s="54"/>
      <c r="G981" s="3"/>
      <c r="H981" s="3"/>
      <c r="I981" s="3"/>
      <c r="J981" s="3"/>
      <c r="K981" s="3"/>
      <c r="L981" s="54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3"/>
      <c r="C982" s="3"/>
      <c r="D982" s="3"/>
      <c r="E982" s="80"/>
      <c r="F982" s="54"/>
      <c r="G982" s="3"/>
      <c r="H982" s="3"/>
      <c r="I982" s="3"/>
      <c r="J982" s="3"/>
      <c r="K982" s="3"/>
      <c r="L982" s="54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3"/>
      <c r="C983" s="3"/>
      <c r="D983" s="3"/>
      <c r="E983" s="80"/>
      <c r="F983" s="54"/>
      <c r="G983" s="3"/>
      <c r="H983" s="3"/>
      <c r="I983" s="3"/>
      <c r="J983" s="3"/>
      <c r="K983" s="3"/>
      <c r="L983" s="54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3"/>
      <c r="C984" s="3"/>
      <c r="D984" s="3"/>
      <c r="E984" s="80"/>
      <c r="F984" s="54"/>
      <c r="G984" s="3"/>
      <c r="H984" s="3"/>
      <c r="I984" s="3"/>
      <c r="J984" s="3"/>
      <c r="K984" s="3"/>
      <c r="L984" s="54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3"/>
      <c r="B985" s="3"/>
      <c r="C985" s="3"/>
      <c r="D985" s="3"/>
      <c r="E985" s="80"/>
      <c r="F985" s="54"/>
      <c r="G985" s="3"/>
      <c r="H985" s="3"/>
      <c r="I985" s="3"/>
      <c r="J985" s="3"/>
      <c r="K985" s="3"/>
      <c r="L985" s="54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3"/>
      <c r="B986" s="3"/>
      <c r="C986" s="3"/>
      <c r="D986" s="3"/>
      <c r="E986" s="80"/>
      <c r="F986" s="54"/>
      <c r="G986" s="3"/>
      <c r="H986" s="3"/>
      <c r="I986" s="3"/>
      <c r="J986" s="3"/>
      <c r="K986" s="3"/>
      <c r="L986" s="54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3"/>
      <c r="B987" s="3"/>
      <c r="C987" s="3"/>
      <c r="D987" s="3"/>
      <c r="E987" s="80"/>
      <c r="F987" s="54"/>
      <c r="G987" s="3"/>
      <c r="H987" s="3"/>
      <c r="I987" s="3"/>
      <c r="J987" s="3"/>
      <c r="K987" s="3"/>
      <c r="L987" s="54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3"/>
      <c r="B988" s="3"/>
      <c r="C988" s="3"/>
      <c r="D988" s="3"/>
      <c r="E988" s="80"/>
      <c r="F988" s="54"/>
      <c r="G988" s="3"/>
      <c r="H988" s="3"/>
      <c r="I988" s="3"/>
      <c r="J988" s="3"/>
      <c r="K988" s="3"/>
      <c r="L988" s="54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3"/>
      <c r="B989" s="3"/>
      <c r="C989" s="3"/>
      <c r="D989" s="3"/>
      <c r="E989" s="80"/>
      <c r="F989" s="54"/>
      <c r="G989" s="3"/>
      <c r="H989" s="3"/>
      <c r="I989" s="3"/>
      <c r="J989" s="3"/>
      <c r="K989" s="3"/>
      <c r="L989" s="54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3"/>
      <c r="B990" s="3"/>
      <c r="C990" s="3"/>
      <c r="D990" s="3"/>
      <c r="E990" s="80"/>
      <c r="F990" s="54"/>
      <c r="G990" s="3"/>
      <c r="H990" s="3"/>
      <c r="I990" s="3"/>
      <c r="J990" s="3"/>
      <c r="K990" s="3"/>
      <c r="L990" s="54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3"/>
      <c r="B991" s="3"/>
      <c r="C991" s="3"/>
      <c r="D991" s="3"/>
      <c r="E991" s="80"/>
      <c r="F991" s="54"/>
      <c r="G991" s="3"/>
      <c r="H991" s="3"/>
      <c r="I991" s="3"/>
      <c r="J991" s="3"/>
      <c r="K991" s="3"/>
      <c r="L991" s="54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3"/>
      <c r="B992" s="3"/>
      <c r="C992" s="3"/>
      <c r="D992" s="3"/>
      <c r="E992" s="80"/>
      <c r="F992" s="54"/>
      <c r="G992" s="3"/>
      <c r="H992" s="3"/>
      <c r="I992" s="3"/>
      <c r="J992" s="3"/>
      <c r="K992" s="3"/>
      <c r="L992" s="54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3"/>
      <c r="B993" s="3"/>
      <c r="C993" s="3"/>
      <c r="D993" s="3"/>
      <c r="E993" s="80"/>
      <c r="F993" s="54"/>
      <c r="G993" s="3"/>
      <c r="H993" s="3"/>
      <c r="I993" s="3"/>
      <c r="J993" s="3"/>
      <c r="K993" s="3"/>
      <c r="L993" s="54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3"/>
      <c r="B994" s="3"/>
      <c r="C994" s="3"/>
      <c r="D994" s="3"/>
      <c r="E994" s="80"/>
      <c r="F994" s="54"/>
      <c r="G994" s="3"/>
      <c r="H994" s="3"/>
      <c r="I994" s="3"/>
      <c r="J994" s="3"/>
      <c r="K994" s="3"/>
      <c r="L994" s="54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3"/>
      <c r="B995" s="3"/>
      <c r="C995" s="3"/>
      <c r="D995" s="3"/>
      <c r="E995" s="80"/>
      <c r="F995" s="54"/>
      <c r="G995" s="3"/>
      <c r="H995" s="3"/>
      <c r="I995" s="3"/>
      <c r="J995" s="3"/>
      <c r="K995" s="3"/>
      <c r="L995" s="54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3"/>
      <c r="B996" s="3"/>
      <c r="C996" s="3"/>
      <c r="D996" s="3"/>
      <c r="E996" s="80"/>
      <c r="F996" s="54"/>
      <c r="G996" s="3"/>
      <c r="H996" s="3"/>
      <c r="I996" s="3"/>
      <c r="J996" s="3"/>
      <c r="K996" s="3"/>
      <c r="L996" s="54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3"/>
      <c r="B997" s="3"/>
      <c r="C997" s="3"/>
      <c r="D997" s="3"/>
      <c r="E997" s="80"/>
      <c r="F997" s="54"/>
      <c r="G997" s="3"/>
      <c r="H997" s="3"/>
      <c r="I997" s="3"/>
      <c r="J997" s="3"/>
      <c r="K997" s="3"/>
      <c r="L997" s="54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3"/>
      <c r="B998" s="3"/>
      <c r="C998" s="3"/>
      <c r="D998" s="3"/>
      <c r="E998" s="80"/>
      <c r="F998" s="54"/>
      <c r="G998" s="3"/>
      <c r="H998" s="3"/>
      <c r="I998" s="3"/>
      <c r="J998" s="3"/>
      <c r="K998" s="3"/>
      <c r="L998" s="54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>
      <c r="A999" s="3"/>
      <c r="B999" s="3"/>
      <c r="C999" s="3"/>
      <c r="D999" s="3"/>
      <c r="E999" s="80"/>
      <c r="F999" s="54"/>
      <c r="G999" s="3"/>
      <c r="H999" s="3"/>
      <c r="I999" s="3"/>
      <c r="J999" s="3"/>
      <c r="K999" s="3"/>
      <c r="L999" s="54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>
      <c r="A1000" s="3"/>
      <c r="B1000" s="3"/>
      <c r="C1000" s="3"/>
      <c r="D1000" s="3"/>
      <c r="E1000" s="75" t="str">
        <f>IF(C1053&lt;&gt;"",IF(D1053="",NOW(),D1053),"")</f>
        <v/>
      </c>
      <c r="F1000" s="54"/>
      <c r="G1000" s="3"/>
      <c r="H1000" s="3"/>
      <c r="I1000" s="3"/>
      <c r="J1000" s="3"/>
      <c r="K1000" s="3"/>
      <c r="L1000" s="54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mergeCells count="2">
    <mergeCell ref="A1:H1"/>
    <mergeCell ref="A2:H2"/>
  </mergeCells>
  <conditionalFormatting sqref="D4:D25 D27:D39">
    <cfRule type="containsBlanks" dxfId="0" priority="1">
      <formula>LEN(TRIM(D4))=0</formula>
    </cfRule>
  </conditionalFormatting>
  <conditionalFormatting sqref="F4:F25 L16 F27:F39">
    <cfRule type="cellIs" dxfId="1" priority="2" operator="equal">
      <formula>0</formula>
    </cfRule>
  </conditionalFormatting>
  <conditionalFormatting sqref="J24">
    <cfRule type="notContainsBlanks" dxfId="2" priority="3">
      <formula>LEN(TRIM(J24))&gt;0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11.13"/>
    <col customWidth="1" min="3" max="3" width="15.5"/>
    <col customWidth="1" min="4" max="4" width="8.63"/>
    <col customWidth="1" min="5" max="5" width="14.63"/>
    <col customWidth="1" min="6" max="6" width="7.5"/>
    <col customWidth="1" min="7" max="7" width="5.13"/>
    <col customWidth="1" min="8" max="8" width="13.25"/>
    <col customWidth="1" min="9" max="9" width="13.88"/>
    <col customWidth="1" min="10" max="10" width="8.63"/>
    <col customWidth="1" min="11" max="11" width="14.63"/>
    <col customWidth="1" min="12" max="12" width="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6" t="s">
        <v>1</v>
      </c>
      <c r="B2" s="7"/>
      <c r="C2" s="7"/>
      <c r="D2" s="7"/>
      <c r="E2" s="7"/>
      <c r="F2" s="7"/>
      <c r="G2" s="7"/>
      <c r="H2" s="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8" t="s">
        <v>4</v>
      </c>
      <c r="B3" s="10"/>
      <c r="C3" s="12"/>
      <c r="D3" s="10"/>
      <c r="E3" s="10"/>
      <c r="F3" s="10"/>
      <c r="G3" s="10"/>
      <c r="H3" s="1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15" t="s">
        <v>6</v>
      </c>
      <c r="B4" s="17" t="s">
        <v>7</v>
      </c>
      <c r="C4" s="20" t="s">
        <v>8</v>
      </c>
      <c r="D4" s="21" t="s">
        <v>9</v>
      </c>
      <c r="E4" s="23" t="s">
        <v>10</v>
      </c>
      <c r="F4" s="24" t="s">
        <v>11</v>
      </c>
      <c r="H4" s="26" t="s">
        <v>12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29" t="s">
        <v>13</v>
      </c>
      <c r="B5" s="30" t="s">
        <v>14</v>
      </c>
      <c r="C5" s="31">
        <v>46080.99930555555</v>
      </c>
      <c r="D5" s="33" t="s">
        <v>15</v>
      </c>
      <c r="E5" s="34">
        <f t="shared" ref="E5:E25" si="1">IF(D5&lt;&gt;"",IF(E5="",NOW(),E5),"")</f>
        <v>46082.95507</v>
      </c>
      <c r="F5" s="37">
        <f t="shared" ref="F5:F25" si="2">if(D5 = "", 0,IF(E5&lt;C5,0.5,0))</f>
        <v>0</v>
      </c>
      <c r="H5" s="38">
        <f t="shared" ref="H5:H25" si="3">if(D5 &lt;&gt; "", ABS(E5-C5), "0")</f>
        <v>1.955760116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39" t="s">
        <v>16</v>
      </c>
      <c r="B6" s="30" t="s">
        <v>14</v>
      </c>
      <c r="C6" s="31">
        <v>46080.99930555555</v>
      </c>
      <c r="D6" s="33" t="s">
        <v>15</v>
      </c>
      <c r="E6" s="34">
        <f t="shared" si="1"/>
        <v>46082.95511</v>
      </c>
      <c r="F6" s="37">
        <f t="shared" si="2"/>
        <v>0</v>
      </c>
      <c r="H6" s="38">
        <f t="shared" si="3"/>
        <v>1.955804479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39" t="s">
        <v>17</v>
      </c>
      <c r="B7" s="30" t="s">
        <v>18</v>
      </c>
      <c r="C7" s="31">
        <v>46055.99930555555</v>
      </c>
      <c r="D7" s="33" t="s">
        <v>15</v>
      </c>
      <c r="E7" s="34">
        <f t="shared" si="1"/>
        <v>46055.22038</v>
      </c>
      <c r="F7" s="37">
        <f t="shared" si="2"/>
        <v>0.5</v>
      </c>
      <c r="H7" s="38">
        <f t="shared" si="3"/>
        <v>0.7789209722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39" t="s">
        <v>19</v>
      </c>
      <c r="B8" s="30" t="s">
        <v>20</v>
      </c>
      <c r="C8" s="31">
        <v>46055.99930555555</v>
      </c>
      <c r="D8" s="33" t="s">
        <v>21</v>
      </c>
      <c r="E8" s="34">
        <f t="shared" si="1"/>
        <v>46055.16403</v>
      </c>
      <c r="F8" s="37">
        <f t="shared" si="2"/>
        <v>0.5</v>
      </c>
      <c r="H8" s="38">
        <f t="shared" si="3"/>
        <v>0.8352717593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39" t="s">
        <v>22</v>
      </c>
      <c r="B9" s="30" t="s">
        <v>23</v>
      </c>
      <c r="C9" s="31">
        <v>46058.99930555555</v>
      </c>
      <c r="D9" s="33" t="s">
        <v>21</v>
      </c>
      <c r="E9" s="34">
        <f t="shared" si="1"/>
        <v>46058.3211</v>
      </c>
      <c r="F9" s="37">
        <f t="shared" si="2"/>
        <v>0.5</v>
      </c>
      <c r="H9" s="38">
        <f t="shared" si="3"/>
        <v>0.6782063657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39" t="s">
        <v>24</v>
      </c>
      <c r="B10" s="30" t="s">
        <v>23</v>
      </c>
      <c r="C10" s="31">
        <v>46058.99930555555</v>
      </c>
      <c r="D10" s="33" t="s">
        <v>21</v>
      </c>
      <c r="E10" s="34">
        <f t="shared" si="1"/>
        <v>46058.3211</v>
      </c>
      <c r="F10" s="37">
        <f t="shared" si="2"/>
        <v>0.5</v>
      </c>
      <c r="H10" s="38">
        <f t="shared" si="3"/>
        <v>0.6782018634</v>
      </c>
      <c r="I10" s="3"/>
      <c r="J10" s="3"/>
      <c r="K10" s="47">
        <v>100.0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39" t="s">
        <v>25</v>
      </c>
      <c r="B11" s="30" t="s">
        <v>14</v>
      </c>
      <c r="C11" s="31">
        <v>46059.99930555555</v>
      </c>
      <c r="D11" s="33" t="s">
        <v>15</v>
      </c>
      <c r="E11" s="34">
        <f t="shared" si="1"/>
        <v>46058.16938</v>
      </c>
      <c r="F11" s="37">
        <f t="shared" si="2"/>
        <v>0.5</v>
      </c>
      <c r="H11" s="38">
        <f t="shared" si="3"/>
        <v>1.829924815</v>
      </c>
      <c r="I11" s="3"/>
      <c r="J11" s="3"/>
      <c r="K11" s="47">
        <v>0.0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49" t="s">
        <v>26</v>
      </c>
      <c r="B12" s="30" t="s">
        <v>14</v>
      </c>
      <c r="C12" s="31">
        <v>46059.99930555555</v>
      </c>
      <c r="D12" s="33" t="s">
        <v>15</v>
      </c>
      <c r="E12" s="34">
        <f t="shared" si="1"/>
        <v>46058.16948</v>
      </c>
      <c r="F12" s="37">
        <f t="shared" si="2"/>
        <v>0.5</v>
      </c>
      <c r="H12" s="38">
        <f t="shared" si="3"/>
        <v>1.829825162</v>
      </c>
      <c r="I12" s="3"/>
      <c r="J12" s="3"/>
      <c r="K12" s="47">
        <v>100.0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49" t="s">
        <v>27</v>
      </c>
      <c r="B13" s="30" t="s">
        <v>23</v>
      </c>
      <c r="C13" s="31">
        <v>46063.99930555555</v>
      </c>
      <c r="D13" s="33" t="s">
        <v>21</v>
      </c>
      <c r="E13" s="34">
        <f t="shared" si="1"/>
        <v>46062.11672</v>
      </c>
      <c r="F13" s="37">
        <f t="shared" si="2"/>
        <v>0.5</v>
      </c>
      <c r="H13" s="38">
        <f t="shared" si="3"/>
        <v>1.882589954</v>
      </c>
      <c r="I13" s="3"/>
      <c r="J13" s="3"/>
      <c r="K13" s="47">
        <v>0.0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49" t="s">
        <v>29</v>
      </c>
      <c r="B14" s="30" t="s">
        <v>30</v>
      </c>
      <c r="C14" s="31">
        <v>46065.99930555555</v>
      </c>
      <c r="D14" s="33" t="s">
        <v>21</v>
      </c>
      <c r="E14" s="34">
        <f t="shared" si="1"/>
        <v>46064.47962</v>
      </c>
      <c r="F14" s="37">
        <f t="shared" si="2"/>
        <v>0.5</v>
      </c>
      <c r="H14" s="38">
        <f t="shared" si="3"/>
        <v>1.519681921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5.0" customHeight="1">
      <c r="A15" s="49" t="s">
        <v>32</v>
      </c>
      <c r="B15" s="30" t="s">
        <v>20</v>
      </c>
      <c r="C15" s="31">
        <v>46065.99930555555</v>
      </c>
      <c r="D15" s="33" t="s">
        <v>21</v>
      </c>
      <c r="E15" s="34">
        <f t="shared" si="1"/>
        <v>46065.11548</v>
      </c>
      <c r="F15" s="37">
        <f t="shared" si="2"/>
        <v>0.5</v>
      </c>
      <c r="H15" s="38">
        <f t="shared" si="3"/>
        <v>0.8838250579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49" t="s">
        <v>33</v>
      </c>
      <c r="B16" s="30" t="s">
        <v>20</v>
      </c>
      <c r="C16" s="31">
        <v>46066.99930555555</v>
      </c>
      <c r="D16" s="33" t="s">
        <v>21</v>
      </c>
      <c r="E16" s="34">
        <f t="shared" si="1"/>
        <v>46065.11568</v>
      </c>
      <c r="F16" s="37">
        <f t="shared" si="2"/>
        <v>0.5</v>
      </c>
      <c r="H16" s="38">
        <f t="shared" si="3"/>
        <v>1.883630162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49" t="s">
        <v>34</v>
      </c>
      <c r="B17" s="30" t="s">
        <v>30</v>
      </c>
      <c r="C17" s="31">
        <v>46066.99930555555</v>
      </c>
      <c r="D17" s="33" t="s">
        <v>21</v>
      </c>
      <c r="E17" s="34">
        <f t="shared" si="1"/>
        <v>46071.52229</v>
      </c>
      <c r="F17" s="37">
        <f t="shared" si="2"/>
        <v>0</v>
      </c>
      <c r="G17" s="4"/>
      <c r="H17" s="38">
        <f t="shared" si="3"/>
        <v>4.522983171</v>
      </c>
      <c r="I17" s="3"/>
      <c r="J17" s="3"/>
      <c r="K17" s="3"/>
      <c r="L17" s="54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49" t="s">
        <v>35</v>
      </c>
      <c r="B18" s="30" t="s">
        <v>14</v>
      </c>
      <c r="C18" s="31">
        <v>46071.99930555555</v>
      </c>
      <c r="D18" s="33" t="s">
        <v>15</v>
      </c>
      <c r="E18" s="34">
        <f t="shared" si="1"/>
        <v>46070.9301</v>
      </c>
      <c r="F18" s="37">
        <f t="shared" si="2"/>
        <v>0.5</v>
      </c>
      <c r="G18" s="4"/>
      <c r="H18" s="38">
        <f t="shared" si="3"/>
        <v>1.069202894</v>
      </c>
      <c r="I18" s="3"/>
      <c r="J18" s="3"/>
      <c r="K18" s="3"/>
      <c r="L18" s="54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49" t="s">
        <v>36</v>
      </c>
      <c r="B19" s="30" t="s">
        <v>37</v>
      </c>
      <c r="C19" s="31">
        <v>46071.99930555555</v>
      </c>
      <c r="D19" s="33"/>
      <c r="E19" s="34" t="str">
        <f t="shared" si="1"/>
        <v/>
      </c>
      <c r="F19" s="37">
        <f t="shared" si="2"/>
        <v>0</v>
      </c>
      <c r="G19" s="4"/>
      <c r="H19" s="38" t="str">
        <f t="shared" si="3"/>
        <v>0</v>
      </c>
      <c r="I19" s="3"/>
      <c r="J19" s="3"/>
      <c r="K19" s="3"/>
      <c r="L19" s="54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49" t="s">
        <v>38</v>
      </c>
      <c r="B20" s="30" t="s">
        <v>30</v>
      </c>
      <c r="C20" s="31">
        <v>46073.99930555555</v>
      </c>
      <c r="D20" s="33" t="s">
        <v>21</v>
      </c>
      <c r="E20" s="34">
        <f t="shared" si="1"/>
        <v>46071.52241</v>
      </c>
      <c r="F20" s="37">
        <f t="shared" si="2"/>
        <v>0.5</v>
      </c>
      <c r="G20" s="4"/>
      <c r="H20" s="38">
        <f t="shared" si="3"/>
        <v>2.476897025</v>
      </c>
      <c r="I20" s="3"/>
      <c r="J20" s="3"/>
      <c r="K20" s="3"/>
      <c r="L20" s="54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49" t="s">
        <v>39</v>
      </c>
      <c r="B21" s="30" t="s">
        <v>18</v>
      </c>
      <c r="C21" s="31">
        <v>46073.99930555555</v>
      </c>
      <c r="D21" s="33" t="s">
        <v>15</v>
      </c>
      <c r="E21" s="34">
        <f t="shared" si="1"/>
        <v>46072.48618</v>
      </c>
      <c r="F21" s="37">
        <f t="shared" si="2"/>
        <v>0.5</v>
      </c>
      <c r="G21" s="4"/>
      <c r="H21" s="38">
        <f t="shared" si="3"/>
        <v>1.513120856</v>
      </c>
      <c r="I21" s="3"/>
      <c r="J21" s="3"/>
      <c r="K21" s="3"/>
      <c r="L21" s="54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49" t="s">
        <v>40</v>
      </c>
      <c r="B22" s="30" t="s">
        <v>37</v>
      </c>
      <c r="C22" s="31">
        <v>46076.99930555555</v>
      </c>
      <c r="D22" s="33" t="s">
        <v>21</v>
      </c>
      <c r="E22" s="34">
        <f t="shared" si="1"/>
        <v>46077.32844</v>
      </c>
      <c r="F22" s="37">
        <f t="shared" si="2"/>
        <v>0</v>
      </c>
      <c r="G22" s="4"/>
      <c r="H22" s="38">
        <f t="shared" si="3"/>
        <v>0.3291326042</v>
      </c>
      <c r="I22" s="3"/>
      <c r="J22" s="3"/>
      <c r="K22" s="3"/>
      <c r="L22" s="54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49" t="s">
        <v>41</v>
      </c>
      <c r="B23" s="30" t="s">
        <v>18</v>
      </c>
      <c r="C23" s="31">
        <v>46076.99930555555</v>
      </c>
      <c r="D23" s="33" t="s">
        <v>15</v>
      </c>
      <c r="E23" s="34">
        <f t="shared" si="1"/>
        <v>46074.50041</v>
      </c>
      <c r="F23" s="37">
        <f t="shared" si="2"/>
        <v>0.5</v>
      </c>
      <c r="G23" s="4"/>
      <c r="H23" s="38">
        <f t="shared" si="3"/>
        <v>2.498897512</v>
      </c>
      <c r="I23" s="3"/>
      <c r="J23" s="3"/>
      <c r="K23" s="3"/>
      <c r="L23" s="54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49" t="s">
        <v>42</v>
      </c>
      <c r="B24" s="30" t="s">
        <v>23</v>
      </c>
      <c r="C24" s="31">
        <v>46079.99930555555</v>
      </c>
      <c r="D24" s="33" t="s">
        <v>21</v>
      </c>
      <c r="E24" s="35">
        <f t="shared" si="1"/>
        <v>46078.2376</v>
      </c>
      <c r="F24" s="37">
        <f t="shared" si="2"/>
        <v>0.5</v>
      </c>
      <c r="G24" s="4"/>
      <c r="H24" s="62">
        <f t="shared" si="3"/>
        <v>1.761710046</v>
      </c>
      <c r="I24" s="3"/>
      <c r="J24" s="3"/>
      <c r="K24" s="3"/>
      <c r="L24" s="54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55" t="s">
        <v>43</v>
      </c>
      <c r="B25" s="30" t="s">
        <v>37</v>
      </c>
      <c r="C25" s="66">
        <v>46079.99930555555</v>
      </c>
      <c r="D25" s="56" t="s">
        <v>21</v>
      </c>
      <c r="E25" s="34">
        <f t="shared" si="1"/>
        <v>46079.26653</v>
      </c>
      <c r="F25" s="57">
        <f t="shared" si="2"/>
        <v>0.5</v>
      </c>
      <c r="G25" s="4"/>
      <c r="H25" s="58">
        <f t="shared" si="3"/>
        <v>0.7327731134</v>
      </c>
      <c r="I25" s="3"/>
      <c r="J25" s="3"/>
      <c r="K25" s="3"/>
      <c r="L25" s="54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59" t="s">
        <v>44</v>
      </c>
      <c r="B26" s="60"/>
      <c r="C26" s="67"/>
      <c r="D26" s="60"/>
      <c r="E26" s="60"/>
      <c r="F26" s="60"/>
      <c r="G26" s="60"/>
      <c r="H26" s="61"/>
      <c r="I26" s="3"/>
      <c r="J26" s="3"/>
      <c r="K26" s="3"/>
      <c r="L26" s="54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63" t="s">
        <v>6</v>
      </c>
      <c r="B27" s="17" t="s">
        <v>7</v>
      </c>
      <c r="C27" s="20" t="s">
        <v>8</v>
      </c>
      <c r="D27" s="65" t="s">
        <v>9</v>
      </c>
      <c r="E27" s="27" t="s">
        <v>10</v>
      </c>
      <c r="F27" s="28" t="s">
        <v>11</v>
      </c>
      <c r="G27" s="4"/>
      <c r="H27" s="26" t="s">
        <v>12</v>
      </c>
      <c r="I27" s="3"/>
      <c r="J27" s="3"/>
      <c r="K27" s="3"/>
      <c r="L27" s="54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29" t="s">
        <v>45</v>
      </c>
      <c r="B28" s="30" t="s">
        <v>20</v>
      </c>
      <c r="C28" s="31">
        <v>46080.99930555555</v>
      </c>
      <c r="D28" s="33" t="s">
        <v>21</v>
      </c>
      <c r="E28" s="34">
        <f t="shared" ref="E28:E39" si="4">IF(D28&lt;&gt;"",IF(E28="",NOW(),E28),"")</f>
        <v>46080.34053</v>
      </c>
      <c r="F28" s="37">
        <f t="shared" ref="F28:F39" si="5">if(D28 = "", 0,IF(E28&lt;C28,0.5,0))</f>
        <v>0.5</v>
      </c>
      <c r="G28" s="4"/>
      <c r="H28" s="38">
        <f t="shared" ref="H28:H39" si="6">if(D28 &lt;&gt; "", ABS(E28-C28), "0")</f>
        <v>0.6587758218</v>
      </c>
      <c r="I28" s="3"/>
      <c r="J28" s="3"/>
      <c r="K28" s="3"/>
      <c r="L28" s="54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68" t="s">
        <v>46</v>
      </c>
      <c r="B29" s="30" t="s">
        <v>20</v>
      </c>
      <c r="C29" s="31">
        <v>46080.99930555555</v>
      </c>
      <c r="D29" s="33" t="s">
        <v>21</v>
      </c>
      <c r="E29" s="34">
        <f t="shared" si="4"/>
        <v>46080.34055</v>
      </c>
      <c r="F29" s="37">
        <f t="shared" si="5"/>
        <v>0.5</v>
      </c>
      <c r="G29" s="4"/>
      <c r="H29" s="38">
        <f t="shared" si="6"/>
        <v>0.6587550463</v>
      </c>
      <c r="I29" s="3"/>
      <c r="J29" s="3"/>
      <c r="K29" s="3"/>
      <c r="L29" s="54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68" t="s">
        <v>47</v>
      </c>
      <c r="B30" s="30" t="s">
        <v>23</v>
      </c>
      <c r="C30" s="31">
        <v>46055.99930555555</v>
      </c>
      <c r="D30" s="33" t="s">
        <v>21</v>
      </c>
      <c r="E30" s="34">
        <f t="shared" si="4"/>
        <v>46055.12465</v>
      </c>
      <c r="F30" s="37">
        <f t="shared" si="5"/>
        <v>0.5</v>
      </c>
      <c r="G30" s="4"/>
      <c r="H30" s="38">
        <f t="shared" si="6"/>
        <v>0.8746601042</v>
      </c>
      <c r="I30" s="3"/>
      <c r="J30" s="3"/>
      <c r="K30" s="3"/>
      <c r="L30" s="54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68" t="s">
        <v>48</v>
      </c>
      <c r="B31" s="30" t="s">
        <v>14</v>
      </c>
      <c r="C31" s="31">
        <v>46058.99930555555</v>
      </c>
      <c r="D31" s="33" t="s">
        <v>15</v>
      </c>
      <c r="E31" s="34">
        <f t="shared" si="4"/>
        <v>46056.98737</v>
      </c>
      <c r="F31" s="37">
        <f t="shared" si="5"/>
        <v>0.5</v>
      </c>
      <c r="G31" s="4"/>
      <c r="H31" s="38">
        <f t="shared" si="6"/>
        <v>2.011939398</v>
      </c>
      <c r="I31" s="3"/>
      <c r="J31" s="3"/>
      <c r="K31" s="3"/>
      <c r="L31" s="54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69" t="s">
        <v>50</v>
      </c>
      <c r="B32" s="30" t="s">
        <v>23</v>
      </c>
      <c r="C32" s="31">
        <v>46059.99930555555</v>
      </c>
      <c r="D32" s="33" t="s">
        <v>21</v>
      </c>
      <c r="E32" s="34">
        <f t="shared" si="4"/>
        <v>46058.3212</v>
      </c>
      <c r="F32" s="37">
        <f t="shared" si="5"/>
        <v>0.5</v>
      </c>
      <c r="G32" s="4"/>
      <c r="H32" s="38">
        <f t="shared" si="6"/>
        <v>1.678102037</v>
      </c>
      <c r="I32" s="3"/>
      <c r="J32" s="3"/>
      <c r="K32" s="3"/>
      <c r="L32" s="54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69" t="s">
        <v>51</v>
      </c>
      <c r="B33" s="30" t="s">
        <v>20</v>
      </c>
      <c r="C33" s="31">
        <v>46065.99930555555</v>
      </c>
      <c r="D33" s="33" t="s">
        <v>21</v>
      </c>
      <c r="E33" s="34">
        <f t="shared" si="4"/>
        <v>46065.11552</v>
      </c>
      <c r="F33" s="37">
        <f t="shared" si="5"/>
        <v>0.5</v>
      </c>
      <c r="G33" s="4"/>
      <c r="H33" s="38">
        <f t="shared" si="6"/>
        <v>0.8837867014</v>
      </c>
      <c r="I33" s="3"/>
      <c r="J33" s="3"/>
      <c r="K33" s="3"/>
      <c r="L33" s="54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69" t="s">
        <v>52</v>
      </c>
      <c r="B34" s="30" t="s">
        <v>14</v>
      </c>
      <c r="C34" s="31">
        <v>46066.99930555555</v>
      </c>
      <c r="D34" s="33" t="s">
        <v>15</v>
      </c>
      <c r="E34" s="34">
        <f t="shared" si="4"/>
        <v>46064.97035</v>
      </c>
      <c r="F34" s="37">
        <f t="shared" si="5"/>
        <v>0.5</v>
      </c>
      <c r="G34" s="4"/>
      <c r="H34" s="38">
        <f t="shared" si="6"/>
        <v>2.028958275</v>
      </c>
      <c r="I34" s="3"/>
      <c r="J34" s="3"/>
      <c r="K34" s="3"/>
      <c r="L34" s="54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69" t="s">
        <v>53</v>
      </c>
      <c r="B35" s="30" t="s">
        <v>20</v>
      </c>
      <c r="C35" s="31">
        <v>46071.99930555555</v>
      </c>
      <c r="D35" s="33" t="s">
        <v>21</v>
      </c>
      <c r="E35" s="34">
        <f t="shared" si="4"/>
        <v>46077.01777</v>
      </c>
      <c r="F35" s="37">
        <f t="shared" si="5"/>
        <v>0</v>
      </c>
      <c r="G35" s="4"/>
      <c r="H35" s="38">
        <f t="shared" si="6"/>
        <v>5.018464826</v>
      </c>
      <c r="I35" s="74"/>
      <c r="J35" s="74"/>
      <c r="K35" s="3"/>
      <c r="L35" s="54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69" t="s">
        <v>54</v>
      </c>
      <c r="B36" s="30" t="s">
        <v>55</v>
      </c>
      <c r="C36" s="31">
        <v>46073.99930555555</v>
      </c>
      <c r="D36" s="33" t="s">
        <v>21</v>
      </c>
      <c r="E36" s="34">
        <f t="shared" si="4"/>
        <v>46073.43784</v>
      </c>
      <c r="F36" s="37">
        <f t="shared" si="5"/>
        <v>0.5</v>
      </c>
      <c r="G36" s="4"/>
      <c r="H36" s="38">
        <f t="shared" si="6"/>
        <v>0.5614657407</v>
      </c>
      <c r="I36" s="3"/>
      <c r="J36" s="74"/>
      <c r="K36" s="74"/>
      <c r="L36" s="54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69" t="s">
        <v>56</v>
      </c>
      <c r="B37" s="30" t="s">
        <v>55</v>
      </c>
      <c r="C37" s="31">
        <v>46076.99930555555</v>
      </c>
      <c r="D37" s="33" t="s">
        <v>21</v>
      </c>
      <c r="E37" s="34">
        <f t="shared" si="4"/>
        <v>46077.23194</v>
      </c>
      <c r="F37" s="37">
        <f t="shared" si="5"/>
        <v>0</v>
      </c>
      <c r="G37" s="4"/>
      <c r="H37" s="38">
        <f t="shared" si="6"/>
        <v>0.2326379282</v>
      </c>
      <c r="I37" s="3"/>
      <c r="J37" s="74"/>
      <c r="K37" s="74"/>
      <c r="L37" s="54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69" t="s">
        <v>57</v>
      </c>
      <c r="B38" s="30" t="s">
        <v>55</v>
      </c>
      <c r="C38" s="31">
        <v>46079.99930555555</v>
      </c>
      <c r="D38" s="33" t="s">
        <v>15</v>
      </c>
      <c r="E38" s="34">
        <f t="shared" si="4"/>
        <v>46079.09525</v>
      </c>
      <c r="F38" s="37">
        <f t="shared" si="5"/>
        <v>0.5</v>
      </c>
      <c r="G38" s="4"/>
      <c r="H38" s="38">
        <f t="shared" si="6"/>
        <v>0.9040595833</v>
      </c>
      <c r="I38" s="3"/>
      <c r="J38" s="74"/>
      <c r="K38" s="74"/>
      <c r="L38" s="54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69" t="s">
        <v>58</v>
      </c>
      <c r="B39" s="30" t="s">
        <v>37</v>
      </c>
      <c r="C39" s="31">
        <v>46079.99930555555</v>
      </c>
      <c r="D39" s="33"/>
      <c r="E39" s="34" t="str">
        <f t="shared" si="4"/>
        <v/>
      </c>
      <c r="F39" s="37">
        <f t="shared" si="5"/>
        <v>0</v>
      </c>
      <c r="G39" s="4"/>
      <c r="H39" s="38" t="str">
        <f t="shared" si="6"/>
        <v>0</v>
      </c>
      <c r="I39" s="3"/>
      <c r="J39" s="74"/>
      <c r="K39" s="74"/>
      <c r="L39" s="54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3"/>
      <c r="B40" s="3"/>
      <c r="C40" s="3"/>
      <c r="D40" s="3"/>
      <c r="E40" s="80"/>
      <c r="F40" s="54"/>
      <c r="G40" s="3"/>
      <c r="H40" s="3"/>
      <c r="I40" s="3"/>
      <c r="J40" s="74"/>
      <c r="K40" s="74"/>
      <c r="L40" s="54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3"/>
      <c r="B41" s="3"/>
      <c r="C41" s="3"/>
      <c r="D41" s="3"/>
      <c r="E41" s="80"/>
      <c r="F41" s="54"/>
      <c r="G41" s="3"/>
      <c r="H41" s="3"/>
      <c r="I41" s="3"/>
      <c r="J41" s="74"/>
      <c r="K41" s="74"/>
      <c r="L41" s="54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3"/>
      <c r="B42" s="3"/>
      <c r="C42" s="3"/>
      <c r="D42" s="3"/>
      <c r="E42" s="80"/>
      <c r="F42" s="54"/>
      <c r="G42" s="3"/>
      <c r="H42" s="3"/>
      <c r="I42" s="3"/>
      <c r="J42" s="3"/>
      <c r="K42" s="3"/>
      <c r="L42" s="54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3"/>
      <c r="B43" s="3"/>
      <c r="C43" s="3"/>
      <c r="D43" s="3"/>
      <c r="E43" s="80"/>
      <c r="F43" s="54"/>
      <c r="G43" s="3"/>
      <c r="H43" s="3"/>
      <c r="I43" s="3"/>
      <c r="J43" s="3"/>
      <c r="K43" s="3"/>
      <c r="L43" s="54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3"/>
      <c r="B44" s="3"/>
      <c r="C44" s="3"/>
      <c r="D44" s="3"/>
      <c r="E44" s="80"/>
      <c r="F44" s="54"/>
      <c r="G44" s="3"/>
      <c r="H44" s="3"/>
      <c r="I44" s="3"/>
      <c r="J44" s="3"/>
      <c r="K44" s="3"/>
      <c r="L44" s="54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3"/>
      <c r="B45" s="3"/>
      <c r="C45" s="3"/>
      <c r="D45" s="3"/>
      <c r="E45" s="80"/>
      <c r="F45" s="54"/>
      <c r="G45" s="3"/>
      <c r="H45" s="3"/>
      <c r="I45" s="3"/>
      <c r="J45" s="3"/>
      <c r="K45" s="3"/>
      <c r="L45" s="54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3"/>
      <c r="B46" s="3"/>
      <c r="C46" s="3"/>
      <c r="D46" s="3"/>
      <c r="E46" s="80"/>
      <c r="F46" s="54"/>
      <c r="G46" s="3"/>
      <c r="H46" s="3"/>
      <c r="I46" s="3"/>
      <c r="J46" s="3"/>
      <c r="K46" s="3"/>
      <c r="L46" s="54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3"/>
      <c r="B47" s="3"/>
      <c r="C47" s="3"/>
      <c r="D47" s="3"/>
      <c r="E47" s="80"/>
      <c r="F47" s="54"/>
      <c r="G47" s="3"/>
      <c r="H47" s="3"/>
      <c r="I47" s="3"/>
      <c r="J47" s="3"/>
      <c r="K47" s="3"/>
      <c r="L47" s="54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3"/>
      <c r="B48" s="3"/>
      <c r="C48" s="3"/>
      <c r="D48" s="3"/>
      <c r="E48" s="80"/>
      <c r="F48" s="54"/>
      <c r="G48" s="3"/>
      <c r="H48" s="3"/>
      <c r="I48" s="3"/>
      <c r="J48" s="3"/>
      <c r="K48" s="3"/>
      <c r="L48" s="54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3"/>
      <c r="B49" s="3"/>
      <c r="C49" s="3"/>
      <c r="D49" s="3"/>
      <c r="E49" s="80"/>
      <c r="F49" s="54"/>
      <c r="G49" s="3"/>
      <c r="H49" s="3"/>
      <c r="I49" s="3"/>
      <c r="J49" s="3"/>
      <c r="K49" s="3"/>
      <c r="L49" s="54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3"/>
      <c r="B50" s="3"/>
      <c r="C50" s="3"/>
      <c r="D50" s="3"/>
      <c r="E50" s="80"/>
      <c r="F50" s="54"/>
      <c r="G50" s="3"/>
      <c r="H50" s="3"/>
      <c r="I50" s="3"/>
      <c r="J50" s="3"/>
      <c r="K50" s="3"/>
      <c r="L50" s="54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3"/>
      <c r="B51" s="3"/>
      <c r="C51" s="3"/>
      <c r="D51" s="3"/>
      <c r="E51" s="80"/>
      <c r="F51" s="54"/>
      <c r="G51" s="3"/>
      <c r="H51" s="3"/>
      <c r="I51" s="3"/>
      <c r="J51" s="3"/>
      <c r="K51" s="3"/>
      <c r="L51" s="54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3"/>
      <c r="B52" s="3"/>
      <c r="C52" s="3"/>
      <c r="D52" s="3"/>
      <c r="E52" s="80"/>
      <c r="F52" s="54"/>
      <c r="G52" s="3"/>
      <c r="H52" s="3"/>
      <c r="I52" s="3"/>
      <c r="J52" s="3"/>
      <c r="K52" s="3"/>
      <c r="L52" s="54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3"/>
      <c r="B53" s="3"/>
      <c r="C53" s="3"/>
      <c r="D53" s="3"/>
      <c r="E53" s="80"/>
      <c r="F53" s="54"/>
      <c r="G53" s="3"/>
      <c r="H53" s="3"/>
      <c r="I53" s="3"/>
      <c r="J53" s="3"/>
      <c r="K53" s="3"/>
      <c r="L53" s="54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3"/>
      <c r="B54" s="3"/>
      <c r="C54" s="3"/>
      <c r="D54" s="3"/>
      <c r="E54" s="80"/>
      <c r="F54" s="54"/>
      <c r="G54" s="3"/>
      <c r="H54" s="3"/>
      <c r="I54" s="3"/>
      <c r="J54" s="3"/>
      <c r="K54" s="3"/>
      <c r="L54" s="54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3"/>
      <c r="B55" s="3"/>
      <c r="C55" s="3"/>
      <c r="D55" s="3"/>
      <c r="E55" s="80"/>
      <c r="F55" s="54"/>
      <c r="G55" s="3"/>
      <c r="H55" s="3"/>
      <c r="I55" s="3"/>
      <c r="J55" s="3"/>
      <c r="K55" s="3"/>
      <c r="L55" s="54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3"/>
      <c r="B56" s="3"/>
      <c r="C56" s="3"/>
      <c r="D56" s="3"/>
      <c r="E56" s="80"/>
      <c r="F56" s="54"/>
      <c r="G56" s="3"/>
      <c r="H56" s="3"/>
      <c r="I56" s="3"/>
      <c r="J56" s="3"/>
      <c r="K56" s="3"/>
      <c r="L56" s="54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3"/>
      <c r="B57" s="3"/>
      <c r="C57" s="3"/>
      <c r="D57" s="3"/>
      <c r="E57" s="80"/>
      <c r="F57" s="54"/>
      <c r="G57" s="3"/>
      <c r="H57" s="3"/>
      <c r="I57" s="3"/>
      <c r="J57" s="3"/>
      <c r="K57" s="3"/>
      <c r="L57" s="54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3"/>
      <c r="B58" s="3"/>
      <c r="C58" s="3"/>
      <c r="D58" s="3"/>
      <c r="E58" s="80"/>
      <c r="F58" s="54"/>
      <c r="G58" s="3"/>
      <c r="H58" s="3"/>
      <c r="I58" s="3"/>
      <c r="J58" s="3"/>
      <c r="K58" s="3"/>
      <c r="L58" s="54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3"/>
      <c r="B59" s="3"/>
      <c r="C59" s="3"/>
      <c r="D59" s="3"/>
      <c r="E59" s="80"/>
      <c r="F59" s="54"/>
      <c r="G59" s="3"/>
      <c r="H59" s="3"/>
      <c r="I59" s="3"/>
      <c r="J59" s="3"/>
      <c r="K59" s="3"/>
      <c r="L59" s="54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3"/>
      <c r="B60" s="3"/>
      <c r="C60" s="3"/>
      <c r="D60" s="3"/>
      <c r="E60" s="80"/>
      <c r="F60" s="54"/>
      <c r="G60" s="3"/>
      <c r="H60" s="3"/>
      <c r="I60" s="3"/>
      <c r="J60" s="3"/>
      <c r="K60" s="3"/>
      <c r="L60" s="54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3"/>
      <c r="B61" s="3"/>
      <c r="C61" s="3"/>
      <c r="D61" s="3"/>
      <c r="E61" s="80"/>
      <c r="F61" s="54"/>
      <c r="G61" s="3"/>
      <c r="H61" s="3"/>
      <c r="I61" s="3"/>
      <c r="J61" s="3"/>
      <c r="K61" s="3"/>
      <c r="L61" s="54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3"/>
      <c r="B62" s="3"/>
      <c r="C62" s="3"/>
      <c r="D62" s="3"/>
      <c r="E62" s="80"/>
      <c r="F62" s="54"/>
      <c r="G62" s="3"/>
      <c r="H62" s="3"/>
      <c r="I62" s="3"/>
      <c r="J62" s="3"/>
      <c r="K62" s="3"/>
      <c r="L62" s="54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3"/>
      <c r="B63" s="3"/>
      <c r="C63" s="3"/>
      <c r="D63" s="3"/>
      <c r="E63" s="80"/>
      <c r="F63" s="54"/>
      <c r="G63" s="3"/>
      <c r="H63" s="3"/>
      <c r="I63" s="3"/>
      <c r="J63" s="3"/>
      <c r="K63" s="3"/>
      <c r="L63" s="54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3"/>
      <c r="B64" s="3"/>
      <c r="C64" s="3"/>
      <c r="D64" s="3"/>
      <c r="E64" s="80"/>
      <c r="F64" s="54"/>
      <c r="G64" s="3"/>
      <c r="H64" s="3"/>
      <c r="I64" s="3"/>
      <c r="J64" s="3"/>
      <c r="K64" s="3"/>
      <c r="L64" s="54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3"/>
      <c r="B65" s="3"/>
      <c r="C65" s="3"/>
      <c r="D65" s="3"/>
      <c r="E65" s="80"/>
      <c r="F65" s="54"/>
      <c r="G65" s="3"/>
      <c r="H65" s="3"/>
      <c r="I65" s="3"/>
      <c r="J65" s="3"/>
      <c r="K65" s="3"/>
      <c r="L65" s="54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3"/>
      <c r="B66" s="3"/>
      <c r="C66" s="3"/>
      <c r="D66" s="3"/>
      <c r="E66" s="80"/>
      <c r="F66" s="54"/>
      <c r="G66" s="3"/>
      <c r="H66" s="3"/>
      <c r="I66" s="3"/>
      <c r="J66" s="3"/>
      <c r="K66" s="3"/>
      <c r="L66" s="54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3"/>
      <c r="B67" s="3"/>
      <c r="C67" s="3"/>
      <c r="D67" s="3"/>
      <c r="E67" s="80"/>
      <c r="F67" s="54"/>
      <c r="G67" s="3"/>
      <c r="H67" s="3"/>
      <c r="I67" s="3"/>
      <c r="J67" s="3"/>
      <c r="K67" s="3"/>
      <c r="L67" s="54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3"/>
      <c r="B68" s="3"/>
      <c r="C68" s="3"/>
      <c r="D68" s="3"/>
      <c r="E68" s="80"/>
      <c r="F68" s="54"/>
      <c r="G68" s="3"/>
      <c r="H68" s="3"/>
      <c r="I68" s="3"/>
      <c r="J68" s="3"/>
      <c r="K68" s="3"/>
      <c r="L68" s="54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3"/>
      <c r="B69" s="3"/>
      <c r="C69" s="3"/>
      <c r="D69" s="3"/>
      <c r="E69" s="80"/>
      <c r="F69" s="54"/>
      <c r="G69" s="3"/>
      <c r="H69" s="3"/>
      <c r="I69" s="3"/>
      <c r="J69" s="3"/>
      <c r="K69" s="3"/>
      <c r="L69" s="54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3"/>
      <c r="B70" s="3"/>
      <c r="C70" s="3"/>
      <c r="D70" s="3"/>
      <c r="E70" s="80"/>
      <c r="F70" s="54"/>
      <c r="G70" s="3"/>
      <c r="H70" s="3"/>
      <c r="I70" s="3"/>
      <c r="J70" s="3"/>
      <c r="K70" s="3"/>
      <c r="L70" s="54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3"/>
      <c r="B71" s="3"/>
      <c r="C71" s="3"/>
      <c r="D71" s="3"/>
      <c r="E71" s="80"/>
      <c r="F71" s="54"/>
      <c r="G71" s="3"/>
      <c r="H71" s="3"/>
      <c r="I71" s="3"/>
      <c r="J71" s="3"/>
      <c r="K71" s="3"/>
      <c r="L71" s="54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3"/>
      <c r="B72" s="3"/>
      <c r="C72" s="3"/>
      <c r="D72" s="3"/>
      <c r="E72" s="80"/>
      <c r="F72" s="54"/>
      <c r="G72" s="3"/>
      <c r="H72" s="3"/>
      <c r="I72" s="3"/>
      <c r="J72" s="3"/>
      <c r="K72" s="3"/>
      <c r="L72" s="54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3"/>
      <c r="B73" s="3"/>
      <c r="C73" s="3"/>
      <c r="D73" s="3"/>
      <c r="E73" s="80"/>
      <c r="F73" s="54"/>
      <c r="G73" s="3"/>
      <c r="H73" s="3"/>
      <c r="I73" s="3"/>
      <c r="J73" s="3"/>
      <c r="K73" s="3"/>
      <c r="L73" s="54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3"/>
      <c r="B74" s="3"/>
      <c r="C74" s="3"/>
      <c r="D74" s="3"/>
      <c r="E74" s="80"/>
      <c r="F74" s="54"/>
      <c r="G74" s="3"/>
      <c r="H74" s="3"/>
      <c r="I74" s="3"/>
      <c r="J74" s="3"/>
      <c r="K74" s="3"/>
      <c r="L74" s="54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3"/>
      <c r="B75" s="3"/>
      <c r="C75" s="3"/>
      <c r="D75" s="3"/>
      <c r="E75" s="80"/>
      <c r="F75" s="54"/>
      <c r="G75" s="3"/>
      <c r="H75" s="3"/>
      <c r="I75" s="3"/>
      <c r="J75" s="3"/>
      <c r="K75" s="3"/>
      <c r="L75" s="54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3"/>
      <c r="B76" s="3"/>
      <c r="C76" s="3"/>
      <c r="D76" s="3"/>
      <c r="E76" s="80"/>
      <c r="F76" s="54"/>
      <c r="G76" s="3"/>
      <c r="H76" s="3"/>
      <c r="I76" s="3"/>
      <c r="J76" s="3"/>
      <c r="K76" s="3"/>
      <c r="L76" s="54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3"/>
      <c r="B77" s="3"/>
      <c r="C77" s="3"/>
      <c r="D77" s="3"/>
      <c r="E77" s="80"/>
      <c r="F77" s="54"/>
      <c r="G77" s="3"/>
      <c r="H77" s="3"/>
      <c r="I77" s="3"/>
      <c r="J77" s="3"/>
      <c r="K77" s="3"/>
      <c r="L77" s="54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3"/>
      <c r="B78" s="3"/>
      <c r="C78" s="3"/>
      <c r="D78" s="3"/>
      <c r="E78" s="80"/>
      <c r="F78" s="54"/>
      <c r="G78" s="3"/>
      <c r="H78" s="3"/>
      <c r="I78" s="3"/>
      <c r="J78" s="3"/>
      <c r="K78" s="3"/>
      <c r="L78" s="54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3"/>
      <c r="B79" s="3"/>
      <c r="C79" s="3"/>
      <c r="D79" s="3"/>
      <c r="E79" s="80"/>
      <c r="F79" s="54"/>
      <c r="G79" s="3"/>
      <c r="H79" s="3"/>
      <c r="I79" s="3"/>
      <c r="J79" s="3"/>
      <c r="K79" s="3"/>
      <c r="L79" s="54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3"/>
      <c r="B80" s="3"/>
      <c r="C80" s="3"/>
      <c r="D80" s="3"/>
      <c r="E80" s="80"/>
      <c r="F80" s="54"/>
      <c r="G80" s="3"/>
      <c r="H80" s="3"/>
      <c r="I80" s="3"/>
      <c r="J80" s="3"/>
      <c r="K80" s="3"/>
      <c r="L80" s="54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3"/>
      <c r="B81" s="3"/>
      <c r="C81" s="3"/>
      <c r="D81" s="3"/>
      <c r="E81" s="80"/>
      <c r="F81" s="54"/>
      <c r="G81" s="3"/>
      <c r="H81" s="3"/>
      <c r="I81" s="3"/>
      <c r="J81" s="3"/>
      <c r="K81" s="3"/>
      <c r="L81" s="54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3"/>
      <c r="B82" s="3"/>
      <c r="C82" s="3"/>
      <c r="D82" s="3"/>
      <c r="E82" s="80"/>
      <c r="F82" s="54"/>
      <c r="G82" s="3"/>
      <c r="H82" s="3"/>
      <c r="I82" s="3"/>
      <c r="J82" s="3"/>
      <c r="K82" s="3"/>
      <c r="L82" s="54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3"/>
      <c r="B83" s="3"/>
      <c r="C83" s="3"/>
      <c r="D83" s="3"/>
      <c r="E83" s="80"/>
      <c r="F83" s="54"/>
      <c r="G83" s="3"/>
      <c r="H83" s="3"/>
      <c r="I83" s="3"/>
      <c r="J83" s="3"/>
      <c r="K83" s="3"/>
      <c r="L83" s="54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3"/>
      <c r="B84" s="3"/>
      <c r="C84" s="3"/>
      <c r="D84" s="3"/>
      <c r="E84" s="80"/>
      <c r="F84" s="54"/>
      <c r="G84" s="3"/>
      <c r="H84" s="3"/>
      <c r="I84" s="3"/>
      <c r="J84" s="3"/>
      <c r="K84" s="3"/>
      <c r="L84" s="54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3"/>
      <c r="B85" s="3"/>
      <c r="C85" s="3"/>
      <c r="D85" s="3"/>
      <c r="E85" s="80"/>
      <c r="F85" s="54"/>
      <c r="G85" s="3"/>
      <c r="H85" s="3"/>
      <c r="I85" s="3"/>
      <c r="J85" s="3"/>
      <c r="K85" s="3"/>
      <c r="L85" s="54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3"/>
      <c r="B86" s="3"/>
      <c r="C86" s="3"/>
      <c r="D86" s="3"/>
      <c r="E86" s="80"/>
      <c r="F86" s="54"/>
      <c r="G86" s="3"/>
      <c r="H86" s="3"/>
      <c r="I86" s="3"/>
      <c r="J86" s="3"/>
      <c r="K86" s="3"/>
      <c r="L86" s="54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3"/>
      <c r="B87" s="3"/>
      <c r="C87" s="3"/>
      <c r="D87" s="3"/>
      <c r="E87" s="80"/>
      <c r="F87" s="54"/>
      <c r="G87" s="3"/>
      <c r="H87" s="3"/>
      <c r="I87" s="3"/>
      <c r="J87" s="3"/>
      <c r="K87" s="3"/>
      <c r="L87" s="54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3"/>
      <c r="B88" s="3"/>
      <c r="C88" s="3"/>
      <c r="D88" s="3"/>
      <c r="E88" s="80"/>
      <c r="F88" s="54"/>
      <c r="G88" s="3"/>
      <c r="H88" s="3"/>
      <c r="I88" s="3"/>
      <c r="J88" s="3"/>
      <c r="K88" s="3"/>
      <c r="L88" s="54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3"/>
      <c r="B89" s="3"/>
      <c r="C89" s="3"/>
      <c r="D89" s="3"/>
      <c r="E89" s="80"/>
      <c r="F89" s="54"/>
      <c r="G89" s="3"/>
      <c r="H89" s="3"/>
      <c r="I89" s="3"/>
      <c r="J89" s="3"/>
      <c r="K89" s="3"/>
      <c r="L89" s="54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3"/>
      <c r="B90" s="3"/>
      <c r="C90" s="3"/>
      <c r="D90" s="3"/>
      <c r="E90" s="80"/>
      <c r="F90" s="54"/>
      <c r="G90" s="3"/>
      <c r="H90" s="3"/>
      <c r="I90" s="3"/>
      <c r="J90" s="3"/>
      <c r="K90" s="3"/>
      <c r="L90" s="54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3"/>
      <c r="B91" s="3"/>
      <c r="C91" s="3"/>
      <c r="D91" s="3"/>
      <c r="E91" s="80"/>
      <c r="F91" s="54"/>
      <c r="G91" s="3"/>
      <c r="H91" s="3"/>
      <c r="I91" s="3"/>
      <c r="J91" s="3"/>
      <c r="K91" s="3"/>
      <c r="L91" s="54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3"/>
      <c r="B92" s="3"/>
      <c r="C92" s="3"/>
      <c r="D92" s="3"/>
      <c r="E92" s="80"/>
      <c r="F92" s="54"/>
      <c r="G92" s="3"/>
      <c r="H92" s="3"/>
      <c r="I92" s="3"/>
      <c r="J92" s="3"/>
      <c r="K92" s="3"/>
      <c r="L92" s="54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3"/>
      <c r="B93" s="3"/>
      <c r="C93" s="3"/>
      <c r="D93" s="3"/>
      <c r="E93" s="80"/>
      <c r="F93" s="54"/>
      <c r="G93" s="3"/>
      <c r="H93" s="3"/>
      <c r="I93" s="3"/>
      <c r="J93" s="3"/>
      <c r="K93" s="3"/>
      <c r="L93" s="54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3"/>
      <c r="B94" s="3"/>
      <c r="C94" s="3"/>
      <c r="D94" s="3"/>
      <c r="E94" s="80"/>
      <c r="F94" s="54"/>
      <c r="G94" s="3"/>
      <c r="H94" s="3"/>
      <c r="I94" s="3"/>
      <c r="J94" s="3"/>
      <c r="K94" s="3"/>
      <c r="L94" s="54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3"/>
      <c r="B95" s="3"/>
      <c r="C95" s="3"/>
      <c r="D95" s="3"/>
      <c r="E95" s="80"/>
      <c r="F95" s="54"/>
      <c r="G95" s="3"/>
      <c r="H95" s="3"/>
      <c r="I95" s="3"/>
      <c r="J95" s="3"/>
      <c r="K95" s="3"/>
      <c r="L95" s="54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3"/>
      <c r="B96" s="3"/>
      <c r="C96" s="3"/>
      <c r="D96" s="3"/>
      <c r="E96" s="80"/>
      <c r="F96" s="54"/>
      <c r="G96" s="3"/>
      <c r="H96" s="3"/>
      <c r="I96" s="3"/>
      <c r="J96" s="3"/>
      <c r="K96" s="3"/>
      <c r="L96" s="54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3"/>
      <c r="B97" s="3"/>
      <c r="C97" s="3"/>
      <c r="D97" s="3"/>
      <c r="E97" s="80"/>
      <c r="F97" s="54"/>
      <c r="G97" s="3"/>
      <c r="H97" s="3"/>
      <c r="I97" s="3"/>
      <c r="J97" s="3"/>
      <c r="K97" s="3"/>
      <c r="L97" s="54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3"/>
      <c r="B98" s="3"/>
      <c r="C98" s="3"/>
      <c r="D98" s="3"/>
      <c r="E98" s="80"/>
      <c r="F98" s="54"/>
      <c r="G98" s="3"/>
      <c r="H98" s="3"/>
      <c r="I98" s="3"/>
      <c r="J98" s="3"/>
      <c r="K98" s="3"/>
      <c r="L98" s="54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3"/>
      <c r="B99" s="3"/>
      <c r="C99" s="3"/>
      <c r="D99" s="3"/>
      <c r="E99" s="80"/>
      <c r="F99" s="54"/>
      <c r="G99" s="3"/>
      <c r="H99" s="3"/>
      <c r="I99" s="3"/>
      <c r="J99" s="3"/>
      <c r="K99" s="3"/>
      <c r="L99" s="54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3"/>
      <c r="B100" s="3"/>
      <c r="C100" s="3"/>
      <c r="D100" s="3"/>
      <c r="E100" s="80"/>
      <c r="F100" s="54"/>
      <c r="G100" s="3"/>
      <c r="H100" s="3"/>
      <c r="I100" s="3"/>
      <c r="J100" s="3"/>
      <c r="K100" s="3"/>
      <c r="L100" s="54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3"/>
      <c r="B101" s="3"/>
      <c r="C101" s="3"/>
      <c r="D101" s="3"/>
      <c r="E101" s="80"/>
      <c r="F101" s="54"/>
      <c r="G101" s="3"/>
      <c r="H101" s="3"/>
      <c r="I101" s="3"/>
      <c r="J101" s="3"/>
      <c r="K101" s="3"/>
      <c r="L101" s="54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3"/>
      <c r="B102" s="3"/>
      <c r="C102" s="3"/>
      <c r="D102" s="3"/>
      <c r="E102" s="80"/>
      <c r="F102" s="54"/>
      <c r="G102" s="3"/>
      <c r="H102" s="3"/>
      <c r="I102" s="3"/>
      <c r="J102" s="3"/>
      <c r="K102" s="3"/>
      <c r="L102" s="54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3"/>
      <c r="B103" s="3"/>
      <c r="C103" s="3"/>
      <c r="D103" s="3"/>
      <c r="E103" s="80"/>
      <c r="F103" s="54"/>
      <c r="G103" s="3"/>
      <c r="H103" s="3"/>
      <c r="I103" s="3"/>
      <c r="J103" s="3"/>
      <c r="K103" s="3"/>
      <c r="L103" s="54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3"/>
      <c r="B104" s="3"/>
      <c r="C104" s="3"/>
      <c r="D104" s="3"/>
      <c r="E104" s="80"/>
      <c r="F104" s="54"/>
      <c r="G104" s="3"/>
      <c r="H104" s="3"/>
      <c r="I104" s="3"/>
      <c r="J104" s="3"/>
      <c r="K104" s="3"/>
      <c r="L104" s="54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3"/>
      <c r="B105" s="3"/>
      <c r="C105" s="3"/>
      <c r="D105" s="3"/>
      <c r="E105" s="80"/>
      <c r="F105" s="54"/>
      <c r="G105" s="3"/>
      <c r="H105" s="3"/>
      <c r="I105" s="3"/>
      <c r="J105" s="3"/>
      <c r="K105" s="3"/>
      <c r="L105" s="54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3"/>
      <c r="B106" s="3"/>
      <c r="C106" s="3"/>
      <c r="D106" s="3"/>
      <c r="E106" s="80"/>
      <c r="F106" s="54"/>
      <c r="G106" s="3"/>
      <c r="H106" s="3"/>
      <c r="I106" s="3"/>
      <c r="J106" s="3"/>
      <c r="K106" s="3"/>
      <c r="L106" s="54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3"/>
      <c r="B107" s="3"/>
      <c r="C107" s="3"/>
      <c r="D107" s="3"/>
      <c r="E107" s="80"/>
      <c r="F107" s="54"/>
      <c r="G107" s="3"/>
      <c r="H107" s="3"/>
      <c r="I107" s="3"/>
      <c r="J107" s="3"/>
      <c r="K107" s="3"/>
      <c r="L107" s="54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3"/>
      <c r="B108" s="3"/>
      <c r="C108" s="3"/>
      <c r="D108" s="3"/>
      <c r="E108" s="80"/>
      <c r="F108" s="54"/>
      <c r="G108" s="3"/>
      <c r="H108" s="3"/>
      <c r="I108" s="3"/>
      <c r="J108" s="3"/>
      <c r="K108" s="3"/>
      <c r="L108" s="54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3"/>
      <c r="B109" s="3"/>
      <c r="C109" s="3"/>
      <c r="D109" s="3"/>
      <c r="E109" s="80"/>
      <c r="F109" s="54"/>
      <c r="G109" s="3"/>
      <c r="H109" s="3"/>
      <c r="I109" s="3"/>
      <c r="J109" s="3"/>
      <c r="K109" s="3"/>
      <c r="L109" s="54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3"/>
      <c r="B110" s="3"/>
      <c r="C110" s="3"/>
      <c r="D110" s="3"/>
      <c r="E110" s="80"/>
      <c r="F110" s="54"/>
      <c r="G110" s="3"/>
      <c r="H110" s="3"/>
      <c r="I110" s="3"/>
      <c r="J110" s="3"/>
      <c r="K110" s="3"/>
      <c r="L110" s="54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3"/>
      <c r="B111" s="3"/>
      <c r="C111" s="3"/>
      <c r="D111" s="3"/>
      <c r="E111" s="80"/>
      <c r="F111" s="54"/>
      <c r="G111" s="3"/>
      <c r="H111" s="3"/>
      <c r="I111" s="3"/>
      <c r="J111" s="3"/>
      <c r="K111" s="3"/>
      <c r="L111" s="54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3"/>
      <c r="B112" s="3"/>
      <c r="C112" s="3"/>
      <c r="D112" s="3"/>
      <c r="E112" s="80"/>
      <c r="F112" s="54"/>
      <c r="G112" s="3"/>
      <c r="H112" s="3"/>
      <c r="I112" s="3"/>
      <c r="J112" s="3"/>
      <c r="K112" s="3"/>
      <c r="L112" s="54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3"/>
      <c r="B113" s="3"/>
      <c r="C113" s="3"/>
      <c r="D113" s="3"/>
      <c r="E113" s="80"/>
      <c r="F113" s="54"/>
      <c r="G113" s="3"/>
      <c r="H113" s="3"/>
      <c r="I113" s="3"/>
      <c r="J113" s="3"/>
      <c r="K113" s="3"/>
      <c r="L113" s="54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3"/>
      <c r="B114" s="3"/>
      <c r="C114" s="3"/>
      <c r="D114" s="3"/>
      <c r="E114" s="80"/>
      <c r="F114" s="54"/>
      <c r="G114" s="3"/>
      <c r="H114" s="3"/>
      <c r="I114" s="3"/>
      <c r="J114" s="3"/>
      <c r="K114" s="3"/>
      <c r="L114" s="54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3"/>
      <c r="B115" s="3"/>
      <c r="C115" s="3"/>
      <c r="D115" s="3"/>
      <c r="E115" s="80"/>
      <c r="F115" s="54"/>
      <c r="G115" s="3"/>
      <c r="H115" s="3"/>
      <c r="I115" s="3"/>
      <c r="J115" s="3"/>
      <c r="K115" s="3"/>
      <c r="L115" s="54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3"/>
      <c r="B116" s="3"/>
      <c r="C116" s="3"/>
      <c r="D116" s="3"/>
      <c r="E116" s="80"/>
      <c r="F116" s="54"/>
      <c r="G116" s="3"/>
      <c r="H116" s="3"/>
      <c r="I116" s="3"/>
      <c r="J116" s="3"/>
      <c r="K116" s="3"/>
      <c r="L116" s="54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3"/>
      <c r="B117" s="3"/>
      <c r="C117" s="3"/>
      <c r="D117" s="3"/>
      <c r="E117" s="80"/>
      <c r="F117" s="54"/>
      <c r="G117" s="3"/>
      <c r="H117" s="3"/>
      <c r="I117" s="3"/>
      <c r="J117" s="3"/>
      <c r="K117" s="3"/>
      <c r="L117" s="54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3"/>
      <c r="B118" s="3"/>
      <c r="C118" s="3"/>
      <c r="D118" s="3"/>
      <c r="E118" s="80"/>
      <c r="F118" s="54"/>
      <c r="G118" s="3"/>
      <c r="H118" s="3"/>
      <c r="I118" s="3"/>
      <c r="J118" s="3"/>
      <c r="K118" s="3"/>
      <c r="L118" s="54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3"/>
      <c r="B119" s="3"/>
      <c r="C119" s="3"/>
      <c r="D119" s="3"/>
      <c r="E119" s="80"/>
      <c r="F119" s="54"/>
      <c r="G119" s="3"/>
      <c r="H119" s="3"/>
      <c r="I119" s="3"/>
      <c r="J119" s="3"/>
      <c r="K119" s="3"/>
      <c r="L119" s="54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3"/>
      <c r="B120" s="3"/>
      <c r="C120" s="3"/>
      <c r="D120" s="3"/>
      <c r="E120" s="80"/>
      <c r="F120" s="54"/>
      <c r="G120" s="3"/>
      <c r="H120" s="3"/>
      <c r="I120" s="3"/>
      <c r="J120" s="3"/>
      <c r="K120" s="3"/>
      <c r="L120" s="54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3"/>
      <c r="B121" s="3"/>
      <c r="C121" s="3"/>
      <c r="D121" s="3"/>
      <c r="E121" s="80"/>
      <c r="F121" s="54"/>
      <c r="G121" s="3"/>
      <c r="H121" s="3"/>
      <c r="I121" s="3"/>
      <c r="J121" s="3"/>
      <c r="K121" s="3"/>
      <c r="L121" s="54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3"/>
      <c r="B122" s="3"/>
      <c r="C122" s="3"/>
      <c r="D122" s="3"/>
      <c r="E122" s="80"/>
      <c r="F122" s="54"/>
      <c r="G122" s="3"/>
      <c r="H122" s="3"/>
      <c r="I122" s="3"/>
      <c r="J122" s="3"/>
      <c r="K122" s="3"/>
      <c r="L122" s="54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3"/>
      <c r="B123" s="3"/>
      <c r="C123" s="3"/>
      <c r="D123" s="3"/>
      <c r="E123" s="80"/>
      <c r="F123" s="54"/>
      <c r="G123" s="3"/>
      <c r="H123" s="3"/>
      <c r="I123" s="3"/>
      <c r="J123" s="3"/>
      <c r="K123" s="3"/>
      <c r="L123" s="54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3"/>
      <c r="B124" s="3"/>
      <c r="C124" s="3"/>
      <c r="D124" s="3"/>
      <c r="E124" s="80"/>
      <c r="F124" s="54"/>
      <c r="G124" s="3"/>
      <c r="H124" s="3"/>
      <c r="I124" s="3"/>
      <c r="J124" s="3"/>
      <c r="K124" s="3"/>
      <c r="L124" s="54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3"/>
      <c r="B125" s="3"/>
      <c r="C125" s="3"/>
      <c r="D125" s="3"/>
      <c r="E125" s="80"/>
      <c r="F125" s="54"/>
      <c r="G125" s="3"/>
      <c r="H125" s="3"/>
      <c r="I125" s="3"/>
      <c r="J125" s="3"/>
      <c r="K125" s="3"/>
      <c r="L125" s="54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3"/>
      <c r="B126" s="3"/>
      <c r="C126" s="3"/>
      <c r="D126" s="3"/>
      <c r="E126" s="80"/>
      <c r="F126" s="54"/>
      <c r="G126" s="3"/>
      <c r="H126" s="3"/>
      <c r="I126" s="3"/>
      <c r="J126" s="3"/>
      <c r="K126" s="3"/>
      <c r="L126" s="54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3"/>
      <c r="B127" s="3"/>
      <c r="C127" s="3"/>
      <c r="D127" s="3"/>
      <c r="E127" s="80"/>
      <c r="F127" s="54"/>
      <c r="G127" s="3"/>
      <c r="H127" s="3"/>
      <c r="I127" s="3"/>
      <c r="J127" s="3"/>
      <c r="K127" s="3"/>
      <c r="L127" s="54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3"/>
      <c r="B128" s="3"/>
      <c r="C128" s="3"/>
      <c r="D128" s="3"/>
      <c r="E128" s="80"/>
      <c r="F128" s="54"/>
      <c r="G128" s="3"/>
      <c r="H128" s="3"/>
      <c r="I128" s="3"/>
      <c r="J128" s="3"/>
      <c r="K128" s="3"/>
      <c r="L128" s="54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3"/>
      <c r="C129" s="3"/>
      <c r="D129" s="3"/>
      <c r="E129" s="80"/>
      <c r="F129" s="54"/>
      <c r="G129" s="3"/>
      <c r="H129" s="3"/>
      <c r="I129" s="3"/>
      <c r="J129" s="3"/>
      <c r="K129" s="3"/>
      <c r="L129" s="54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3"/>
      <c r="B130" s="3"/>
      <c r="C130" s="3"/>
      <c r="D130" s="3"/>
      <c r="E130" s="80"/>
      <c r="F130" s="54"/>
      <c r="G130" s="3"/>
      <c r="H130" s="3"/>
      <c r="I130" s="3"/>
      <c r="J130" s="3"/>
      <c r="K130" s="3"/>
      <c r="L130" s="54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3"/>
      <c r="E131" s="80"/>
      <c r="F131" s="54"/>
      <c r="G131" s="3"/>
      <c r="H131" s="3"/>
      <c r="I131" s="3"/>
      <c r="J131" s="3"/>
      <c r="K131" s="3"/>
      <c r="L131" s="54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3"/>
      <c r="E132" s="80"/>
      <c r="F132" s="54"/>
      <c r="G132" s="3"/>
      <c r="H132" s="3"/>
      <c r="I132" s="3"/>
      <c r="J132" s="3"/>
      <c r="K132" s="3"/>
      <c r="L132" s="54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3"/>
      <c r="E133" s="80"/>
      <c r="F133" s="54"/>
      <c r="G133" s="3"/>
      <c r="H133" s="3"/>
      <c r="I133" s="3"/>
      <c r="J133" s="3"/>
      <c r="K133" s="3"/>
      <c r="L133" s="54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3"/>
      <c r="E134" s="80"/>
      <c r="F134" s="54"/>
      <c r="G134" s="3"/>
      <c r="H134" s="3"/>
      <c r="I134" s="3"/>
      <c r="J134" s="3"/>
      <c r="K134" s="3"/>
      <c r="L134" s="54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3"/>
      <c r="E135" s="80"/>
      <c r="F135" s="54"/>
      <c r="G135" s="3"/>
      <c r="H135" s="3"/>
      <c r="I135" s="3"/>
      <c r="J135" s="3"/>
      <c r="K135" s="3"/>
      <c r="L135" s="54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3"/>
      <c r="E136" s="80"/>
      <c r="F136" s="54"/>
      <c r="G136" s="3"/>
      <c r="H136" s="3"/>
      <c r="I136" s="3"/>
      <c r="J136" s="3"/>
      <c r="K136" s="3"/>
      <c r="L136" s="54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3"/>
      <c r="E137" s="80"/>
      <c r="F137" s="54"/>
      <c r="G137" s="3"/>
      <c r="H137" s="3"/>
      <c r="I137" s="3"/>
      <c r="J137" s="3"/>
      <c r="K137" s="3"/>
      <c r="L137" s="54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3"/>
      <c r="E138" s="80"/>
      <c r="F138" s="54"/>
      <c r="G138" s="3"/>
      <c r="H138" s="3"/>
      <c r="I138" s="3"/>
      <c r="J138" s="3"/>
      <c r="K138" s="3"/>
      <c r="L138" s="54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3"/>
      <c r="E139" s="80"/>
      <c r="F139" s="54"/>
      <c r="G139" s="3"/>
      <c r="H139" s="3"/>
      <c r="I139" s="3"/>
      <c r="J139" s="3"/>
      <c r="K139" s="3"/>
      <c r="L139" s="54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3"/>
      <c r="E140" s="80"/>
      <c r="F140" s="54"/>
      <c r="G140" s="3"/>
      <c r="H140" s="3"/>
      <c r="I140" s="3"/>
      <c r="J140" s="3"/>
      <c r="K140" s="3"/>
      <c r="L140" s="54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3"/>
      <c r="E141" s="80"/>
      <c r="F141" s="54"/>
      <c r="G141" s="3"/>
      <c r="H141" s="3"/>
      <c r="I141" s="3"/>
      <c r="J141" s="3"/>
      <c r="K141" s="3"/>
      <c r="L141" s="54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3"/>
      <c r="E142" s="80"/>
      <c r="F142" s="54"/>
      <c r="G142" s="3"/>
      <c r="H142" s="3"/>
      <c r="I142" s="3"/>
      <c r="J142" s="3"/>
      <c r="K142" s="3"/>
      <c r="L142" s="54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3"/>
      <c r="E143" s="80"/>
      <c r="F143" s="54"/>
      <c r="G143" s="3"/>
      <c r="H143" s="3"/>
      <c r="I143" s="3"/>
      <c r="J143" s="3"/>
      <c r="K143" s="3"/>
      <c r="L143" s="54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3"/>
      <c r="E144" s="80"/>
      <c r="F144" s="54"/>
      <c r="G144" s="3"/>
      <c r="H144" s="3"/>
      <c r="I144" s="3"/>
      <c r="J144" s="3"/>
      <c r="K144" s="3"/>
      <c r="L144" s="54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3"/>
      <c r="E145" s="80"/>
      <c r="F145" s="54"/>
      <c r="G145" s="3"/>
      <c r="H145" s="3"/>
      <c r="I145" s="3"/>
      <c r="J145" s="3"/>
      <c r="K145" s="3"/>
      <c r="L145" s="54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3"/>
      <c r="E146" s="80"/>
      <c r="F146" s="54"/>
      <c r="G146" s="3"/>
      <c r="H146" s="3"/>
      <c r="I146" s="3"/>
      <c r="J146" s="3"/>
      <c r="K146" s="3"/>
      <c r="L146" s="54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3"/>
      <c r="E147" s="80"/>
      <c r="F147" s="54"/>
      <c r="G147" s="3"/>
      <c r="H147" s="3"/>
      <c r="I147" s="3"/>
      <c r="J147" s="3"/>
      <c r="K147" s="3"/>
      <c r="L147" s="54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3"/>
      <c r="E148" s="80"/>
      <c r="F148" s="54"/>
      <c r="G148" s="3"/>
      <c r="H148" s="3"/>
      <c r="I148" s="3"/>
      <c r="J148" s="3"/>
      <c r="K148" s="3"/>
      <c r="L148" s="54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3"/>
      <c r="E149" s="80"/>
      <c r="F149" s="54"/>
      <c r="G149" s="3"/>
      <c r="H149" s="3"/>
      <c r="I149" s="3"/>
      <c r="J149" s="3"/>
      <c r="K149" s="3"/>
      <c r="L149" s="54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3"/>
      <c r="E150" s="80"/>
      <c r="F150" s="54"/>
      <c r="G150" s="3"/>
      <c r="H150" s="3"/>
      <c r="I150" s="3"/>
      <c r="J150" s="3"/>
      <c r="K150" s="3"/>
      <c r="L150" s="54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3"/>
      <c r="E151" s="80"/>
      <c r="F151" s="54"/>
      <c r="G151" s="3"/>
      <c r="H151" s="3"/>
      <c r="I151" s="3"/>
      <c r="J151" s="3"/>
      <c r="K151" s="3"/>
      <c r="L151" s="54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3"/>
      <c r="E152" s="80"/>
      <c r="F152" s="54"/>
      <c r="G152" s="3"/>
      <c r="H152" s="3"/>
      <c r="I152" s="3"/>
      <c r="J152" s="3"/>
      <c r="K152" s="3"/>
      <c r="L152" s="54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80"/>
      <c r="F153" s="54"/>
      <c r="G153" s="3"/>
      <c r="H153" s="3"/>
      <c r="I153" s="3"/>
      <c r="J153" s="3"/>
      <c r="K153" s="3"/>
      <c r="L153" s="54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80"/>
      <c r="F154" s="54"/>
      <c r="G154" s="3"/>
      <c r="H154" s="3"/>
      <c r="I154" s="3"/>
      <c r="J154" s="3"/>
      <c r="K154" s="3"/>
      <c r="L154" s="54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80"/>
      <c r="F155" s="54"/>
      <c r="G155" s="3"/>
      <c r="H155" s="3"/>
      <c r="I155" s="3"/>
      <c r="J155" s="3"/>
      <c r="K155" s="3"/>
      <c r="L155" s="54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80"/>
      <c r="F156" s="54"/>
      <c r="G156" s="3"/>
      <c r="H156" s="3"/>
      <c r="I156" s="3"/>
      <c r="J156" s="3"/>
      <c r="K156" s="3"/>
      <c r="L156" s="54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80"/>
      <c r="F157" s="54"/>
      <c r="G157" s="3"/>
      <c r="H157" s="3"/>
      <c r="I157" s="3"/>
      <c r="J157" s="3"/>
      <c r="K157" s="3"/>
      <c r="L157" s="54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80"/>
      <c r="F158" s="54"/>
      <c r="G158" s="3"/>
      <c r="H158" s="3"/>
      <c r="I158" s="3"/>
      <c r="J158" s="3"/>
      <c r="K158" s="3"/>
      <c r="L158" s="54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80"/>
      <c r="F159" s="54"/>
      <c r="G159" s="3"/>
      <c r="H159" s="3"/>
      <c r="I159" s="3"/>
      <c r="J159" s="3"/>
      <c r="K159" s="3"/>
      <c r="L159" s="54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80"/>
      <c r="F160" s="54"/>
      <c r="G160" s="3"/>
      <c r="H160" s="3"/>
      <c r="I160" s="3"/>
      <c r="J160" s="3"/>
      <c r="K160" s="3"/>
      <c r="L160" s="54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80"/>
      <c r="F161" s="54"/>
      <c r="G161" s="3"/>
      <c r="H161" s="3"/>
      <c r="I161" s="3"/>
      <c r="J161" s="3"/>
      <c r="K161" s="3"/>
      <c r="L161" s="54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80"/>
      <c r="F162" s="54"/>
      <c r="G162" s="3"/>
      <c r="H162" s="3"/>
      <c r="I162" s="3"/>
      <c r="J162" s="3"/>
      <c r="K162" s="3"/>
      <c r="L162" s="54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80"/>
      <c r="F163" s="54"/>
      <c r="G163" s="3"/>
      <c r="H163" s="3"/>
      <c r="I163" s="3"/>
      <c r="J163" s="3"/>
      <c r="K163" s="3"/>
      <c r="L163" s="54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80"/>
      <c r="F164" s="54"/>
      <c r="G164" s="3"/>
      <c r="H164" s="3"/>
      <c r="I164" s="3"/>
      <c r="J164" s="3"/>
      <c r="K164" s="3"/>
      <c r="L164" s="54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80"/>
      <c r="F165" s="54"/>
      <c r="G165" s="3"/>
      <c r="H165" s="3"/>
      <c r="I165" s="3"/>
      <c r="J165" s="3"/>
      <c r="K165" s="3"/>
      <c r="L165" s="54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80"/>
      <c r="F166" s="54"/>
      <c r="G166" s="3"/>
      <c r="H166" s="3"/>
      <c r="I166" s="3"/>
      <c r="J166" s="3"/>
      <c r="K166" s="3"/>
      <c r="L166" s="54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80"/>
      <c r="F167" s="54"/>
      <c r="G167" s="3"/>
      <c r="H167" s="3"/>
      <c r="I167" s="3"/>
      <c r="J167" s="3"/>
      <c r="K167" s="3"/>
      <c r="L167" s="54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80"/>
      <c r="F168" s="54"/>
      <c r="G168" s="3"/>
      <c r="H168" s="3"/>
      <c r="I168" s="3"/>
      <c r="J168" s="3"/>
      <c r="K168" s="3"/>
      <c r="L168" s="54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80"/>
      <c r="F169" s="54"/>
      <c r="G169" s="3"/>
      <c r="H169" s="3"/>
      <c r="I169" s="3"/>
      <c r="J169" s="3"/>
      <c r="K169" s="3"/>
      <c r="L169" s="54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80"/>
      <c r="F170" s="54"/>
      <c r="G170" s="3"/>
      <c r="H170" s="3"/>
      <c r="I170" s="3"/>
      <c r="J170" s="3"/>
      <c r="K170" s="3"/>
      <c r="L170" s="54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80"/>
      <c r="F171" s="54"/>
      <c r="G171" s="3"/>
      <c r="H171" s="3"/>
      <c r="I171" s="3"/>
      <c r="J171" s="3"/>
      <c r="K171" s="3"/>
      <c r="L171" s="54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80"/>
      <c r="F172" s="54"/>
      <c r="G172" s="3"/>
      <c r="H172" s="3"/>
      <c r="I172" s="3"/>
      <c r="J172" s="3"/>
      <c r="K172" s="3"/>
      <c r="L172" s="54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80"/>
      <c r="F173" s="54"/>
      <c r="G173" s="3"/>
      <c r="H173" s="3"/>
      <c r="I173" s="3"/>
      <c r="J173" s="3"/>
      <c r="K173" s="3"/>
      <c r="L173" s="54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80"/>
      <c r="F174" s="54"/>
      <c r="G174" s="3"/>
      <c r="H174" s="3"/>
      <c r="I174" s="3"/>
      <c r="J174" s="3"/>
      <c r="K174" s="3"/>
      <c r="L174" s="54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80"/>
      <c r="F175" s="54"/>
      <c r="G175" s="3"/>
      <c r="H175" s="3"/>
      <c r="I175" s="3"/>
      <c r="J175" s="3"/>
      <c r="K175" s="3"/>
      <c r="L175" s="54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80"/>
      <c r="F176" s="54"/>
      <c r="G176" s="3"/>
      <c r="H176" s="3"/>
      <c r="I176" s="3"/>
      <c r="J176" s="3"/>
      <c r="K176" s="3"/>
      <c r="L176" s="54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80"/>
      <c r="F177" s="54"/>
      <c r="G177" s="3"/>
      <c r="H177" s="3"/>
      <c r="I177" s="3"/>
      <c r="J177" s="3"/>
      <c r="K177" s="3"/>
      <c r="L177" s="54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80"/>
      <c r="F178" s="54"/>
      <c r="G178" s="3"/>
      <c r="H178" s="3"/>
      <c r="I178" s="3"/>
      <c r="J178" s="3"/>
      <c r="K178" s="3"/>
      <c r="L178" s="54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80"/>
      <c r="F179" s="54"/>
      <c r="G179" s="3"/>
      <c r="H179" s="3"/>
      <c r="I179" s="3"/>
      <c r="J179" s="3"/>
      <c r="K179" s="3"/>
      <c r="L179" s="54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80"/>
      <c r="F180" s="54"/>
      <c r="G180" s="3"/>
      <c r="H180" s="3"/>
      <c r="I180" s="3"/>
      <c r="J180" s="3"/>
      <c r="K180" s="3"/>
      <c r="L180" s="54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80"/>
      <c r="F181" s="54"/>
      <c r="G181" s="3"/>
      <c r="H181" s="3"/>
      <c r="I181" s="3"/>
      <c r="J181" s="3"/>
      <c r="K181" s="3"/>
      <c r="L181" s="54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80"/>
      <c r="F182" s="54"/>
      <c r="G182" s="3"/>
      <c r="H182" s="3"/>
      <c r="I182" s="3"/>
      <c r="J182" s="3"/>
      <c r="K182" s="3"/>
      <c r="L182" s="54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80"/>
      <c r="F183" s="54"/>
      <c r="G183" s="3"/>
      <c r="H183" s="3"/>
      <c r="I183" s="3"/>
      <c r="J183" s="3"/>
      <c r="K183" s="3"/>
      <c r="L183" s="54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80"/>
      <c r="F184" s="54"/>
      <c r="G184" s="3"/>
      <c r="H184" s="3"/>
      <c r="I184" s="3"/>
      <c r="J184" s="3"/>
      <c r="K184" s="3"/>
      <c r="L184" s="54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80"/>
      <c r="F185" s="54"/>
      <c r="G185" s="3"/>
      <c r="H185" s="3"/>
      <c r="I185" s="3"/>
      <c r="J185" s="3"/>
      <c r="K185" s="3"/>
      <c r="L185" s="54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80"/>
      <c r="F186" s="54"/>
      <c r="G186" s="3"/>
      <c r="H186" s="3"/>
      <c r="I186" s="3"/>
      <c r="J186" s="3"/>
      <c r="K186" s="3"/>
      <c r="L186" s="54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80"/>
      <c r="F187" s="54"/>
      <c r="G187" s="3"/>
      <c r="H187" s="3"/>
      <c r="I187" s="3"/>
      <c r="J187" s="3"/>
      <c r="K187" s="3"/>
      <c r="L187" s="54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80"/>
      <c r="F188" s="54"/>
      <c r="G188" s="3"/>
      <c r="H188" s="3"/>
      <c r="I188" s="3"/>
      <c r="J188" s="3"/>
      <c r="K188" s="3"/>
      <c r="L188" s="54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80"/>
      <c r="F189" s="54"/>
      <c r="G189" s="3"/>
      <c r="H189" s="3"/>
      <c r="I189" s="3"/>
      <c r="J189" s="3"/>
      <c r="K189" s="3"/>
      <c r="L189" s="54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80"/>
      <c r="F190" s="54"/>
      <c r="G190" s="3"/>
      <c r="H190" s="3"/>
      <c r="I190" s="3"/>
      <c r="J190" s="3"/>
      <c r="K190" s="3"/>
      <c r="L190" s="54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80"/>
      <c r="F191" s="54"/>
      <c r="G191" s="3"/>
      <c r="H191" s="3"/>
      <c r="I191" s="3"/>
      <c r="J191" s="3"/>
      <c r="K191" s="3"/>
      <c r="L191" s="54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80"/>
      <c r="F192" s="54"/>
      <c r="G192" s="3"/>
      <c r="H192" s="3"/>
      <c r="I192" s="3"/>
      <c r="J192" s="3"/>
      <c r="K192" s="3"/>
      <c r="L192" s="54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80"/>
      <c r="F193" s="54"/>
      <c r="G193" s="3"/>
      <c r="H193" s="3"/>
      <c r="I193" s="3"/>
      <c r="J193" s="3"/>
      <c r="K193" s="3"/>
      <c r="L193" s="54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80"/>
      <c r="F194" s="54"/>
      <c r="G194" s="3"/>
      <c r="H194" s="3"/>
      <c r="I194" s="3"/>
      <c r="J194" s="3"/>
      <c r="K194" s="3"/>
      <c r="L194" s="54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80"/>
      <c r="F195" s="54"/>
      <c r="G195" s="3"/>
      <c r="H195" s="3"/>
      <c r="I195" s="3"/>
      <c r="J195" s="3"/>
      <c r="K195" s="3"/>
      <c r="L195" s="54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80"/>
      <c r="F196" s="54"/>
      <c r="G196" s="3"/>
      <c r="H196" s="3"/>
      <c r="I196" s="3"/>
      <c r="J196" s="3"/>
      <c r="K196" s="3"/>
      <c r="L196" s="54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80"/>
      <c r="F197" s="54"/>
      <c r="G197" s="3"/>
      <c r="H197" s="3"/>
      <c r="I197" s="3"/>
      <c r="J197" s="3"/>
      <c r="K197" s="3"/>
      <c r="L197" s="54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80"/>
      <c r="F198" s="54"/>
      <c r="G198" s="3"/>
      <c r="H198" s="3"/>
      <c r="I198" s="3"/>
      <c r="J198" s="3"/>
      <c r="K198" s="3"/>
      <c r="L198" s="54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80"/>
      <c r="F199" s="54"/>
      <c r="G199" s="3"/>
      <c r="H199" s="3"/>
      <c r="I199" s="3"/>
      <c r="J199" s="3"/>
      <c r="K199" s="3"/>
      <c r="L199" s="54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80"/>
      <c r="F200" s="54"/>
      <c r="G200" s="3"/>
      <c r="H200" s="3"/>
      <c r="I200" s="3"/>
      <c r="J200" s="3"/>
      <c r="K200" s="3"/>
      <c r="L200" s="54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3"/>
      <c r="B201" s="3"/>
      <c r="C201" s="3"/>
      <c r="D201" s="3"/>
      <c r="E201" s="80"/>
      <c r="F201" s="54"/>
      <c r="G201" s="3"/>
      <c r="H201" s="3"/>
      <c r="I201" s="3"/>
      <c r="J201" s="3"/>
      <c r="K201" s="3"/>
      <c r="L201" s="54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3"/>
      <c r="B202" s="3"/>
      <c r="C202" s="3"/>
      <c r="D202" s="3"/>
      <c r="E202" s="80"/>
      <c r="F202" s="54"/>
      <c r="G202" s="3"/>
      <c r="H202" s="3"/>
      <c r="I202" s="3"/>
      <c r="J202" s="3"/>
      <c r="K202" s="3"/>
      <c r="L202" s="54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3"/>
      <c r="B203" s="3"/>
      <c r="C203" s="3"/>
      <c r="D203" s="3"/>
      <c r="E203" s="80"/>
      <c r="F203" s="54"/>
      <c r="G203" s="3"/>
      <c r="H203" s="3"/>
      <c r="I203" s="3"/>
      <c r="J203" s="3"/>
      <c r="K203" s="3"/>
      <c r="L203" s="54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3"/>
      <c r="B204" s="3"/>
      <c r="C204" s="3"/>
      <c r="D204" s="3"/>
      <c r="E204" s="80"/>
      <c r="F204" s="54"/>
      <c r="G204" s="3"/>
      <c r="H204" s="3"/>
      <c r="I204" s="3"/>
      <c r="J204" s="3"/>
      <c r="K204" s="3"/>
      <c r="L204" s="54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3"/>
      <c r="B205" s="3"/>
      <c r="C205" s="3"/>
      <c r="D205" s="3"/>
      <c r="E205" s="80"/>
      <c r="F205" s="54"/>
      <c r="G205" s="3"/>
      <c r="H205" s="3"/>
      <c r="I205" s="3"/>
      <c r="J205" s="3"/>
      <c r="K205" s="3"/>
      <c r="L205" s="54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80"/>
      <c r="F206" s="54"/>
      <c r="G206" s="3"/>
      <c r="H206" s="3"/>
      <c r="I206" s="3"/>
      <c r="J206" s="3"/>
      <c r="K206" s="3"/>
      <c r="L206" s="54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80"/>
      <c r="F207" s="54"/>
      <c r="G207" s="3"/>
      <c r="H207" s="3"/>
      <c r="I207" s="3"/>
      <c r="J207" s="3"/>
      <c r="K207" s="3"/>
      <c r="L207" s="54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80"/>
      <c r="F208" s="54"/>
      <c r="G208" s="3"/>
      <c r="H208" s="3"/>
      <c r="I208" s="3"/>
      <c r="J208" s="3"/>
      <c r="K208" s="3"/>
      <c r="L208" s="54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80"/>
      <c r="F209" s="54"/>
      <c r="G209" s="3"/>
      <c r="H209" s="3"/>
      <c r="I209" s="3"/>
      <c r="J209" s="3"/>
      <c r="K209" s="3"/>
      <c r="L209" s="54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80"/>
      <c r="F210" s="54"/>
      <c r="G210" s="3"/>
      <c r="H210" s="3"/>
      <c r="I210" s="3"/>
      <c r="J210" s="3"/>
      <c r="K210" s="3"/>
      <c r="L210" s="54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80"/>
      <c r="F211" s="54"/>
      <c r="G211" s="3"/>
      <c r="H211" s="3"/>
      <c r="I211" s="3"/>
      <c r="J211" s="3"/>
      <c r="K211" s="3"/>
      <c r="L211" s="54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80"/>
      <c r="F212" s="54"/>
      <c r="G212" s="3"/>
      <c r="H212" s="3"/>
      <c r="I212" s="3"/>
      <c r="J212" s="3"/>
      <c r="K212" s="3"/>
      <c r="L212" s="54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80"/>
      <c r="F213" s="54"/>
      <c r="G213" s="3"/>
      <c r="H213" s="3"/>
      <c r="I213" s="3"/>
      <c r="J213" s="3"/>
      <c r="K213" s="3"/>
      <c r="L213" s="54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80"/>
      <c r="F214" s="54"/>
      <c r="G214" s="3"/>
      <c r="H214" s="3"/>
      <c r="I214" s="3"/>
      <c r="J214" s="3"/>
      <c r="K214" s="3"/>
      <c r="L214" s="54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80"/>
      <c r="F215" s="54"/>
      <c r="G215" s="3"/>
      <c r="H215" s="3"/>
      <c r="I215" s="3"/>
      <c r="J215" s="3"/>
      <c r="K215" s="3"/>
      <c r="L215" s="54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80"/>
      <c r="F216" s="54"/>
      <c r="G216" s="3"/>
      <c r="H216" s="3"/>
      <c r="I216" s="3"/>
      <c r="J216" s="3"/>
      <c r="K216" s="3"/>
      <c r="L216" s="54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80"/>
      <c r="F217" s="54"/>
      <c r="G217" s="3"/>
      <c r="H217" s="3"/>
      <c r="I217" s="3"/>
      <c r="J217" s="3"/>
      <c r="K217" s="3"/>
      <c r="L217" s="54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80"/>
      <c r="F218" s="54"/>
      <c r="G218" s="3"/>
      <c r="H218" s="3"/>
      <c r="I218" s="3"/>
      <c r="J218" s="3"/>
      <c r="K218" s="3"/>
      <c r="L218" s="54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80"/>
      <c r="F219" s="54"/>
      <c r="G219" s="3"/>
      <c r="H219" s="3"/>
      <c r="I219" s="3"/>
      <c r="J219" s="3"/>
      <c r="K219" s="3"/>
      <c r="L219" s="54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80"/>
      <c r="F220" s="54"/>
      <c r="G220" s="3"/>
      <c r="H220" s="3"/>
      <c r="I220" s="3"/>
      <c r="J220" s="3"/>
      <c r="K220" s="3"/>
      <c r="L220" s="54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80"/>
      <c r="F221" s="54"/>
      <c r="G221" s="3"/>
      <c r="H221" s="3"/>
      <c r="I221" s="3"/>
      <c r="J221" s="3"/>
      <c r="K221" s="3"/>
      <c r="L221" s="54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80"/>
      <c r="F222" s="54"/>
      <c r="G222" s="3"/>
      <c r="H222" s="3"/>
      <c r="I222" s="3"/>
      <c r="J222" s="3"/>
      <c r="K222" s="3"/>
      <c r="L222" s="54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80"/>
      <c r="F223" s="54"/>
      <c r="G223" s="3"/>
      <c r="H223" s="3"/>
      <c r="I223" s="3"/>
      <c r="J223" s="3"/>
      <c r="K223" s="3"/>
      <c r="L223" s="54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80"/>
      <c r="F224" s="54"/>
      <c r="G224" s="3"/>
      <c r="H224" s="3"/>
      <c r="I224" s="3"/>
      <c r="J224" s="3"/>
      <c r="K224" s="3"/>
      <c r="L224" s="54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80"/>
      <c r="F225" s="54"/>
      <c r="G225" s="3"/>
      <c r="H225" s="3"/>
      <c r="I225" s="3"/>
      <c r="J225" s="3"/>
      <c r="K225" s="3"/>
      <c r="L225" s="54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80"/>
      <c r="F226" s="54"/>
      <c r="G226" s="3"/>
      <c r="H226" s="3"/>
      <c r="I226" s="3"/>
      <c r="J226" s="3"/>
      <c r="K226" s="3"/>
      <c r="L226" s="54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80"/>
      <c r="F227" s="54"/>
      <c r="G227" s="3"/>
      <c r="H227" s="3"/>
      <c r="I227" s="3"/>
      <c r="J227" s="3"/>
      <c r="K227" s="3"/>
      <c r="L227" s="54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80"/>
      <c r="F228" s="54"/>
      <c r="G228" s="3"/>
      <c r="H228" s="3"/>
      <c r="I228" s="3"/>
      <c r="J228" s="3"/>
      <c r="K228" s="3"/>
      <c r="L228" s="54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80"/>
      <c r="F229" s="54"/>
      <c r="G229" s="3"/>
      <c r="H229" s="3"/>
      <c r="I229" s="3"/>
      <c r="J229" s="3"/>
      <c r="K229" s="3"/>
      <c r="L229" s="54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80"/>
      <c r="F230" s="54"/>
      <c r="G230" s="3"/>
      <c r="H230" s="3"/>
      <c r="I230" s="3"/>
      <c r="J230" s="3"/>
      <c r="K230" s="3"/>
      <c r="L230" s="54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80"/>
      <c r="F231" s="54"/>
      <c r="G231" s="3"/>
      <c r="H231" s="3"/>
      <c r="I231" s="3"/>
      <c r="J231" s="3"/>
      <c r="K231" s="3"/>
      <c r="L231" s="54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80"/>
      <c r="F232" s="54"/>
      <c r="G232" s="3"/>
      <c r="H232" s="3"/>
      <c r="I232" s="3"/>
      <c r="J232" s="3"/>
      <c r="K232" s="3"/>
      <c r="L232" s="54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80"/>
      <c r="F233" s="54"/>
      <c r="G233" s="3"/>
      <c r="H233" s="3"/>
      <c r="I233" s="3"/>
      <c r="J233" s="3"/>
      <c r="K233" s="3"/>
      <c r="L233" s="54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80"/>
      <c r="F234" s="54"/>
      <c r="G234" s="3"/>
      <c r="H234" s="3"/>
      <c r="I234" s="3"/>
      <c r="J234" s="3"/>
      <c r="K234" s="3"/>
      <c r="L234" s="54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80"/>
      <c r="F235" s="54"/>
      <c r="G235" s="3"/>
      <c r="H235" s="3"/>
      <c r="I235" s="3"/>
      <c r="J235" s="3"/>
      <c r="K235" s="3"/>
      <c r="L235" s="54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80"/>
      <c r="F236" s="54"/>
      <c r="G236" s="3"/>
      <c r="H236" s="3"/>
      <c r="I236" s="3"/>
      <c r="J236" s="3"/>
      <c r="K236" s="3"/>
      <c r="L236" s="54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80"/>
      <c r="F237" s="54"/>
      <c r="G237" s="3"/>
      <c r="H237" s="3"/>
      <c r="I237" s="3"/>
      <c r="J237" s="3"/>
      <c r="K237" s="3"/>
      <c r="L237" s="54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80"/>
      <c r="F238" s="54"/>
      <c r="G238" s="3"/>
      <c r="H238" s="3"/>
      <c r="I238" s="3"/>
      <c r="J238" s="3"/>
      <c r="K238" s="3"/>
      <c r="L238" s="54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80"/>
      <c r="F239" s="54"/>
      <c r="G239" s="3"/>
      <c r="H239" s="3"/>
      <c r="I239" s="3"/>
      <c r="J239" s="3"/>
      <c r="K239" s="3"/>
      <c r="L239" s="54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80"/>
      <c r="F240" s="54"/>
      <c r="G240" s="3"/>
      <c r="H240" s="3"/>
      <c r="I240" s="3"/>
      <c r="J240" s="3"/>
      <c r="K240" s="3"/>
      <c r="L240" s="54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80"/>
      <c r="F241" s="54"/>
      <c r="G241" s="3"/>
      <c r="H241" s="3"/>
      <c r="I241" s="3"/>
      <c r="J241" s="3"/>
      <c r="K241" s="3"/>
      <c r="L241" s="54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80"/>
      <c r="F242" s="54"/>
      <c r="G242" s="3"/>
      <c r="H242" s="3"/>
      <c r="I242" s="3"/>
      <c r="J242" s="3"/>
      <c r="K242" s="3"/>
      <c r="L242" s="54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80"/>
      <c r="F243" s="54"/>
      <c r="G243" s="3"/>
      <c r="H243" s="3"/>
      <c r="I243" s="3"/>
      <c r="J243" s="3"/>
      <c r="K243" s="3"/>
      <c r="L243" s="54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80"/>
      <c r="F244" s="54"/>
      <c r="G244" s="3"/>
      <c r="H244" s="3"/>
      <c r="I244" s="3"/>
      <c r="J244" s="3"/>
      <c r="K244" s="3"/>
      <c r="L244" s="54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80"/>
      <c r="F245" s="54"/>
      <c r="G245" s="3"/>
      <c r="H245" s="3"/>
      <c r="I245" s="3"/>
      <c r="J245" s="3"/>
      <c r="K245" s="3"/>
      <c r="L245" s="54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80"/>
      <c r="F246" s="54"/>
      <c r="G246" s="3"/>
      <c r="H246" s="3"/>
      <c r="I246" s="3"/>
      <c r="J246" s="3"/>
      <c r="K246" s="3"/>
      <c r="L246" s="54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80"/>
      <c r="F247" s="54"/>
      <c r="G247" s="3"/>
      <c r="H247" s="3"/>
      <c r="I247" s="3"/>
      <c r="J247" s="3"/>
      <c r="K247" s="3"/>
      <c r="L247" s="54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80"/>
      <c r="F248" s="54"/>
      <c r="G248" s="3"/>
      <c r="H248" s="3"/>
      <c r="I248" s="3"/>
      <c r="J248" s="3"/>
      <c r="K248" s="3"/>
      <c r="L248" s="54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80"/>
      <c r="F249" s="54"/>
      <c r="G249" s="3"/>
      <c r="H249" s="3"/>
      <c r="I249" s="3"/>
      <c r="J249" s="3"/>
      <c r="K249" s="3"/>
      <c r="L249" s="54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80"/>
      <c r="F250" s="54"/>
      <c r="G250" s="3"/>
      <c r="H250" s="3"/>
      <c r="I250" s="3"/>
      <c r="J250" s="3"/>
      <c r="K250" s="3"/>
      <c r="L250" s="54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80"/>
      <c r="F251" s="54"/>
      <c r="G251" s="3"/>
      <c r="H251" s="3"/>
      <c r="I251" s="3"/>
      <c r="J251" s="3"/>
      <c r="K251" s="3"/>
      <c r="L251" s="54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80"/>
      <c r="F252" s="54"/>
      <c r="G252" s="3"/>
      <c r="H252" s="3"/>
      <c r="I252" s="3"/>
      <c r="J252" s="3"/>
      <c r="K252" s="3"/>
      <c r="L252" s="54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80"/>
      <c r="F253" s="54"/>
      <c r="G253" s="3"/>
      <c r="H253" s="3"/>
      <c r="I253" s="3"/>
      <c r="J253" s="3"/>
      <c r="K253" s="3"/>
      <c r="L253" s="54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80"/>
      <c r="F254" s="54"/>
      <c r="G254" s="3"/>
      <c r="H254" s="3"/>
      <c r="I254" s="3"/>
      <c r="J254" s="3"/>
      <c r="K254" s="3"/>
      <c r="L254" s="54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80"/>
      <c r="F255" s="54"/>
      <c r="G255" s="3"/>
      <c r="H255" s="3"/>
      <c r="I255" s="3"/>
      <c r="J255" s="3"/>
      <c r="K255" s="3"/>
      <c r="L255" s="54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80"/>
      <c r="F256" s="54"/>
      <c r="G256" s="3"/>
      <c r="H256" s="3"/>
      <c r="I256" s="3"/>
      <c r="J256" s="3"/>
      <c r="K256" s="3"/>
      <c r="L256" s="54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80"/>
      <c r="F257" s="54"/>
      <c r="G257" s="3"/>
      <c r="H257" s="3"/>
      <c r="I257" s="3"/>
      <c r="J257" s="3"/>
      <c r="K257" s="3"/>
      <c r="L257" s="54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80"/>
      <c r="F258" s="54"/>
      <c r="G258" s="3"/>
      <c r="H258" s="3"/>
      <c r="I258" s="3"/>
      <c r="J258" s="3"/>
      <c r="K258" s="3"/>
      <c r="L258" s="54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80"/>
      <c r="F259" s="54"/>
      <c r="G259" s="3"/>
      <c r="H259" s="3"/>
      <c r="I259" s="3"/>
      <c r="J259" s="3"/>
      <c r="K259" s="3"/>
      <c r="L259" s="54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80"/>
      <c r="F260" s="54"/>
      <c r="G260" s="3"/>
      <c r="H260" s="3"/>
      <c r="I260" s="3"/>
      <c r="J260" s="3"/>
      <c r="K260" s="3"/>
      <c r="L260" s="54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80"/>
      <c r="F261" s="54"/>
      <c r="G261" s="3"/>
      <c r="H261" s="3"/>
      <c r="I261" s="3"/>
      <c r="J261" s="3"/>
      <c r="K261" s="3"/>
      <c r="L261" s="54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80"/>
      <c r="F262" s="54"/>
      <c r="G262" s="3"/>
      <c r="H262" s="3"/>
      <c r="I262" s="3"/>
      <c r="J262" s="3"/>
      <c r="K262" s="3"/>
      <c r="L262" s="54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80"/>
      <c r="F263" s="54"/>
      <c r="G263" s="3"/>
      <c r="H263" s="3"/>
      <c r="I263" s="3"/>
      <c r="J263" s="3"/>
      <c r="K263" s="3"/>
      <c r="L263" s="54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80"/>
      <c r="F264" s="54"/>
      <c r="G264" s="3"/>
      <c r="H264" s="3"/>
      <c r="I264" s="3"/>
      <c r="J264" s="3"/>
      <c r="K264" s="3"/>
      <c r="L264" s="54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80"/>
      <c r="F265" s="54"/>
      <c r="G265" s="3"/>
      <c r="H265" s="3"/>
      <c r="I265" s="3"/>
      <c r="J265" s="3"/>
      <c r="K265" s="3"/>
      <c r="L265" s="54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80"/>
      <c r="F266" s="54"/>
      <c r="G266" s="3"/>
      <c r="H266" s="3"/>
      <c r="I266" s="3"/>
      <c r="J266" s="3"/>
      <c r="K266" s="3"/>
      <c r="L266" s="54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80"/>
      <c r="F267" s="54"/>
      <c r="G267" s="3"/>
      <c r="H267" s="3"/>
      <c r="I267" s="3"/>
      <c r="J267" s="3"/>
      <c r="K267" s="3"/>
      <c r="L267" s="54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80"/>
      <c r="F268" s="54"/>
      <c r="G268" s="3"/>
      <c r="H268" s="3"/>
      <c r="I268" s="3"/>
      <c r="J268" s="3"/>
      <c r="K268" s="3"/>
      <c r="L268" s="54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80"/>
      <c r="F269" s="54"/>
      <c r="G269" s="3"/>
      <c r="H269" s="3"/>
      <c r="I269" s="3"/>
      <c r="J269" s="3"/>
      <c r="K269" s="3"/>
      <c r="L269" s="54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80"/>
      <c r="F270" s="54"/>
      <c r="G270" s="3"/>
      <c r="H270" s="3"/>
      <c r="I270" s="3"/>
      <c r="J270" s="3"/>
      <c r="K270" s="3"/>
      <c r="L270" s="54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80"/>
      <c r="F271" s="54"/>
      <c r="G271" s="3"/>
      <c r="H271" s="3"/>
      <c r="I271" s="3"/>
      <c r="J271" s="3"/>
      <c r="K271" s="3"/>
      <c r="L271" s="54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80"/>
      <c r="F272" s="54"/>
      <c r="G272" s="3"/>
      <c r="H272" s="3"/>
      <c r="I272" s="3"/>
      <c r="J272" s="3"/>
      <c r="K272" s="3"/>
      <c r="L272" s="54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80"/>
      <c r="F273" s="54"/>
      <c r="G273" s="3"/>
      <c r="H273" s="3"/>
      <c r="I273" s="3"/>
      <c r="J273" s="3"/>
      <c r="K273" s="3"/>
      <c r="L273" s="54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80"/>
      <c r="F274" s="54"/>
      <c r="G274" s="3"/>
      <c r="H274" s="3"/>
      <c r="I274" s="3"/>
      <c r="J274" s="3"/>
      <c r="K274" s="3"/>
      <c r="L274" s="54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80"/>
      <c r="F275" s="54"/>
      <c r="G275" s="3"/>
      <c r="H275" s="3"/>
      <c r="I275" s="3"/>
      <c r="J275" s="3"/>
      <c r="K275" s="3"/>
      <c r="L275" s="54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80"/>
      <c r="F276" s="54"/>
      <c r="G276" s="3"/>
      <c r="H276" s="3"/>
      <c r="I276" s="3"/>
      <c r="J276" s="3"/>
      <c r="K276" s="3"/>
      <c r="L276" s="54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80"/>
      <c r="F277" s="54"/>
      <c r="G277" s="3"/>
      <c r="H277" s="3"/>
      <c r="I277" s="3"/>
      <c r="J277" s="3"/>
      <c r="K277" s="3"/>
      <c r="L277" s="54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80"/>
      <c r="F278" s="54"/>
      <c r="G278" s="3"/>
      <c r="H278" s="3"/>
      <c r="I278" s="3"/>
      <c r="J278" s="3"/>
      <c r="K278" s="3"/>
      <c r="L278" s="54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80"/>
      <c r="F279" s="54"/>
      <c r="G279" s="3"/>
      <c r="H279" s="3"/>
      <c r="I279" s="3"/>
      <c r="J279" s="3"/>
      <c r="K279" s="3"/>
      <c r="L279" s="54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80"/>
      <c r="F280" s="54"/>
      <c r="G280" s="3"/>
      <c r="H280" s="3"/>
      <c r="I280" s="3"/>
      <c r="J280" s="3"/>
      <c r="K280" s="3"/>
      <c r="L280" s="54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80"/>
      <c r="F281" s="54"/>
      <c r="G281" s="3"/>
      <c r="H281" s="3"/>
      <c r="I281" s="3"/>
      <c r="J281" s="3"/>
      <c r="K281" s="3"/>
      <c r="L281" s="54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80"/>
      <c r="F282" s="54"/>
      <c r="G282" s="3"/>
      <c r="H282" s="3"/>
      <c r="I282" s="3"/>
      <c r="J282" s="3"/>
      <c r="K282" s="3"/>
      <c r="L282" s="54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80"/>
      <c r="F283" s="54"/>
      <c r="G283" s="3"/>
      <c r="H283" s="3"/>
      <c r="I283" s="3"/>
      <c r="J283" s="3"/>
      <c r="K283" s="3"/>
      <c r="L283" s="54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80"/>
      <c r="F284" s="54"/>
      <c r="G284" s="3"/>
      <c r="H284" s="3"/>
      <c r="I284" s="3"/>
      <c r="J284" s="3"/>
      <c r="K284" s="3"/>
      <c r="L284" s="54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80"/>
      <c r="F285" s="54"/>
      <c r="G285" s="3"/>
      <c r="H285" s="3"/>
      <c r="I285" s="3"/>
      <c r="J285" s="3"/>
      <c r="K285" s="3"/>
      <c r="L285" s="54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80"/>
      <c r="F286" s="54"/>
      <c r="G286" s="3"/>
      <c r="H286" s="3"/>
      <c r="I286" s="3"/>
      <c r="J286" s="3"/>
      <c r="K286" s="3"/>
      <c r="L286" s="54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80"/>
      <c r="F287" s="54"/>
      <c r="G287" s="3"/>
      <c r="H287" s="3"/>
      <c r="I287" s="3"/>
      <c r="J287" s="3"/>
      <c r="K287" s="3"/>
      <c r="L287" s="54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80"/>
      <c r="F288" s="54"/>
      <c r="G288" s="3"/>
      <c r="H288" s="3"/>
      <c r="I288" s="3"/>
      <c r="J288" s="3"/>
      <c r="K288" s="3"/>
      <c r="L288" s="54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80"/>
      <c r="F289" s="54"/>
      <c r="G289" s="3"/>
      <c r="H289" s="3"/>
      <c r="I289" s="3"/>
      <c r="J289" s="3"/>
      <c r="K289" s="3"/>
      <c r="L289" s="54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80"/>
      <c r="F290" s="54"/>
      <c r="G290" s="3"/>
      <c r="H290" s="3"/>
      <c r="I290" s="3"/>
      <c r="J290" s="3"/>
      <c r="K290" s="3"/>
      <c r="L290" s="54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80"/>
      <c r="F291" s="54"/>
      <c r="G291" s="3"/>
      <c r="H291" s="3"/>
      <c r="I291" s="3"/>
      <c r="J291" s="3"/>
      <c r="K291" s="3"/>
      <c r="L291" s="54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80"/>
      <c r="F292" s="54"/>
      <c r="G292" s="3"/>
      <c r="H292" s="3"/>
      <c r="I292" s="3"/>
      <c r="J292" s="3"/>
      <c r="K292" s="3"/>
      <c r="L292" s="54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80"/>
      <c r="F293" s="54"/>
      <c r="G293" s="3"/>
      <c r="H293" s="3"/>
      <c r="I293" s="3"/>
      <c r="J293" s="3"/>
      <c r="K293" s="3"/>
      <c r="L293" s="54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80"/>
      <c r="F294" s="54"/>
      <c r="G294" s="3"/>
      <c r="H294" s="3"/>
      <c r="I294" s="3"/>
      <c r="J294" s="3"/>
      <c r="K294" s="3"/>
      <c r="L294" s="54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80"/>
      <c r="F295" s="54"/>
      <c r="G295" s="3"/>
      <c r="H295" s="3"/>
      <c r="I295" s="3"/>
      <c r="J295" s="3"/>
      <c r="K295" s="3"/>
      <c r="L295" s="54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80"/>
      <c r="F296" s="54"/>
      <c r="G296" s="3"/>
      <c r="H296" s="3"/>
      <c r="I296" s="3"/>
      <c r="J296" s="3"/>
      <c r="K296" s="3"/>
      <c r="L296" s="54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80"/>
      <c r="F297" s="54"/>
      <c r="G297" s="3"/>
      <c r="H297" s="3"/>
      <c r="I297" s="3"/>
      <c r="J297" s="3"/>
      <c r="K297" s="3"/>
      <c r="L297" s="54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80"/>
      <c r="F298" s="54"/>
      <c r="G298" s="3"/>
      <c r="H298" s="3"/>
      <c r="I298" s="3"/>
      <c r="J298" s="3"/>
      <c r="K298" s="3"/>
      <c r="L298" s="54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80"/>
      <c r="F299" s="54"/>
      <c r="G299" s="3"/>
      <c r="H299" s="3"/>
      <c r="I299" s="3"/>
      <c r="J299" s="3"/>
      <c r="K299" s="3"/>
      <c r="L299" s="54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80"/>
      <c r="F300" s="54"/>
      <c r="G300" s="3"/>
      <c r="H300" s="3"/>
      <c r="I300" s="3"/>
      <c r="J300" s="3"/>
      <c r="K300" s="3"/>
      <c r="L300" s="54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80"/>
      <c r="F301" s="54"/>
      <c r="G301" s="3"/>
      <c r="H301" s="3"/>
      <c r="I301" s="3"/>
      <c r="J301" s="3"/>
      <c r="K301" s="3"/>
      <c r="L301" s="54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80"/>
      <c r="F302" s="54"/>
      <c r="G302" s="3"/>
      <c r="H302" s="3"/>
      <c r="I302" s="3"/>
      <c r="J302" s="3"/>
      <c r="K302" s="3"/>
      <c r="L302" s="54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80"/>
      <c r="F303" s="54"/>
      <c r="G303" s="3"/>
      <c r="H303" s="3"/>
      <c r="I303" s="3"/>
      <c r="J303" s="3"/>
      <c r="K303" s="3"/>
      <c r="L303" s="54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80"/>
      <c r="F304" s="54"/>
      <c r="G304" s="3"/>
      <c r="H304" s="3"/>
      <c r="I304" s="3"/>
      <c r="J304" s="3"/>
      <c r="K304" s="3"/>
      <c r="L304" s="54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80"/>
      <c r="F305" s="54"/>
      <c r="G305" s="3"/>
      <c r="H305" s="3"/>
      <c r="I305" s="3"/>
      <c r="J305" s="3"/>
      <c r="K305" s="3"/>
      <c r="L305" s="54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80"/>
      <c r="F306" s="54"/>
      <c r="G306" s="3"/>
      <c r="H306" s="3"/>
      <c r="I306" s="3"/>
      <c r="J306" s="3"/>
      <c r="K306" s="3"/>
      <c r="L306" s="54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80"/>
      <c r="F307" s="54"/>
      <c r="G307" s="3"/>
      <c r="H307" s="3"/>
      <c r="I307" s="3"/>
      <c r="J307" s="3"/>
      <c r="K307" s="3"/>
      <c r="L307" s="54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80"/>
      <c r="F308" s="54"/>
      <c r="G308" s="3"/>
      <c r="H308" s="3"/>
      <c r="I308" s="3"/>
      <c r="J308" s="3"/>
      <c r="K308" s="3"/>
      <c r="L308" s="54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80"/>
      <c r="F309" s="54"/>
      <c r="G309" s="3"/>
      <c r="H309" s="3"/>
      <c r="I309" s="3"/>
      <c r="J309" s="3"/>
      <c r="K309" s="3"/>
      <c r="L309" s="54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80"/>
      <c r="F310" s="54"/>
      <c r="G310" s="3"/>
      <c r="H310" s="3"/>
      <c r="I310" s="3"/>
      <c r="J310" s="3"/>
      <c r="K310" s="3"/>
      <c r="L310" s="54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80"/>
      <c r="F311" s="54"/>
      <c r="G311" s="3"/>
      <c r="H311" s="3"/>
      <c r="I311" s="3"/>
      <c r="J311" s="3"/>
      <c r="K311" s="3"/>
      <c r="L311" s="54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80"/>
      <c r="F312" s="54"/>
      <c r="G312" s="3"/>
      <c r="H312" s="3"/>
      <c r="I312" s="3"/>
      <c r="J312" s="3"/>
      <c r="K312" s="3"/>
      <c r="L312" s="54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80"/>
      <c r="F313" s="54"/>
      <c r="G313" s="3"/>
      <c r="H313" s="3"/>
      <c r="I313" s="3"/>
      <c r="J313" s="3"/>
      <c r="K313" s="3"/>
      <c r="L313" s="54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80"/>
      <c r="F314" s="54"/>
      <c r="G314" s="3"/>
      <c r="H314" s="3"/>
      <c r="I314" s="3"/>
      <c r="J314" s="3"/>
      <c r="K314" s="3"/>
      <c r="L314" s="54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80"/>
      <c r="F315" s="54"/>
      <c r="G315" s="3"/>
      <c r="H315" s="3"/>
      <c r="I315" s="3"/>
      <c r="J315" s="3"/>
      <c r="K315" s="3"/>
      <c r="L315" s="54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80"/>
      <c r="F316" s="54"/>
      <c r="G316" s="3"/>
      <c r="H316" s="3"/>
      <c r="I316" s="3"/>
      <c r="J316" s="3"/>
      <c r="K316" s="3"/>
      <c r="L316" s="54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80"/>
      <c r="F317" s="54"/>
      <c r="G317" s="3"/>
      <c r="H317" s="3"/>
      <c r="I317" s="3"/>
      <c r="J317" s="3"/>
      <c r="K317" s="3"/>
      <c r="L317" s="54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80"/>
      <c r="F318" s="54"/>
      <c r="G318" s="3"/>
      <c r="H318" s="3"/>
      <c r="I318" s="3"/>
      <c r="J318" s="3"/>
      <c r="K318" s="3"/>
      <c r="L318" s="54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80"/>
      <c r="F319" s="54"/>
      <c r="G319" s="3"/>
      <c r="H319" s="3"/>
      <c r="I319" s="3"/>
      <c r="J319" s="3"/>
      <c r="K319" s="3"/>
      <c r="L319" s="54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80"/>
      <c r="F320" s="54"/>
      <c r="G320" s="3"/>
      <c r="H320" s="3"/>
      <c r="I320" s="3"/>
      <c r="J320" s="3"/>
      <c r="K320" s="3"/>
      <c r="L320" s="54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80"/>
      <c r="F321" s="54"/>
      <c r="G321" s="3"/>
      <c r="H321" s="3"/>
      <c r="I321" s="3"/>
      <c r="J321" s="3"/>
      <c r="K321" s="3"/>
      <c r="L321" s="54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80"/>
      <c r="F322" s="54"/>
      <c r="G322" s="3"/>
      <c r="H322" s="3"/>
      <c r="I322" s="3"/>
      <c r="J322" s="3"/>
      <c r="K322" s="3"/>
      <c r="L322" s="54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80"/>
      <c r="F323" s="54"/>
      <c r="G323" s="3"/>
      <c r="H323" s="3"/>
      <c r="I323" s="3"/>
      <c r="J323" s="3"/>
      <c r="K323" s="3"/>
      <c r="L323" s="54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80"/>
      <c r="F324" s="54"/>
      <c r="G324" s="3"/>
      <c r="H324" s="3"/>
      <c r="I324" s="3"/>
      <c r="J324" s="3"/>
      <c r="K324" s="3"/>
      <c r="L324" s="54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80"/>
      <c r="F325" s="54"/>
      <c r="G325" s="3"/>
      <c r="H325" s="3"/>
      <c r="I325" s="3"/>
      <c r="J325" s="3"/>
      <c r="K325" s="3"/>
      <c r="L325" s="54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80"/>
      <c r="F326" s="54"/>
      <c r="G326" s="3"/>
      <c r="H326" s="3"/>
      <c r="I326" s="3"/>
      <c r="J326" s="3"/>
      <c r="K326" s="3"/>
      <c r="L326" s="54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80"/>
      <c r="F327" s="54"/>
      <c r="G327" s="3"/>
      <c r="H327" s="3"/>
      <c r="I327" s="3"/>
      <c r="J327" s="3"/>
      <c r="K327" s="3"/>
      <c r="L327" s="54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80"/>
      <c r="F328" s="54"/>
      <c r="G328" s="3"/>
      <c r="H328" s="3"/>
      <c r="I328" s="3"/>
      <c r="J328" s="3"/>
      <c r="K328" s="3"/>
      <c r="L328" s="54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80"/>
      <c r="F329" s="54"/>
      <c r="G329" s="3"/>
      <c r="H329" s="3"/>
      <c r="I329" s="3"/>
      <c r="J329" s="3"/>
      <c r="K329" s="3"/>
      <c r="L329" s="54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80"/>
      <c r="F330" s="54"/>
      <c r="G330" s="3"/>
      <c r="H330" s="3"/>
      <c r="I330" s="3"/>
      <c r="J330" s="3"/>
      <c r="K330" s="3"/>
      <c r="L330" s="54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80"/>
      <c r="F331" s="54"/>
      <c r="G331" s="3"/>
      <c r="H331" s="3"/>
      <c r="I331" s="3"/>
      <c r="J331" s="3"/>
      <c r="K331" s="3"/>
      <c r="L331" s="54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80"/>
      <c r="F332" s="54"/>
      <c r="G332" s="3"/>
      <c r="H332" s="3"/>
      <c r="I332" s="3"/>
      <c r="J332" s="3"/>
      <c r="K332" s="3"/>
      <c r="L332" s="54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80"/>
      <c r="F333" s="54"/>
      <c r="G333" s="3"/>
      <c r="H333" s="3"/>
      <c r="I333" s="3"/>
      <c r="J333" s="3"/>
      <c r="K333" s="3"/>
      <c r="L333" s="54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80"/>
      <c r="F334" s="54"/>
      <c r="G334" s="3"/>
      <c r="H334" s="3"/>
      <c r="I334" s="3"/>
      <c r="J334" s="3"/>
      <c r="K334" s="3"/>
      <c r="L334" s="54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80"/>
      <c r="F335" s="54"/>
      <c r="G335" s="3"/>
      <c r="H335" s="3"/>
      <c r="I335" s="3"/>
      <c r="J335" s="3"/>
      <c r="K335" s="3"/>
      <c r="L335" s="54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80"/>
      <c r="F336" s="54"/>
      <c r="G336" s="3"/>
      <c r="H336" s="3"/>
      <c r="I336" s="3"/>
      <c r="J336" s="3"/>
      <c r="K336" s="3"/>
      <c r="L336" s="54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80"/>
      <c r="F337" s="54"/>
      <c r="G337" s="3"/>
      <c r="H337" s="3"/>
      <c r="I337" s="3"/>
      <c r="J337" s="3"/>
      <c r="K337" s="3"/>
      <c r="L337" s="54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80"/>
      <c r="F338" s="54"/>
      <c r="G338" s="3"/>
      <c r="H338" s="3"/>
      <c r="I338" s="3"/>
      <c r="J338" s="3"/>
      <c r="K338" s="3"/>
      <c r="L338" s="54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80"/>
      <c r="F339" s="54"/>
      <c r="G339" s="3"/>
      <c r="H339" s="3"/>
      <c r="I339" s="3"/>
      <c r="J339" s="3"/>
      <c r="K339" s="3"/>
      <c r="L339" s="54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80"/>
      <c r="F340" s="54"/>
      <c r="G340" s="3"/>
      <c r="H340" s="3"/>
      <c r="I340" s="3"/>
      <c r="J340" s="3"/>
      <c r="K340" s="3"/>
      <c r="L340" s="54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80"/>
      <c r="F341" s="54"/>
      <c r="G341" s="3"/>
      <c r="H341" s="3"/>
      <c r="I341" s="3"/>
      <c r="J341" s="3"/>
      <c r="K341" s="3"/>
      <c r="L341" s="54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80"/>
      <c r="F342" s="54"/>
      <c r="G342" s="3"/>
      <c r="H342" s="3"/>
      <c r="I342" s="3"/>
      <c r="J342" s="3"/>
      <c r="K342" s="3"/>
      <c r="L342" s="54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80"/>
      <c r="F343" s="54"/>
      <c r="G343" s="3"/>
      <c r="H343" s="3"/>
      <c r="I343" s="3"/>
      <c r="J343" s="3"/>
      <c r="K343" s="3"/>
      <c r="L343" s="54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80"/>
      <c r="F344" s="54"/>
      <c r="G344" s="3"/>
      <c r="H344" s="3"/>
      <c r="I344" s="3"/>
      <c r="J344" s="3"/>
      <c r="K344" s="3"/>
      <c r="L344" s="54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80"/>
      <c r="F345" s="54"/>
      <c r="G345" s="3"/>
      <c r="H345" s="3"/>
      <c r="I345" s="3"/>
      <c r="J345" s="3"/>
      <c r="K345" s="3"/>
      <c r="L345" s="54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80"/>
      <c r="F346" s="54"/>
      <c r="G346" s="3"/>
      <c r="H346" s="3"/>
      <c r="I346" s="3"/>
      <c r="J346" s="3"/>
      <c r="K346" s="3"/>
      <c r="L346" s="54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80"/>
      <c r="F347" s="54"/>
      <c r="G347" s="3"/>
      <c r="H347" s="3"/>
      <c r="I347" s="3"/>
      <c r="J347" s="3"/>
      <c r="K347" s="3"/>
      <c r="L347" s="54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80"/>
      <c r="F348" s="54"/>
      <c r="G348" s="3"/>
      <c r="H348" s="3"/>
      <c r="I348" s="3"/>
      <c r="J348" s="3"/>
      <c r="K348" s="3"/>
      <c r="L348" s="54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80"/>
      <c r="F349" s="54"/>
      <c r="G349" s="3"/>
      <c r="H349" s="3"/>
      <c r="I349" s="3"/>
      <c r="J349" s="3"/>
      <c r="K349" s="3"/>
      <c r="L349" s="54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80"/>
      <c r="F350" s="54"/>
      <c r="G350" s="3"/>
      <c r="H350" s="3"/>
      <c r="I350" s="3"/>
      <c r="J350" s="3"/>
      <c r="K350" s="3"/>
      <c r="L350" s="54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80"/>
      <c r="F351" s="54"/>
      <c r="G351" s="3"/>
      <c r="H351" s="3"/>
      <c r="I351" s="3"/>
      <c r="J351" s="3"/>
      <c r="K351" s="3"/>
      <c r="L351" s="54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80"/>
      <c r="F352" s="54"/>
      <c r="G352" s="3"/>
      <c r="H352" s="3"/>
      <c r="I352" s="3"/>
      <c r="J352" s="3"/>
      <c r="K352" s="3"/>
      <c r="L352" s="54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80"/>
      <c r="F353" s="54"/>
      <c r="G353" s="3"/>
      <c r="H353" s="3"/>
      <c r="I353" s="3"/>
      <c r="J353" s="3"/>
      <c r="K353" s="3"/>
      <c r="L353" s="54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80"/>
      <c r="F354" s="54"/>
      <c r="G354" s="3"/>
      <c r="H354" s="3"/>
      <c r="I354" s="3"/>
      <c r="J354" s="3"/>
      <c r="K354" s="3"/>
      <c r="L354" s="54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80"/>
      <c r="F355" s="54"/>
      <c r="G355" s="3"/>
      <c r="H355" s="3"/>
      <c r="I355" s="3"/>
      <c r="J355" s="3"/>
      <c r="K355" s="3"/>
      <c r="L355" s="54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80"/>
      <c r="F356" s="54"/>
      <c r="G356" s="3"/>
      <c r="H356" s="3"/>
      <c r="I356" s="3"/>
      <c r="J356" s="3"/>
      <c r="K356" s="3"/>
      <c r="L356" s="54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80"/>
      <c r="F357" s="54"/>
      <c r="G357" s="3"/>
      <c r="H357" s="3"/>
      <c r="I357" s="3"/>
      <c r="J357" s="3"/>
      <c r="K357" s="3"/>
      <c r="L357" s="54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80"/>
      <c r="F358" s="54"/>
      <c r="G358" s="3"/>
      <c r="H358" s="3"/>
      <c r="I358" s="3"/>
      <c r="J358" s="3"/>
      <c r="K358" s="3"/>
      <c r="L358" s="54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80"/>
      <c r="F359" s="54"/>
      <c r="G359" s="3"/>
      <c r="H359" s="3"/>
      <c r="I359" s="3"/>
      <c r="J359" s="3"/>
      <c r="K359" s="3"/>
      <c r="L359" s="54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80"/>
      <c r="F360" s="54"/>
      <c r="G360" s="3"/>
      <c r="H360" s="3"/>
      <c r="I360" s="3"/>
      <c r="J360" s="3"/>
      <c r="K360" s="3"/>
      <c r="L360" s="54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80"/>
      <c r="F361" s="54"/>
      <c r="G361" s="3"/>
      <c r="H361" s="3"/>
      <c r="I361" s="3"/>
      <c r="J361" s="3"/>
      <c r="K361" s="3"/>
      <c r="L361" s="54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80"/>
      <c r="F362" s="54"/>
      <c r="G362" s="3"/>
      <c r="H362" s="3"/>
      <c r="I362" s="3"/>
      <c r="J362" s="3"/>
      <c r="K362" s="3"/>
      <c r="L362" s="54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80"/>
      <c r="F363" s="54"/>
      <c r="G363" s="3"/>
      <c r="H363" s="3"/>
      <c r="I363" s="3"/>
      <c r="J363" s="3"/>
      <c r="K363" s="3"/>
      <c r="L363" s="54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80"/>
      <c r="F364" s="54"/>
      <c r="G364" s="3"/>
      <c r="H364" s="3"/>
      <c r="I364" s="3"/>
      <c r="J364" s="3"/>
      <c r="K364" s="3"/>
      <c r="L364" s="54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80"/>
      <c r="F365" s="54"/>
      <c r="G365" s="3"/>
      <c r="H365" s="3"/>
      <c r="I365" s="3"/>
      <c r="J365" s="3"/>
      <c r="K365" s="3"/>
      <c r="L365" s="54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80"/>
      <c r="F366" s="54"/>
      <c r="G366" s="3"/>
      <c r="H366" s="3"/>
      <c r="I366" s="3"/>
      <c r="J366" s="3"/>
      <c r="K366" s="3"/>
      <c r="L366" s="54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80"/>
      <c r="F367" s="54"/>
      <c r="G367" s="3"/>
      <c r="H367" s="3"/>
      <c r="I367" s="3"/>
      <c r="J367" s="3"/>
      <c r="K367" s="3"/>
      <c r="L367" s="54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80"/>
      <c r="F368" s="54"/>
      <c r="G368" s="3"/>
      <c r="H368" s="3"/>
      <c r="I368" s="3"/>
      <c r="J368" s="3"/>
      <c r="K368" s="3"/>
      <c r="L368" s="54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80"/>
      <c r="F369" s="54"/>
      <c r="G369" s="3"/>
      <c r="H369" s="3"/>
      <c r="I369" s="3"/>
      <c r="J369" s="3"/>
      <c r="K369" s="3"/>
      <c r="L369" s="54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80"/>
      <c r="F370" s="54"/>
      <c r="G370" s="3"/>
      <c r="H370" s="3"/>
      <c r="I370" s="3"/>
      <c r="J370" s="3"/>
      <c r="K370" s="3"/>
      <c r="L370" s="54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80"/>
      <c r="F371" s="54"/>
      <c r="G371" s="3"/>
      <c r="H371" s="3"/>
      <c r="I371" s="3"/>
      <c r="J371" s="3"/>
      <c r="K371" s="3"/>
      <c r="L371" s="54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80"/>
      <c r="F372" s="54"/>
      <c r="G372" s="3"/>
      <c r="H372" s="3"/>
      <c r="I372" s="3"/>
      <c r="J372" s="3"/>
      <c r="K372" s="3"/>
      <c r="L372" s="54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80"/>
      <c r="F373" s="54"/>
      <c r="G373" s="3"/>
      <c r="H373" s="3"/>
      <c r="I373" s="3"/>
      <c r="J373" s="3"/>
      <c r="K373" s="3"/>
      <c r="L373" s="54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80"/>
      <c r="F374" s="54"/>
      <c r="G374" s="3"/>
      <c r="H374" s="3"/>
      <c r="I374" s="3"/>
      <c r="J374" s="3"/>
      <c r="K374" s="3"/>
      <c r="L374" s="54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80"/>
      <c r="F375" s="54"/>
      <c r="G375" s="3"/>
      <c r="H375" s="3"/>
      <c r="I375" s="3"/>
      <c r="J375" s="3"/>
      <c r="K375" s="3"/>
      <c r="L375" s="54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80"/>
      <c r="F376" s="54"/>
      <c r="G376" s="3"/>
      <c r="H376" s="3"/>
      <c r="I376" s="3"/>
      <c r="J376" s="3"/>
      <c r="K376" s="3"/>
      <c r="L376" s="54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80"/>
      <c r="F377" s="54"/>
      <c r="G377" s="3"/>
      <c r="H377" s="3"/>
      <c r="I377" s="3"/>
      <c r="J377" s="3"/>
      <c r="K377" s="3"/>
      <c r="L377" s="54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80"/>
      <c r="F378" s="54"/>
      <c r="G378" s="3"/>
      <c r="H378" s="3"/>
      <c r="I378" s="3"/>
      <c r="J378" s="3"/>
      <c r="K378" s="3"/>
      <c r="L378" s="54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80"/>
      <c r="F379" s="54"/>
      <c r="G379" s="3"/>
      <c r="H379" s="3"/>
      <c r="I379" s="3"/>
      <c r="J379" s="3"/>
      <c r="K379" s="3"/>
      <c r="L379" s="54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80"/>
      <c r="F380" s="54"/>
      <c r="G380" s="3"/>
      <c r="H380" s="3"/>
      <c r="I380" s="3"/>
      <c r="J380" s="3"/>
      <c r="K380" s="3"/>
      <c r="L380" s="54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80"/>
      <c r="F381" s="54"/>
      <c r="G381" s="3"/>
      <c r="H381" s="3"/>
      <c r="I381" s="3"/>
      <c r="J381" s="3"/>
      <c r="K381" s="3"/>
      <c r="L381" s="54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80"/>
      <c r="F382" s="54"/>
      <c r="G382" s="3"/>
      <c r="H382" s="3"/>
      <c r="I382" s="3"/>
      <c r="J382" s="3"/>
      <c r="K382" s="3"/>
      <c r="L382" s="54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80"/>
      <c r="F383" s="54"/>
      <c r="G383" s="3"/>
      <c r="H383" s="3"/>
      <c r="I383" s="3"/>
      <c r="J383" s="3"/>
      <c r="K383" s="3"/>
      <c r="L383" s="54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80"/>
      <c r="F384" s="54"/>
      <c r="G384" s="3"/>
      <c r="H384" s="3"/>
      <c r="I384" s="3"/>
      <c r="J384" s="3"/>
      <c r="K384" s="3"/>
      <c r="L384" s="54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80"/>
      <c r="F385" s="54"/>
      <c r="G385" s="3"/>
      <c r="H385" s="3"/>
      <c r="I385" s="3"/>
      <c r="J385" s="3"/>
      <c r="K385" s="3"/>
      <c r="L385" s="54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80"/>
      <c r="F386" s="54"/>
      <c r="G386" s="3"/>
      <c r="H386" s="3"/>
      <c r="I386" s="3"/>
      <c r="J386" s="3"/>
      <c r="K386" s="3"/>
      <c r="L386" s="54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80"/>
      <c r="F387" s="54"/>
      <c r="G387" s="3"/>
      <c r="H387" s="3"/>
      <c r="I387" s="3"/>
      <c r="J387" s="3"/>
      <c r="K387" s="3"/>
      <c r="L387" s="54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80"/>
      <c r="F388" s="54"/>
      <c r="G388" s="3"/>
      <c r="H388" s="3"/>
      <c r="I388" s="3"/>
      <c r="J388" s="3"/>
      <c r="K388" s="3"/>
      <c r="L388" s="54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80"/>
      <c r="F389" s="54"/>
      <c r="G389" s="3"/>
      <c r="H389" s="3"/>
      <c r="I389" s="3"/>
      <c r="J389" s="3"/>
      <c r="K389" s="3"/>
      <c r="L389" s="54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80"/>
      <c r="F390" s="54"/>
      <c r="G390" s="3"/>
      <c r="H390" s="3"/>
      <c r="I390" s="3"/>
      <c r="J390" s="3"/>
      <c r="K390" s="3"/>
      <c r="L390" s="54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80"/>
      <c r="F391" s="54"/>
      <c r="G391" s="3"/>
      <c r="H391" s="3"/>
      <c r="I391" s="3"/>
      <c r="J391" s="3"/>
      <c r="K391" s="3"/>
      <c r="L391" s="54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80"/>
      <c r="F392" s="54"/>
      <c r="G392" s="3"/>
      <c r="H392" s="3"/>
      <c r="I392" s="3"/>
      <c r="J392" s="3"/>
      <c r="K392" s="3"/>
      <c r="L392" s="54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80"/>
      <c r="F393" s="54"/>
      <c r="G393" s="3"/>
      <c r="H393" s="3"/>
      <c r="I393" s="3"/>
      <c r="J393" s="3"/>
      <c r="K393" s="3"/>
      <c r="L393" s="54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80"/>
      <c r="F394" s="54"/>
      <c r="G394" s="3"/>
      <c r="H394" s="3"/>
      <c r="I394" s="3"/>
      <c r="J394" s="3"/>
      <c r="K394" s="3"/>
      <c r="L394" s="54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80"/>
      <c r="F395" s="54"/>
      <c r="G395" s="3"/>
      <c r="H395" s="3"/>
      <c r="I395" s="3"/>
      <c r="J395" s="3"/>
      <c r="K395" s="3"/>
      <c r="L395" s="54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80"/>
      <c r="F396" s="54"/>
      <c r="G396" s="3"/>
      <c r="H396" s="3"/>
      <c r="I396" s="3"/>
      <c r="J396" s="3"/>
      <c r="K396" s="3"/>
      <c r="L396" s="54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80"/>
      <c r="F397" s="54"/>
      <c r="G397" s="3"/>
      <c r="H397" s="3"/>
      <c r="I397" s="3"/>
      <c r="J397" s="3"/>
      <c r="K397" s="3"/>
      <c r="L397" s="54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80"/>
      <c r="F398" s="54"/>
      <c r="G398" s="3"/>
      <c r="H398" s="3"/>
      <c r="I398" s="3"/>
      <c r="J398" s="3"/>
      <c r="K398" s="3"/>
      <c r="L398" s="54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80"/>
      <c r="F399" s="54"/>
      <c r="G399" s="3"/>
      <c r="H399" s="3"/>
      <c r="I399" s="3"/>
      <c r="J399" s="3"/>
      <c r="K399" s="3"/>
      <c r="L399" s="54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80"/>
      <c r="F400" s="54"/>
      <c r="G400" s="3"/>
      <c r="H400" s="3"/>
      <c r="I400" s="3"/>
      <c r="J400" s="3"/>
      <c r="K400" s="3"/>
      <c r="L400" s="54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80"/>
      <c r="F401" s="54"/>
      <c r="G401" s="3"/>
      <c r="H401" s="3"/>
      <c r="I401" s="3"/>
      <c r="J401" s="3"/>
      <c r="K401" s="3"/>
      <c r="L401" s="54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80"/>
      <c r="F402" s="54"/>
      <c r="G402" s="3"/>
      <c r="H402" s="3"/>
      <c r="I402" s="3"/>
      <c r="J402" s="3"/>
      <c r="K402" s="3"/>
      <c r="L402" s="54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80"/>
      <c r="F403" s="54"/>
      <c r="G403" s="3"/>
      <c r="H403" s="3"/>
      <c r="I403" s="3"/>
      <c r="J403" s="3"/>
      <c r="K403" s="3"/>
      <c r="L403" s="54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80"/>
      <c r="F404" s="54"/>
      <c r="G404" s="3"/>
      <c r="H404" s="3"/>
      <c r="I404" s="3"/>
      <c r="J404" s="3"/>
      <c r="K404" s="3"/>
      <c r="L404" s="54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80"/>
      <c r="F405" s="54"/>
      <c r="G405" s="3"/>
      <c r="H405" s="3"/>
      <c r="I405" s="3"/>
      <c r="J405" s="3"/>
      <c r="K405" s="3"/>
      <c r="L405" s="54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80"/>
      <c r="F406" s="54"/>
      <c r="G406" s="3"/>
      <c r="H406" s="3"/>
      <c r="I406" s="3"/>
      <c r="J406" s="3"/>
      <c r="K406" s="3"/>
      <c r="L406" s="54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80"/>
      <c r="F407" s="54"/>
      <c r="G407" s="3"/>
      <c r="H407" s="3"/>
      <c r="I407" s="3"/>
      <c r="J407" s="3"/>
      <c r="K407" s="3"/>
      <c r="L407" s="54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80"/>
      <c r="F408" s="54"/>
      <c r="G408" s="3"/>
      <c r="H408" s="3"/>
      <c r="I408" s="3"/>
      <c r="J408" s="3"/>
      <c r="K408" s="3"/>
      <c r="L408" s="54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80"/>
      <c r="F409" s="54"/>
      <c r="G409" s="3"/>
      <c r="H409" s="3"/>
      <c r="I409" s="3"/>
      <c r="J409" s="3"/>
      <c r="K409" s="3"/>
      <c r="L409" s="54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80"/>
      <c r="F410" s="54"/>
      <c r="G410" s="3"/>
      <c r="H410" s="3"/>
      <c r="I410" s="3"/>
      <c r="J410" s="3"/>
      <c r="K410" s="3"/>
      <c r="L410" s="54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80"/>
      <c r="F411" s="54"/>
      <c r="G411" s="3"/>
      <c r="H411" s="3"/>
      <c r="I411" s="3"/>
      <c r="J411" s="3"/>
      <c r="K411" s="3"/>
      <c r="L411" s="54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80"/>
      <c r="F412" s="54"/>
      <c r="G412" s="3"/>
      <c r="H412" s="3"/>
      <c r="I412" s="3"/>
      <c r="J412" s="3"/>
      <c r="K412" s="3"/>
      <c r="L412" s="54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80"/>
      <c r="F413" s="54"/>
      <c r="G413" s="3"/>
      <c r="H413" s="3"/>
      <c r="I413" s="3"/>
      <c r="J413" s="3"/>
      <c r="K413" s="3"/>
      <c r="L413" s="54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80"/>
      <c r="F414" s="54"/>
      <c r="G414" s="3"/>
      <c r="H414" s="3"/>
      <c r="I414" s="3"/>
      <c r="J414" s="3"/>
      <c r="K414" s="3"/>
      <c r="L414" s="54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80"/>
      <c r="F415" s="54"/>
      <c r="G415" s="3"/>
      <c r="H415" s="3"/>
      <c r="I415" s="3"/>
      <c r="J415" s="3"/>
      <c r="K415" s="3"/>
      <c r="L415" s="54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80"/>
      <c r="F416" s="54"/>
      <c r="G416" s="3"/>
      <c r="H416" s="3"/>
      <c r="I416" s="3"/>
      <c r="J416" s="3"/>
      <c r="K416" s="3"/>
      <c r="L416" s="54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80"/>
      <c r="F417" s="54"/>
      <c r="G417" s="3"/>
      <c r="H417" s="3"/>
      <c r="I417" s="3"/>
      <c r="J417" s="3"/>
      <c r="K417" s="3"/>
      <c r="L417" s="54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80"/>
      <c r="F418" s="54"/>
      <c r="G418" s="3"/>
      <c r="H418" s="3"/>
      <c r="I418" s="3"/>
      <c r="J418" s="3"/>
      <c r="K418" s="3"/>
      <c r="L418" s="54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80"/>
      <c r="F419" s="54"/>
      <c r="G419" s="3"/>
      <c r="H419" s="3"/>
      <c r="I419" s="3"/>
      <c r="J419" s="3"/>
      <c r="K419" s="3"/>
      <c r="L419" s="54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80"/>
      <c r="F420" s="54"/>
      <c r="G420" s="3"/>
      <c r="H420" s="3"/>
      <c r="I420" s="3"/>
      <c r="J420" s="3"/>
      <c r="K420" s="3"/>
      <c r="L420" s="54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80"/>
      <c r="F421" s="54"/>
      <c r="G421" s="3"/>
      <c r="H421" s="3"/>
      <c r="I421" s="3"/>
      <c r="J421" s="3"/>
      <c r="K421" s="3"/>
      <c r="L421" s="54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80"/>
      <c r="F422" s="54"/>
      <c r="G422" s="3"/>
      <c r="H422" s="3"/>
      <c r="I422" s="3"/>
      <c r="J422" s="3"/>
      <c r="K422" s="3"/>
      <c r="L422" s="54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80"/>
      <c r="F423" s="54"/>
      <c r="G423" s="3"/>
      <c r="H423" s="3"/>
      <c r="I423" s="3"/>
      <c r="J423" s="3"/>
      <c r="K423" s="3"/>
      <c r="L423" s="54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80"/>
      <c r="F424" s="54"/>
      <c r="G424" s="3"/>
      <c r="H424" s="3"/>
      <c r="I424" s="3"/>
      <c r="J424" s="3"/>
      <c r="K424" s="3"/>
      <c r="L424" s="54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80"/>
      <c r="F425" s="54"/>
      <c r="G425" s="3"/>
      <c r="H425" s="3"/>
      <c r="I425" s="3"/>
      <c r="J425" s="3"/>
      <c r="K425" s="3"/>
      <c r="L425" s="54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80"/>
      <c r="F426" s="54"/>
      <c r="G426" s="3"/>
      <c r="H426" s="3"/>
      <c r="I426" s="3"/>
      <c r="J426" s="3"/>
      <c r="K426" s="3"/>
      <c r="L426" s="54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80"/>
      <c r="F427" s="54"/>
      <c r="G427" s="3"/>
      <c r="H427" s="3"/>
      <c r="I427" s="3"/>
      <c r="J427" s="3"/>
      <c r="K427" s="3"/>
      <c r="L427" s="54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80"/>
      <c r="F428" s="54"/>
      <c r="G428" s="3"/>
      <c r="H428" s="3"/>
      <c r="I428" s="3"/>
      <c r="J428" s="3"/>
      <c r="K428" s="3"/>
      <c r="L428" s="54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80"/>
      <c r="F429" s="54"/>
      <c r="G429" s="3"/>
      <c r="H429" s="3"/>
      <c r="I429" s="3"/>
      <c r="J429" s="3"/>
      <c r="K429" s="3"/>
      <c r="L429" s="54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80"/>
      <c r="F430" s="54"/>
      <c r="G430" s="3"/>
      <c r="H430" s="3"/>
      <c r="I430" s="3"/>
      <c r="J430" s="3"/>
      <c r="K430" s="3"/>
      <c r="L430" s="54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80"/>
      <c r="F431" s="54"/>
      <c r="G431" s="3"/>
      <c r="H431" s="3"/>
      <c r="I431" s="3"/>
      <c r="J431" s="3"/>
      <c r="K431" s="3"/>
      <c r="L431" s="54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80"/>
      <c r="F432" s="54"/>
      <c r="G432" s="3"/>
      <c r="H432" s="3"/>
      <c r="I432" s="3"/>
      <c r="J432" s="3"/>
      <c r="K432" s="3"/>
      <c r="L432" s="54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80"/>
      <c r="F433" s="54"/>
      <c r="G433" s="3"/>
      <c r="H433" s="3"/>
      <c r="I433" s="3"/>
      <c r="J433" s="3"/>
      <c r="K433" s="3"/>
      <c r="L433" s="54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80"/>
      <c r="F434" s="54"/>
      <c r="G434" s="3"/>
      <c r="H434" s="3"/>
      <c r="I434" s="3"/>
      <c r="J434" s="3"/>
      <c r="K434" s="3"/>
      <c r="L434" s="54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80"/>
      <c r="F435" s="54"/>
      <c r="G435" s="3"/>
      <c r="H435" s="3"/>
      <c r="I435" s="3"/>
      <c r="J435" s="3"/>
      <c r="K435" s="3"/>
      <c r="L435" s="54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80"/>
      <c r="F436" s="54"/>
      <c r="G436" s="3"/>
      <c r="H436" s="3"/>
      <c r="I436" s="3"/>
      <c r="J436" s="3"/>
      <c r="K436" s="3"/>
      <c r="L436" s="54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80"/>
      <c r="F437" s="54"/>
      <c r="G437" s="3"/>
      <c r="H437" s="3"/>
      <c r="I437" s="3"/>
      <c r="J437" s="3"/>
      <c r="K437" s="3"/>
      <c r="L437" s="54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80"/>
      <c r="F438" s="54"/>
      <c r="G438" s="3"/>
      <c r="H438" s="3"/>
      <c r="I438" s="3"/>
      <c r="J438" s="3"/>
      <c r="K438" s="3"/>
      <c r="L438" s="54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80"/>
      <c r="F439" s="54"/>
      <c r="G439" s="3"/>
      <c r="H439" s="3"/>
      <c r="I439" s="3"/>
      <c r="J439" s="3"/>
      <c r="K439" s="3"/>
      <c r="L439" s="54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80"/>
      <c r="F440" s="54"/>
      <c r="G440" s="3"/>
      <c r="H440" s="3"/>
      <c r="I440" s="3"/>
      <c r="J440" s="3"/>
      <c r="K440" s="3"/>
      <c r="L440" s="54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80"/>
      <c r="F441" s="54"/>
      <c r="G441" s="3"/>
      <c r="H441" s="3"/>
      <c r="I441" s="3"/>
      <c r="J441" s="3"/>
      <c r="K441" s="3"/>
      <c r="L441" s="54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80"/>
      <c r="F442" s="54"/>
      <c r="G442" s="3"/>
      <c r="H442" s="3"/>
      <c r="I442" s="3"/>
      <c r="J442" s="3"/>
      <c r="K442" s="3"/>
      <c r="L442" s="54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80"/>
      <c r="F443" s="54"/>
      <c r="G443" s="3"/>
      <c r="H443" s="3"/>
      <c r="I443" s="3"/>
      <c r="J443" s="3"/>
      <c r="K443" s="3"/>
      <c r="L443" s="54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80"/>
      <c r="F444" s="54"/>
      <c r="G444" s="3"/>
      <c r="H444" s="3"/>
      <c r="I444" s="3"/>
      <c r="J444" s="3"/>
      <c r="K444" s="3"/>
      <c r="L444" s="54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80"/>
      <c r="F445" s="54"/>
      <c r="G445" s="3"/>
      <c r="H445" s="3"/>
      <c r="I445" s="3"/>
      <c r="J445" s="3"/>
      <c r="K445" s="3"/>
      <c r="L445" s="54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80"/>
      <c r="F446" s="54"/>
      <c r="G446" s="3"/>
      <c r="H446" s="3"/>
      <c r="I446" s="3"/>
      <c r="J446" s="3"/>
      <c r="K446" s="3"/>
      <c r="L446" s="54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80"/>
      <c r="F447" s="54"/>
      <c r="G447" s="3"/>
      <c r="H447" s="3"/>
      <c r="I447" s="3"/>
      <c r="J447" s="3"/>
      <c r="K447" s="3"/>
      <c r="L447" s="54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80"/>
      <c r="F448" s="54"/>
      <c r="G448" s="3"/>
      <c r="H448" s="3"/>
      <c r="I448" s="3"/>
      <c r="J448" s="3"/>
      <c r="K448" s="3"/>
      <c r="L448" s="54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80"/>
      <c r="F449" s="54"/>
      <c r="G449" s="3"/>
      <c r="H449" s="3"/>
      <c r="I449" s="3"/>
      <c r="J449" s="3"/>
      <c r="K449" s="3"/>
      <c r="L449" s="54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80"/>
      <c r="F450" s="54"/>
      <c r="G450" s="3"/>
      <c r="H450" s="3"/>
      <c r="I450" s="3"/>
      <c r="J450" s="3"/>
      <c r="K450" s="3"/>
      <c r="L450" s="54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80"/>
      <c r="F451" s="54"/>
      <c r="G451" s="3"/>
      <c r="H451" s="3"/>
      <c r="I451" s="3"/>
      <c r="J451" s="3"/>
      <c r="K451" s="3"/>
      <c r="L451" s="54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80"/>
      <c r="F452" s="54"/>
      <c r="G452" s="3"/>
      <c r="H452" s="3"/>
      <c r="I452" s="3"/>
      <c r="J452" s="3"/>
      <c r="K452" s="3"/>
      <c r="L452" s="54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80"/>
      <c r="F453" s="54"/>
      <c r="G453" s="3"/>
      <c r="H453" s="3"/>
      <c r="I453" s="3"/>
      <c r="J453" s="3"/>
      <c r="K453" s="3"/>
      <c r="L453" s="54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80"/>
      <c r="F454" s="54"/>
      <c r="G454" s="3"/>
      <c r="H454" s="3"/>
      <c r="I454" s="3"/>
      <c r="J454" s="3"/>
      <c r="K454" s="3"/>
      <c r="L454" s="54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80"/>
      <c r="F455" s="54"/>
      <c r="G455" s="3"/>
      <c r="H455" s="3"/>
      <c r="I455" s="3"/>
      <c r="J455" s="3"/>
      <c r="K455" s="3"/>
      <c r="L455" s="54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80"/>
      <c r="F456" s="54"/>
      <c r="G456" s="3"/>
      <c r="H456" s="3"/>
      <c r="I456" s="3"/>
      <c r="J456" s="3"/>
      <c r="K456" s="3"/>
      <c r="L456" s="54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80"/>
      <c r="F457" s="54"/>
      <c r="G457" s="3"/>
      <c r="H457" s="3"/>
      <c r="I457" s="3"/>
      <c r="J457" s="3"/>
      <c r="K457" s="3"/>
      <c r="L457" s="54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80"/>
      <c r="F458" s="54"/>
      <c r="G458" s="3"/>
      <c r="H458" s="3"/>
      <c r="I458" s="3"/>
      <c r="J458" s="3"/>
      <c r="K458" s="3"/>
      <c r="L458" s="54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80"/>
      <c r="F459" s="54"/>
      <c r="G459" s="3"/>
      <c r="H459" s="3"/>
      <c r="I459" s="3"/>
      <c r="J459" s="3"/>
      <c r="K459" s="3"/>
      <c r="L459" s="54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80"/>
      <c r="F460" s="54"/>
      <c r="G460" s="3"/>
      <c r="H460" s="3"/>
      <c r="I460" s="3"/>
      <c r="J460" s="3"/>
      <c r="K460" s="3"/>
      <c r="L460" s="54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80"/>
      <c r="F461" s="54"/>
      <c r="G461" s="3"/>
      <c r="H461" s="3"/>
      <c r="I461" s="3"/>
      <c r="J461" s="3"/>
      <c r="K461" s="3"/>
      <c r="L461" s="54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80"/>
      <c r="F462" s="54"/>
      <c r="G462" s="3"/>
      <c r="H462" s="3"/>
      <c r="I462" s="3"/>
      <c r="J462" s="3"/>
      <c r="K462" s="3"/>
      <c r="L462" s="54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80"/>
      <c r="F463" s="54"/>
      <c r="G463" s="3"/>
      <c r="H463" s="3"/>
      <c r="I463" s="3"/>
      <c r="J463" s="3"/>
      <c r="K463" s="3"/>
      <c r="L463" s="54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80"/>
      <c r="F464" s="54"/>
      <c r="G464" s="3"/>
      <c r="H464" s="3"/>
      <c r="I464" s="3"/>
      <c r="J464" s="3"/>
      <c r="K464" s="3"/>
      <c r="L464" s="54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80"/>
      <c r="F465" s="54"/>
      <c r="G465" s="3"/>
      <c r="H465" s="3"/>
      <c r="I465" s="3"/>
      <c r="J465" s="3"/>
      <c r="K465" s="3"/>
      <c r="L465" s="54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80"/>
      <c r="F466" s="54"/>
      <c r="G466" s="3"/>
      <c r="H466" s="3"/>
      <c r="I466" s="3"/>
      <c r="J466" s="3"/>
      <c r="K466" s="3"/>
      <c r="L466" s="54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80"/>
      <c r="F467" s="54"/>
      <c r="G467" s="3"/>
      <c r="H467" s="3"/>
      <c r="I467" s="3"/>
      <c r="J467" s="3"/>
      <c r="K467" s="3"/>
      <c r="L467" s="54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80"/>
      <c r="F468" s="54"/>
      <c r="G468" s="3"/>
      <c r="H468" s="3"/>
      <c r="I468" s="3"/>
      <c r="J468" s="3"/>
      <c r="K468" s="3"/>
      <c r="L468" s="54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80"/>
      <c r="F469" s="54"/>
      <c r="G469" s="3"/>
      <c r="H469" s="3"/>
      <c r="I469" s="3"/>
      <c r="J469" s="3"/>
      <c r="K469" s="3"/>
      <c r="L469" s="54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80"/>
      <c r="F470" s="54"/>
      <c r="G470" s="3"/>
      <c r="H470" s="3"/>
      <c r="I470" s="3"/>
      <c r="J470" s="3"/>
      <c r="K470" s="3"/>
      <c r="L470" s="54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80"/>
      <c r="F471" s="54"/>
      <c r="G471" s="3"/>
      <c r="H471" s="3"/>
      <c r="I471" s="3"/>
      <c r="J471" s="3"/>
      <c r="K471" s="3"/>
      <c r="L471" s="54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80"/>
      <c r="F472" s="54"/>
      <c r="G472" s="3"/>
      <c r="H472" s="3"/>
      <c r="I472" s="3"/>
      <c r="J472" s="3"/>
      <c r="K472" s="3"/>
      <c r="L472" s="54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80"/>
      <c r="F473" s="54"/>
      <c r="G473" s="3"/>
      <c r="H473" s="3"/>
      <c r="I473" s="3"/>
      <c r="J473" s="3"/>
      <c r="K473" s="3"/>
      <c r="L473" s="54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80"/>
      <c r="F474" s="54"/>
      <c r="G474" s="3"/>
      <c r="H474" s="3"/>
      <c r="I474" s="3"/>
      <c r="J474" s="3"/>
      <c r="K474" s="3"/>
      <c r="L474" s="54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80"/>
      <c r="F475" s="54"/>
      <c r="G475" s="3"/>
      <c r="H475" s="3"/>
      <c r="I475" s="3"/>
      <c r="J475" s="3"/>
      <c r="K475" s="3"/>
      <c r="L475" s="54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80"/>
      <c r="F476" s="54"/>
      <c r="G476" s="3"/>
      <c r="H476" s="3"/>
      <c r="I476" s="3"/>
      <c r="J476" s="3"/>
      <c r="K476" s="3"/>
      <c r="L476" s="54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80"/>
      <c r="F477" s="54"/>
      <c r="G477" s="3"/>
      <c r="H477" s="3"/>
      <c r="I477" s="3"/>
      <c r="J477" s="3"/>
      <c r="K477" s="3"/>
      <c r="L477" s="54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80"/>
      <c r="F478" s="54"/>
      <c r="G478" s="3"/>
      <c r="H478" s="3"/>
      <c r="I478" s="3"/>
      <c r="J478" s="3"/>
      <c r="K478" s="3"/>
      <c r="L478" s="54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80"/>
      <c r="F479" s="54"/>
      <c r="G479" s="3"/>
      <c r="H479" s="3"/>
      <c r="I479" s="3"/>
      <c r="J479" s="3"/>
      <c r="K479" s="3"/>
      <c r="L479" s="54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80"/>
      <c r="F480" s="54"/>
      <c r="G480" s="3"/>
      <c r="H480" s="3"/>
      <c r="I480" s="3"/>
      <c r="J480" s="3"/>
      <c r="K480" s="3"/>
      <c r="L480" s="54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80"/>
      <c r="F481" s="54"/>
      <c r="G481" s="3"/>
      <c r="H481" s="3"/>
      <c r="I481" s="3"/>
      <c r="J481" s="3"/>
      <c r="K481" s="3"/>
      <c r="L481" s="54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80"/>
      <c r="F482" s="54"/>
      <c r="G482" s="3"/>
      <c r="H482" s="3"/>
      <c r="I482" s="3"/>
      <c r="J482" s="3"/>
      <c r="K482" s="3"/>
      <c r="L482" s="54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80"/>
      <c r="F483" s="54"/>
      <c r="G483" s="3"/>
      <c r="H483" s="3"/>
      <c r="I483" s="3"/>
      <c r="J483" s="3"/>
      <c r="K483" s="3"/>
      <c r="L483" s="54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80"/>
      <c r="F484" s="54"/>
      <c r="G484" s="3"/>
      <c r="H484" s="3"/>
      <c r="I484" s="3"/>
      <c r="J484" s="3"/>
      <c r="K484" s="3"/>
      <c r="L484" s="54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80"/>
      <c r="F485" s="54"/>
      <c r="G485" s="3"/>
      <c r="H485" s="3"/>
      <c r="I485" s="3"/>
      <c r="J485" s="3"/>
      <c r="K485" s="3"/>
      <c r="L485" s="54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80"/>
      <c r="F486" s="54"/>
      <c r="G486" s="3"/>
      <c r="H486" s="3"/>
      <c r="I486" s="3"/>
      <c r="J486" s="3"/>
      <c r="K486" s="3"/>
      <c r="L486" s="54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80"/>
      <c r="F487" s="54"/>
      <c r="G487" s="3"/>
      <c r="H487" s="3"/>
      <c r="I487" s="3"/>
      <c r="J487" s="3"/>
      <c r="K487" s="3"/>
      <c r="L487" s="54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80"/>
      <c r="F488" s="54"/>
      <c r="G488" s="3"/>
      <c r="H488" s="3"/>
      <c r="I488" s="3"/>
      <c r="J488" s="3"/>
      <c r="K488" s="3"/>
      <c r="L488" s="54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80"/>
      <c r="F489" s="54"/>
      <c r="G489" s="3"/>
      <c r="H489" s="3"/>
      <c r="I489" s="3"/>
      <c r="J489" s="3"/>
      <c r="K489" s="3"/>
      <c r="L489" s="54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80"/>
      <c r="F490" s="54"/>
      <c r="G490" s="3"/>
      <c r="H490" s="3"/>
      <c r="I490" s="3"/>
      <c r="J490" s="3"/>
      <c r="K490" s="3"/>
      <c r="L490" s="54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80"/>
      <c r="F491" s="54"/>
      <c r="G491" s="3"/>
      <c r="H491" s="3"/>
      <c r="I491" s="3"/>
      <c r="J491" s="3"/>
      <c r="K491" s="3"/>
      <c r="L491" s="54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80"/>
      <c r="F492" s="54"/>
      <c r="G492" s="3"/>
      <c r="H492" s="3"/>
      <c r="I492" s="3"/>
      <c r="J492" s="3"/>
      <c r="K492" s="3"/>
      <c r="L492" s="54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80"/>
      <c r="F493" s="54"/>
      <c r="G493" s="3"/>
      <c r="H493" s="3"/>
      <c r="I493" s="3"/>
      <c r="J493" s="3"/>
      <c r="K493" s="3"/>
      <c r="L493" s="54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80"/>
      <c r="F494" s="54"/>
      <c r="G494" s="3"/>
      <c r="H494" s="3"/>
      <c r="I494" s="3"/>
      <c r="J494" s="3"/>
      <c r="K494" s="3"/>
      <c r="L494" s="54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80"/>
      <c r="F495" s="54"/>
      <c r="G495" s="3"/>
      <c r="H495" s="3"/>
      <c r="I495" s="3"/>
      <c r="J495" s="3"/>
      <c r="K495" s="3"/>
      <c r="L495" s="54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80"/>
      <c r="F496" s="54"/>
      <c r="G496" s="3"/>
      <c r="H496" s="3"/>
      <c r="I496" s="3"/>
      <c r="J496" s="3"/>
      <c r="K496" s="3"/>
      <c r="L496" s="54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80"/>
      <c r="F497" s="54"/>
      <c r="G497" s="3"/>
      <c r="H497" s="3"/>
      <c r="I497" s="3"/>
      <c r="J497" s="3"/>
      <c r="K497" s="3"/>
      <c r="L497" s="54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80"/>
      <c r="F498" s="54"/>
      <c r="G498" s="3"/>
      <c r="H498" s="3"/>
      <c r="I498" s="3"/>
      <c r="J498" s="3"/>
      <c r="K498" s="3"/>
      <c r="L498" s="54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80"/>
      <c r="F499" s="54"/>
      <c r="G499" s="3"/>
      <c r="H499" s="3"/>
      <c r="I499" s="3"/>
      <c r="J499" s="3"/>
      <c r="K499" s="3"/>
      <c r="L499" s="54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80"/>
      <c r="F500" s="54"/>
      <c r="G500" s="3"/>
      <c r="H500" s="3"/>
      <c r="I500" s="3"/>
      <c r="J500" s="3"/>
      <c r="K500" s="3"/>
      <c r="L500" s="54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80"/>
      <c r="F501" s="54"/>
      <c r="G501" s="3"/>
      <c r="H501" s="3"/>
      <c r="I501" s="3"/>
      <c r="J501" s="3"/>
      <c r="K501" s="3"/>
      <c r="L501" s="54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80"/>
      <c r="F502" s="54"/>
      <c r="G502" s="3"/>
      <c r="H502" s="3"/>
      <c r="I502" s="3"/>
      <c r="J502" s="3"/>
      <c r="K502" s="3"/>
      <c r="L502" s="54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80"/>
      <c r="F503" s="54"/>
      <c r="G503" s="3"/>
      <c r="H503" s="3"/>
      <c r="I503" s="3"/>
      <c r="J503" s="3"/>
      <c r="K503" s="3"/>
      <c r="L503" s="54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80"/>
      <c r="F504" s="54"/>
      <c r="G504" s="3"/>
      <c r="H504" s="3"/>
      <c r="I504" s="3"/>
      <c r="J504" s="3"/>
      <c r="K504" s="3"/>
      <c r="L504" s="54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80"/>
      <c r="F505" s="54"/>
      <c r="G505" s="3"/>
      <c r="H505" s="3"/>
      <c r="I505" s="3"/>
      <c r="J505" s="3"/>
      <c r="K505" s="3"/>
      <c r="L505" s="54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80"/>
      <c r="F506" s="54"/>
      <c r="G506" s="3"/>
      <c r="H506" s="3"/>
      <c r="I506" s="3"/>
      <c r="J506" s="3"/>
      <c r="K506" s="3"/>
      <c r="L506" s="54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80"/>
      <c r="F507" s="54"/>
      <c r="G507" s="3"/>
      <c r="H507" s="3"/>
      <c r="I507" s="3"/>
      <c r="J507" s="3"/>
      <c r="K507" s="3"/>
      <c r="L507" s="54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80"/>
      <c r="F508" s="54"/>
      <c r="G508" s="3"/>
      <c r="H508" s="3"/>
      <c r="I508" s="3"/>
      <c r="J508" s="3"/>
      <c r="K508" s="3"/>
      <c r="L508" s="54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80"/>
      <c r="F509" s="54"/>
      <c r="G509" s="3"/>
      <c r="H509" s="3"/>
      <c r="I509" s="3"/>
      <c r="J509" s="3"/>
      <c r="K509" s="3"/>
      <c r="L509" s="54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80"/>
      <c r="F510" s="54"/>
      <c r="G510" s="3"/>
      <c r="H510" s="3"/>
      <c r="I510" s="3"/>
      <c r="J510" s="3"/>
      <c r="K510" s="3"/>
      <c r="L510" s="54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80"/>
      <c r="F511" s="54"/>
      <c r="G511" s="3"/>
      <c r="H511" s="3"/>
      <c r="I511" s="3"/>
      <c r="J511" s="3"/>
      <c r="K511" s="3"/>
      <c r="L511" s="54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80"/>
      <c r="F512" s="54"/>
      <c r="G512" s="3"/>
      <c r="H512" s="3"/>
      <c r="I512" s="3"/>
      <c r="J512" s="3"/>
      <c r="K512" s="3"/>
      <c r="L512" s="54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80"/>
      <c r="F513" s="54"/>
      <c r="G513" s="3"/>
      <c r="H513" s="3"/>
      <c r="I513" s="3"/>
      <c r="J513" s="3"/>
      <c r="K513" s="3"/>
      <c r="L513" s="54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80"/>
      <c r="F514" s="54"/>
      <c r="G514" s="3"/>
      <c r="H514" s="3"/>
      <c r="I514" s="3"/>
      <c r="J514" s="3"/>
      <c r="K514" s="3"/>
      <c r="L514" s="54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80"/>
      <c r="F515" s="54"/>
      <c r="G515" s="3"/>
      <c r="H515" s="3"/>
      <c r="I515" s="3"/>
      <c r="J515" s="3"/>
      <c r="K515" s="3"/>
      <c r="L515" s="54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80"/>
      <c r="F516" s="54"/>
      <c r="G516" s="3"/>
      <c r="H516" s="3"/>
      <c r="I516" s="3"/>
      <c r="J516" s="3"/>
      <c r="K516" s="3"/>
      <c r="L516" s="54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80"/>
      <c r="F517" s="54"/>
      <c r="G517" s="3"/>
      <c r="H517" s="3"/>
      <c r="I517" s="3"/>
      <c r="J517" s="3"/>
      <c r="K517" s="3"/>
      <c r="L517" s="54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80"/>
      <c r="F518" s="54"/>
      <c r="G518" s="3"/>
      <c r="H518" s="3"/>
      <c r="I518" s="3"/>
      <c r="J518" s="3"/>
      <c r="K518" s="3"/>
      <c r="L518" s="54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80"/>
      <c r="F519" s="54"/>
      <c r="G519" s="3"/>
      <c r="H519" s="3"/>
      <c r="I519" s="3"/>
      <c r="J519" s="3"/>
      <c r="K519" s="3"/>
      <c r="L519" s="54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80"/>
      <c r="F520" s="54"/>
      <c r="G520" s="3"/>
      <c r="H520" s="3"/>
      <c r="I520" s="3"/>
      <c r="J520" s="3"/>
      <c r="K520" s="3"/>
      <c r="L520" s="54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80"/>
      <c r="F521" s="54"/>
      <c r="G521" s="3"/>
      <c r="H521" s="3"/>
      <c r="I521" s="3"/>
      <c r="J521" s="3"/>
      <c r="K521" s="3"/>
      <c r="L521" s="54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80"/>
      <c r="F522" s="54"/>
      <c r="G522" s="3"/>
      <c r="H522" s="3"/>
      <c r="I522" s="3"/>
      <c r="J522" s="3"/>
      <c r="K522" s="3"/>
      <c r="L522" s="54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80"/>
      <c r="F523" s="54"/>
      <c r="G523" s="3"/>
      <c r="H523" s="3"/>
      <c r="I523" s="3"/>
      <c r="J523" s="3"/>
      <c r="K523" s="3"/>
      <c r="L523" s="54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80"/>
      <c r="F524" s="54"/>
      <c r="G524" s="3"/>
      <c r="H524" s="3"/>
      <c r="I524" s="3"/>
      <c r="J524" s="3"/>
      <c r="K524" s="3"/>
      <c r="L524" s="54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80"/>
      <c r="F525" s="54"/>
      <c r="G525" s="3"/>
      <c r="H525" s="3"/>
      <c r="I525" s="3"/>
      <c r="J525" s="3"/>
      <c r="K525" s="3"/>
      <c r="L525" s="54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80"/>
      <c r="F526" s="54"/>
      <c r="G526" s="3"/>
      <c r="H526" s="3"/>
      <c r="I526" s="3"/>
      <c r="J526" s="3"/>
      <c r="K526" s="3"/>
      <c r="L526" s="54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80"/>
      <c r="F527" s="54"/>
      <c r="G527" s="3"/>
      <c r="H527" s="3"/>
      <c r="I527" s="3"/>
      <c r="J527" s="3"/>
      <c r="K527" s="3"/>
      <c r="L527" s="54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80"/>
      <c r="F528" s="54"/>
      <c r="G528" s="3"/>
      <c r="H528" s="3"/>
      <c r="I528" s="3"/>
      <c r="J528" s="3"/>
      <c r="K528" s="3"/>
      <c r="L528" s="54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80"/>
      <c r="F529" s="54"/>
      <c r="G529" s="3"/>
      <c r="H529" s="3"/>
      <c r="I529" s="3"/>
      <c r="J529" s="3"/>
      <c r="K529" s="3"/>
      <c r="L529" s="54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80"/>
      <c r="F530" s="54"/>
      <c r="G530" s="3"/>
      <c r="H530" s="3"/>
      <c r="I530" s="3"/>
      <c r="J530" s="3"/>
      <c r="K530" s="3"/>
      <c r="L530" s="54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80"/>
      <c r="F531" s="54"/>
      <c r="G531" s="3"/>
      <c r="H531" s="3"/>
      <c r="I531" s="3"/>
      <c r="J531" s="3"/>
      <c r="K531" s="3"/>
      <c r="L531" s="54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80"/>
      <c r="F532" s="54"/>
      <c r="G532" s="3"/>
      <c r="H532" s="3"/>
      <c r="I532" s="3"/>
      <c r="J532" s="3"/>
      <c r="K532" s="3"/>
      <c r="L532" s="54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80"/>
      <c r="F533" s="54"/>
      <c r="G533" s="3"/>
      <c r="H533" s="3"/>
      <c r="I533" s="3"/>
      <c r="J533" s="3"/>
      <c r="K533" s="3"/>
      <c r="L533" s="54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80"/>
      <c r="F534" s="54"/>
      <c r="G534" s="3"/>
      <c r="H534" s="3"/>
      <c r="I534" s="3"/>
      <c r="J534" s="3"/>
      <c r="K534" s="3"/>
      <c r="L534" s="54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80"/>
      <c r="F535" s="54"/>
      <c r="G535" s="3"/>
      <c r="H535" s="3"/>
      <c r="I535" s="3"/>
      <c r="J535" s="3"/>
      <c r="K535" s="3"/>
      <c r="L535" s="54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80"/>
      <c r="F536" s="54"/>
      <c r="G536" s="3"/>
      <c r="H536" s="3"/>
      <c r="I536" s="3"/>
      <c r="J536" s="3"/>
      <c r="K536" s="3"/>
      <c r="L536" s="54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80"/>
      <c r="F537" s="54"/>
      <c r="G537" s="3"/>
      <c r="H537" s="3"/>
      <c r="I537" s="3"/>
      <c r="J537" s="3"/>
      <c r="K537" s="3"/>
      <c r="L537" s="54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80"/>
      <c r="F538" s="54"/>
      <c r="G538" s="3"/>
      <c r="H538" s="3"/>
      <c r="I538" s="3"/>
      <c r="J538" s="3"/>
      <c r="K538" s="3"/>
      <c r="L538" s="54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80"/>
      <c r="F539" s="54"/>
      <c r="G539" s="3"/>
      <c r="H539" s="3"/>
      <c r="I539" s="3"/>
      <c r="J539" s="3"/>
      <c r="K539" s="3"/>
      <c r="L539" s="54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80"/>
      <c r="F540" s="54"/>
      <c r="G540" s="3"/>
      <c r="H540" s="3"/>
      <c r="I540" s="3"/>
      <c r="J540" s="3"/>
      <c r="K540" s="3"/>
      <c r="L540" s="54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80"/>
      <c r="F541" s="54"/>
      <c r="G541" s="3"/>
      <c r="H541" s="3"/>
      <c r="I541" s="3"/>
      <c r="J541" s="3"/>
      <c r="K541" s="3"/>
      <c r="L541" s="54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80"/>
      <c r="F542" s="54"/>
      <c r="G542" s="3"/>
      <c r="H542" s="3"/>
      <c r="I542" s="3"/>
      <c r="J542" s="3"/>
      <c r="K542" s="3"/>
      <c r="L542" s="54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80"/>
      <c r="F543" s="54"/>
      <c r="G543" s="3"/>
      <c r="H543" s="3"/>
      <c r="I543" s="3"/>
      <c r="J543" s="3"/>
      <c r="K543" s="3"/>
      <c r="L543" s="54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80"/>
      <c r="F544" s="54"/>
      <c r="G544" s="3"/>
      <c r="H544" s="3"/>
      <c r="I544" s="3"/>
      <c r="J544" s="3"/>
      <c r="K544" s="3"/>
      <c r="L544" s="54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80"/>
      <c r="F545" s="54"/>
      <c r="G545" s="3"/>
      <c r="H545" s="3"/>
      <c r="I545" s="3"/>
      <c r="J545" s="3"/>
      <c r="K545" s="3"/>
      <c r="L545" s="54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80"/>
      <c r="F546" s="54"/>
      <c r="G546" s="3"/>
      <c r="H546" s="3"/>
      <c r="I546" s="3"/>
      <c r="J546" s="3"/>
      <c r="K546" s="3"/>
      <c r="L546" s="54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80"/>
      <c r="F547" s="54"/>
      <c r="G547" s="3"/>
      <c r="H547" s="3"/>
      <c r="I547" s="3"/>
      <c r="J547" s="3"/>
      <c r="K547" s="3"/>
      <c r="L547" s="54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80"/>
      <c r="F548" s="54"/>
      <c r="G548" s="3"/>
      <c r="H548" s="3"/>
      <c r="I548" s="3"/>
      <c r="J548" s="3"/>
      <c r="K548" s="3"/>
      <c r="L548" s="54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80"/>
      <c r="F549" s="54"/>
      <c r="G549" s="3"/>
      <c r="H549" s="3"/>
      <c r="I549" s="3"/>
      <c r="J549" s="3"/>
      <c r="K549" s="3"/>
      <c r="L549" s="54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80"/>
      <c r="F550" s="54"/>
      <c r="G550" s="3"/>
      <c r="H550" s="3"/>
      <c r="I550" s="3"/>
      <c r="J550" s="3"/>
      <c r="K550" s="3"/>
      <c r="L550" s="54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80"/>
      <c r="F551" s="54"/>
      <c r="G551" s="3"/>
      <c r="H551" s="3"/>
      <c r="I551" s="3"/>
      <c r="J551" s="3"/>
      <c r="K551" s="3"/>
      <c r="L551" s="54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80"/>
      <c r="F552" s="54"/>
      <c r="G552" s="3"/>
      <c r="H552" s="3"/>
      <c r="I552" s="3"/>
      <c r="J552" s="3"/>
      <c r="K552" s="3"/>
      <c r="L552" s="54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80"/>
      <c r="F553" s="54"/>
      <c r="G553" s="3"/>
      <c r="H553" s="3"/>
      <c r="I553" s="3"/>
      <c r="J553" s="3"/>
      <c r="K553" s="3"/>
      <c r="L553" s="54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80"/>
      <c r="F554" s="54"/>
      <c r="G554" s="3"/>
      <c r="H554" s="3"/>
      <c r="I554" s="3"/>
      <c r="J554" s="3"/>
      <c r="K554" s="3"/>
      <c r="L554" s="54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80"/>
      <c r="F555" s="54"/>
      <c r="G555" s="3"/>
      <c r="H555" s="3"/>
      <c r="I555" s="3"/>
      <c r="J555" s="3"/>
      <c r="K555" s="3"/>
      <c r="L555" s="54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80"/>
      <c r="F556" s="54"/>
      <c r="G556" s="3"/>
      <c r="H556" s="3"/>
      <c r="I556" s="3"/>
      <c r="J556" s="3"/>
      <c r="K556" s="3"/>
      <c r="L556" s="54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80"/>
      <c r="F557" s="54"/>
      <c r="G557" s="3"/>
      <c r="H557" s="3"/>
      <c r="I557" s="3"/>
      <c r="J557" s="3"/>
      <c r="K557" s="3"/>
      <c r="L557" s="54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80"/>
      <c r="F558" s="54"/>
      <c r="G558" s="3"/>
      <c r="H558" s="3"/>
      <c r="I558" s="3"/>
      <c r="J558" s="3"/>
      <c r="K558" s="3"/>
      <c r="L558" s="54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80"/>
      <c r="F559" s="54"/>
      <c r="G559" s="3"/>
      <c r="H559" s="3"/>
      <c r="I559" s="3"/>
      <c r="J559" s="3"/>
      <c r="K559" s="3"/>
      <c r="L559" s="54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80"/>
      <c r="F560" s="54"/>
      <c r="G560" s="3"/>
      <c r="H560" s="3"/>
      <c r="I560" s="3"/>
      <c r="J560" s="3"/>
      <c r="K560" s="3"/>
      <c r="L560" s="54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80"/>
      <c r="F561" s="54"/>
      <c r="G561" s="3"/>
      <c r="H561" s="3"/>
      <c r="I561" s="3"/>
      <c r="J561" s="3"/>
      <c r="K561" s="3"/>
      <c r="L561" s="54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80"/>
      <c r="F562" s="54"/>
      <c r="G562" s="3"/>
      <c r="H562" s="3"/>
      <c r="I562" s="3"/>
      <c r="J562" s="3"/>
      <c r="K562" s="3"/>
      <c r="L562" s="54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80"/>
      <c r="F563" s="54"/>
      <c r="G563" s="3"/>
      <c r="H563" s="3"/>
      <c r="I563" s="3"/>
      <c r="J563" s="3"/>
      <c r="K563" s="3"/>
      <c r="L563" s="54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80"/>
      <c r="F564" s="54"/>
      <c r="G564" s="3"/>
      <c r="H564" s="3"/>
      <c r="I564" s="3"/>
      <c r="J564" s="3"/>
      <c r="K564" s="3"/>
      <c r="L564" s="54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80"/>
      <c r="F565" s="54"/>
      <c r="G565" s="3"/>
      <c r="H565" s="3"/>
      <c r="I565" s="3"/>
      <c r="J565" s="3"/>
      <c r="K565" s="3"/>
      <c r="L565" s="54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80"/>
      <c r="F566" s="54"/>
      <c r="G566" s="3"/>
      <c r="H566" s="3"/>
      <c r="I566" s="3"/>
      <c r="J566" s="3"/>
      <c r="K566" s="3"/>
      <c r="L566" s="54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80"/>
      <c r="F567" s="54"/>
      <c r="G567" s="3"/>
      <c r="H567" s="3"/>
      <c r="I567" s="3"/>
      <c r="J567" s="3"/>
      <c r="K567" s="3"/>
      <c r="L567" s="54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80"/>
      <c r="F568" s="54"/>
      <c r="G568" s="3"/>
      <c r="H568" s="3"/>
      <c r="I568" s="3"/>
      <c r="J568" s="3"/>
      <c r="K568" s="3"/>
      <c r="L568" s="54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80"/>
      <c r="F569" s="54"/>
      <c r="G569" s="3"/>
      <c r="H569" s="3"/>
      <c r="I569" s="3"/>
      <c r="J569" s="3"/>
      <c r="K569" s="3"/>
      <c r="L569" s="54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80"/>
      <c r="F570" s="54"/>
      <c r="G570" s="3"/>
      <c r="H570" s="3"/>
      <c r="I570" s="3"/>
      <c r="J570" s="3"/>
      <c r="K570" s="3"/>
      <c r="L570" s="54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80"/>
      <c r="F571" s="54"/>
      <c r="G571" s="3"/>
      <c r="H571" s="3"/>
      <c r="I571" s="3"/>
      <c r="J571" s="3"/>
      <c r="K571" s="3"/>
      <c r="L571" s="54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80"/>
      <c r="F572" s="54"/>
      <c r="G572" s="3"/>
      <c r="H572" s="3"/>
      <c r="I572" s="3"/>
      <c r="J572" s="3"/>
      <c r="K572" s="3"/>
      <c r="L572" s="54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80"/>
      <c r="F573" s="54"/>
      <c r="G573" s="3"/>
      <c r="H573" s="3"/>
      <c r="I573" s="3"/>
      <c r="J573" s="3"/>
      <c r="K573" s="3"/>
      <c r="L573" s="54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80"/>
      <c r="F574" s="54"/>
      <c r="G574" s="3"/>
      <c r="H574" s="3"/>
      <c r="I574" s="3"/>
      <c r="J574" s="3"/>
      <c r="K574" s="3"/>
      <c r="L574" s="54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80"/>
      <c r="F575" s="54"/>
      <c r="G575" s="3"/>
      <c r="H575" s="3"/>
      <c r="I575" s="3"/>
      <c r="J575" s="3"/>
      <c r="K575" s="3"/>
      <c r="L575" s="54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80"/>
      <c r="F576" s="54"/>
      <c r="G576" s="3"/>
      <c r="H576" s="3"/>
      <c r="I576" s="3"/>
      <c r="J576" s="3"/>
      <c r="K576" s="3"/>
      <c r="L576" s="54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80"/>
      <c r="F577" s="54"/>
      <c r="G577" s="3"/>
      <c r="H577" s="3"/>
      <c r="I577" s="3"/>
      <c r="J577" s="3"/>
      <c r="K577" s="3"/>
      <c r="L577" s="54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80"/>
      <c r="F578" s="54"/>
      <c r="G578" s="3"/>
      <c r="H578" s="3"/>
      <c r="I578" s="3"/>
      <c r="J578" s="3"/>
      <c r="K578" s="3"/>
      <c r="L578" s="54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80"/>
      <c r="F579" s="54"/>
      <c r="G579" s="3"/>
      <c r="H579" s="3"/>
      <c r="I579" s="3"/>
      <c r="J579" s="3"/>
      <c r="K579" s="3"/>
      <c r="L579" s="54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80"/>
      <c r="F580" s="54"/>
      <c r="G580" s="3"/>
      <c r="H580" s="3"/>
      <c r="I580" s="3"/>
      <c r="J580" s="3"/>
      <c r="K580" s="3"/>
      <c r="L580" s="54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80"/>
      <c r="F581" s="54"/>
      <c r="G581" s="3"/>
      <c r="H581" s="3"/>
      <c r="I581" s="3"/>
      <c r="J581" s="3"/>
      <c r="K581" s="3"/>
      <c r="L581" s="54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80"/>
      <c r="F582" s="54"/>
      <c r="G582" s="3"/>
      <c r="H582" s="3"/>
      <c r="I582" s="3"/>
      <c r="J582" s="3"/>
      <c r="K582" s="3"/>
      <c r="L582" s="54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80"/>
      <c r="F583" s="54"/>
      <c r="G583" s="3"/>
      <c r="H583" s="3"/>
      <c r="I583" s="3"/>
      <c r="J583" s="3"/>
      <c r="K583" s="3"/>
      <c r="L583" s="54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80"/>
      <c r="F584" s="54"/>
      <c r="G584" s="3"/>
      <c r="H584" s="3"/>
      <c r="I584" s="3"/>
      <c r="J584" s="3"/>
      <c r="K584" s="3"/>
      <c r="L584" s="54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80"/>
      <c r="F585" s="54"/>
      <c r="G585" s="3"/>
      <c r="H585" s="3"/>
      <c r="I585" s="3"/>
      <c r="J585" s="3"/>
      <c r="K585" s="3"/>
      <c r="L585" s="54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80"/>
      <c r="F586" s="54"/>
      <c r="G586" s="3"/>
      <c r="H586" s="3"/>
      <c r="I586" s="3"/>
      <c r="J586" s="3"/>
      <c r="K586" s="3"/>
      <c r="L586" s="54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80"/>
      <c r="F587" s="54"/>
      <c r="G587" s="3"/>
      <c r="H587" s="3"/>
      <c r="I587" s="3"/>
      <c r="J587" s="3"/>
      <c r="K587" s="3"/>
      <c r="L587" s="54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80"/>
      <c r="F588" s="54"/>
      <c r="G588" s="3"/>
      <c r="H588" s="3"/>
      <c r="I588" s="3"/>
      <c r="J588" s="3"/>
      <c r="K588" s="3"/>
      <c r="L588" s="54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80"/>
      <c r="F589" s="54"/>
      <c r="G589" s="3"/>
      <c r="H589" s="3"/>
      <c r="I589" s="3"/>
      <c r="J589" s="3"/>
      <c r="K589" s="3"/>
      <c r="L589" s="54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80"/>
      <c r="F590" s="54"/>
      <c r="G590" s="3"/>
      <c r="H590" s="3"/>
      <c r="I590" s="3"/>
      <c r="J590" s="3"/>
      <c r="K590" s="3"/>
      <c r="L590" s="54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80"/>
      <c r="F591" s="54"/>
      <c r="G591" s="3"/>
      <c r="H591" s="3"/>
      <c r="I591" s="3"/>
      <c r="J591" s="3"/>
      <c r="K591" s="3"/>
      <c r="L591" s="54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80"/>
      <c r="F592" s="54"/>
      <c r="G592" s="3"/>
      <c r="H592" s="3"/>
      <c r="I592" s="3"/>
      <c r="J592" s="3"/>
      <c r="K592" s="3"/>
      <c r="L592" s="54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80"/>
      <c r="F593" s="54"/>
      <c r="G593" s="3"/>
      <c r="H593" s="3"/>
      <c r="I593" s="3"/>
      <c r="J593" s="3"/>
      <c r="K593" s="3"/>
      <c r="L593" s="54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80"/>
      <c r="F594" s="54"/>
      <c r="G594" s="3"/>
      <c r="H594" s="3"/>
      <c r="I594" s="3"/>
      <c r="J594" s="3"/>
      <c r="K594" s="3"/>
      <c r="L594" s="54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80"/>
      <c r="F595" s="54"/>
      <c r="G595" s="3"/>
      <c r="H595" s="3"/>
      <c r="I595" s="3"/>
      <c r="J595" s="3"/>
      <c r="K595" s="3"/>
      <c r="L595" s="54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80"/>
      <c r="F596" s="54"/>
      <c r="G596" s="3"/>
      <c r="H596" s="3"/>
      <c r="I596" s="3"/>
      <c r="J596" s="3"/>
      <c r="K596" s="3"/>
      <c r="L596" s="54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80"/>
      <c r="F597" s="54"/>
      <c r="G597" s="3"/>
      <c r="H597" s="3"/>
      <c r="I597" s="3"/>
      <c r="J597" s="3"/>
      <c r="K597" s="3"/>
      <c r="L597" s="54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80"/>
      <c r="F598" s="54"/>
      <c r="G598" s="3"/>
      <c r="H598" s="3"/>
      <c r="I598" s="3"/>
      <c r="J598" s="3"/>
      <c r="K598" s="3"/>
      <c r="L598" s="54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80"/>
      <c r="F599" s="54"/>
      <c r="G599" s="3"/>
      <c r="H599" s="3"/>
      <c r="I599" s="3"/>
      <c r="J599" s="3"/>
      <c r="K599" s="3"/>
      <c r="L599" s="54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80"/>
      <c r="F600" s="54"/>
      <c r="G600" s="3"/>
      <c r="H600" s="3"/>
      <c r="I600" s="3"/>
      <c r="J600" s="3"/>
      <c r="K600" s="3"/>
      <c r="L600" s="54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80"/>
      <c r="F601" s="54"/>
      <c r="G601" s="3"/>
      <c r="H601" s="3"/>
      <c r="I601" s="3"/>
      <c r="J601" s="3"/>
      <c r="K601" s="3"/>
      <c r="L601" s="54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80"/>
      <c r="F602" s="54"/>
      <c r="G602" s="3"/>
      <c r="H602" s="3"/>
      <c r="I602" s="3"/>
      <c r="J602" s="3"/>
      <c r="K602" s="3"/>
      <c r="L602" s="54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80"/>
      <c r="F603" s="54"/>
      <c r="G603" s="3"/>
      <c r="H603" s="3"/>
      <c r="I603" s="3"/>
      <c r="J603" s="3"/>
      <c r="K603" s="3"/>
      <c r="L603" s="54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80"/>
      <c r="F604" s="54"/>
      <c r="G604" s="3"/>
      <c r="H604" s="3"/>
      <c r="I604" s="3"/>
      <c r="J604" s="3"/>
      <c r="K604" s="3"/>
      <c r="L604" s="54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80"/>
      <c r="F605" s="54"/>
      <c r="G605" s="3"/>
      <c r="H605" s="3"/>
      <c r="I605" s="3"/>
      <c r="J605" s="3"/>
      <c r="K605" s="3"/>
      <c r="L605" s="54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80"/>
      <c r="F606" s="54"/>
      <c r="G606" s="3"/>
      <c r="H606" s="3"/>
      <c r="I606" s="3"/>
      <c r="J606" s="3"/>
      <c r="K606" s="3"/>
      <c r="L606" s="54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80"/>
      <c r="F607" s="54"/>
      <c r="G607" s="3"/>
      <c r="H607" s="3"/>
      <c r="I607" s="3"/>
      <c r="J607" s="3"/>
      <c r="K607" s="3"/>
      <c r="L607" s="54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80"/>
      <c r="F608" s="54"/>
      <c r="G608" s="3"/>
      <c r="H608" s="3"/>
      <c r="I608" s="3"/>
      <c r="J608" s="3"/>
      <c r="K608" s="3"/>
      <c r="L608" s="54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80"/>
      <c r="F609" s="54"/>
      <c r="G609" s="3"/>
      <c r="H609" s="3"/>
      <c r="I609" s="3"/>
      <c r="J609" s="3"/>
      <c r="K609" s="3"/>
      <c r="L609" s="54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80"/>
      <c r="F610" s="54"/>
      <c r="G610" s="3"/>
      <c r="H610" s="3"/>
      <c r="I610" s="3"/>
      <c r="J610" s="3"/>
      <c r="K610" s="3"/>
      <c r="L610" s="54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80"/>
      <c r="F611" s="54"/>
      <c r="G611" s="3"/>
      <c r="H611" s="3"/>
      <c r="I611" s="3"/>
      <c r="J611" s="3"/>
      <c r="K611" s="3"/>
      <c r="L611" s="54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80"/>
      <c r="F612" s="54"/>
      <c r="G612" s="3"/>
      <c r="H612" s="3"/>
      <c r="I612" s="3"/>
      <c r="J612" s="3"/>
      <c r="K612" s="3"/>
      <c r="L612" s="54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80"/>
      <c r="F613" s="54"/>
      <c r="G613" s="3"/>
      <c r="H613" s="3"/>
      <c r="I613" s="3"/>
      <c r="J613" s="3"/>
      <c r="K613" s="3"/>
      <c r="L613" s="54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80"/>
      <c r="F614" s="54"/>
      <c r="G614" s="3"/>
      <c r="H614" s="3"/>
      <c r="I614" s="3"/>
      <c r="J614" s="3"/>
      <c r="K614" s="3"/>
      <c r="L614" s="54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80"/>
      <c r="F615" s="54"/>
      <c r="G615" s="3"/>
      <c r="H615" s="3"/>
      <c r="I615" s="3"/>
      <c r="J615" s="3"/>
      <c r="K615" s="3"/>
      <c r="L615" s="54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80"/>
      <c r="F616" s="54"/>
      <c r="G616" s="3"/>
      <c r="H616" s="3"/>
      <c r="I616" s="3"/>
      <c r="J616" s="3"/>
      <c r="K616" s="3"/>
      <c r="L616" s="54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80"/>
      <c r="F617" s="54"/>
      <c r="G617" s="3"/>
      <c r="H617" s="3"/>
      <c r="I617" s="3"/>
      <c r="J617" s="3"/>
      <c r="K617" s="3"/>
      <c r="L617" s="54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80"/>
      <c r="F618" s="54"/>
      <c r="G618" s="3"/>
      <c r="H618" s="3"/>
      <c r="I618" s="3"/>
      <c r="J618" s="3"/>
      <c r="K618" s="3"/>
      <c r="L618" s="54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80"/>
      <c r="F619" s="54"/>
      <c r="G619" s="3"/>
      <c r="H619" s="3"/>
      <c r="I619" s="3"/>
      <c r="J619" s="3"/>
      <c r="K619" s="3"/>
      <c r="L619" s="54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80"/>
      <c r="F620" s="54"/>
      <c r="G620" s="3"/>
      <c r="H620" s="3"/>
      <c r="I620" s="3"/>
      <c r="J620" s="3"/>
      <c r="K620" s="3"/>
      <c r="L620" s="54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80"/>
      <c r="F621" s="54"/>
      <c r="G621" s="3"/>
      <c r="H621" s="3"/>
      <c r="I621" s="3"/>
      <c r="J621" s="3"/>
      <c r="K621" s="3"/>
      <c r="L621" s="54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80"/>
      <c r="F622" s="54"/>
      <c r="G622" s="3"/>
      <c r="H622" s="3"/>
      <c r="I622" s="3"/>
      <c r="J622" s="3"/>
      <c r="K622" s="3"/>
      <c r="L622" s="54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80"/>
      <c r="F623" s="54"/>
      <c r="G623" s="3"/>
      <c r="H623" s="3"/>
      <c r="I623" s="3"/>
      <c r="J623" s="3"/>
      <c r="K623" s="3"/>
      <c r="L623" s="54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80"/>
      <c r="F624" s="54"/>
      <c r="G624" s="3"/>
      <c r="H624" s="3"/>
      <c r="I624" s="3"/>
      <c r="J624" s="3"/>
      <c r="K624" s="3"/>
      <c r="L624" s="54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80"/>
      <c r="F625" s="54"/>
      <c r="G625" s="3"/>
      <c r="H625" s="3"/>
      <c r="I625" s="3"/>
      <c r="J625" s="3"/>
      <c r="K625" s="3"/>
      <c r="L625" s="54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80"/>
      <c r="F626" s="54"/>
      <c r="G626" s="3"/>
      <c r="H626" s="3"/>
      <c r="I626" s="3"/>
      <c r="J626" s="3"/>
      <c r="K626" s="3"/>
      <c r="L626" s="54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80"/>
      <c r="F627" s="54"/>
      <c r="G627" s="3"/>
      <c r="H627" s="3"/>
      <c r="I627" s="3"/>
      <c r="J627" s="3"/>
      <c r="K627" s="3"/>
      <c r="L627" s="54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80"/>
      <c r="F628" s="54"/>
      <c r="G628" s="3"/>
      <c r="H628" s="3"/>
      <c r="I628" s="3"/>
      <c r="J628" s="3"/>
      <c r="K628" s="3"/>
      <c r="L628" s="54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80"/>
      <c r="F629" s="54"/>
      <c r="G629" s="3"/>
      <c r="H629" s="3"/>
      <c r="I629" s="3"/>
      <c r="J629" s="3"/>
      <c r="K629" s="3"/>
      <c r="L629" s="54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80"/>
      <c r="F630" s="54"/>
      <c r="G630" s="3"/>
      <c r="H630" s="3"/>
      <c r="I630" s="3"/>
      <c r="J630" s="3"/>
      <c r="K630" s="3"/>
      <c r="L630" s="54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80"/>
      <c r="F631" s="54"/>
      <c r="G631" s="3"/>
      <c r="H631" s="3"/>
      <c r="I631" s="3"/>
      <c r="J631" s="3"/>
      <c r="K631" s="3"/>
      <c r="L631" s="54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80"/>
      <c r="F632" s="54"/>
      <c r="G632" s="3"/>
      <c r="H632" s="3"/>
      <c r="I632" s="3"/>
      <c r="J632" s="3"/>
      <c r="K632" s="3"/>
      <c r="L632" s="54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80"/>
      <c r="F633" s="54"/>
      <c r="G633" s="3"/>
      <c r="H633" s="3"/>
      <c r="I633" s="3"/>
      <c r="J633" s="3"/>
      <c r="K633" s="3"/>
      <c r="L633" s="54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80"/>
      <c r="F634" s="54"/>
      <c r="G634" s="3"/>
      <c r="H634" s="3"/>
      <c r="I634" s="3"/>
      <c r="J634" s="3"/>
      <c r="K634" s="3"/>
      <c r="L634" s="54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80"/>
      <c r="F635" s="54"/>
      <c r="G635" s="3"/>
      <c r="H635" s="3"/>
      <c r="I635" s="3"/>
      <c r="J635" s="3"/>
      <c r="K635" s="3"/>
      <c r="L635" s="54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80"/>
      <c r="F636" s="54"/>
      <c r="G636" s="3"/>
      <c r="H636" s="3"/>
      <c r="I636" s="3"/>
      <c r="J636" s="3"/>
      <c r="K636" s="3"/>
      <c r="L636" s="54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80"/>
      <c r="F637" s="54"/>
      <c r="G637" s="3"/>
      <c r="H637" s="3"/>
      <c r="I637" s="3"/>
      <c r="J637" s="3"/>
      <c r="K637" s="3"/>
      <c r="L637" s="54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80"/>
      <c r="F638" s="54"/>
      <c r="G638" s="3"/>
      <c r="H638" s="3"/>
      <c r="I638" s="3"/>
      <c r="J638" s="3"/>
      <c r="K638" s="3"/>
      <c r="L638" s="54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80"/>
      <c r="F639" s="54"/>
      <c r="G639" s="3"/>
      <c r="H639" s="3"/>
      <c r="I639" s="3"/>
      <c r="J639" s="3"/>
      <c r="K639" s="3"/>
      <c r="L639" s="54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80"/>
      <c r="F640" s="54"/>
      <c r="G640" s="3"/>
      <c r="H640" s="3"/>
      <c r="I640" s="3"/>
      <c r="J640" s="3"/>
      <c r="K640" s="3"/>
      <c r="L640" s="54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80"/>
      <c r="F641" s="54"/>
      <c r="G641" s="3"/>
      <c r="H641" s="3"/>
      <c r="I641" s="3"/>
      <c r="J641" s="3"/>
      <c r="K641" s="3"/>
      <c r="L641" s="54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80"/>
      <c r="F642" s="54"/>
      <c r="G642" s="3"/>
      <c r="H642" s="3"/>
      <c r="I642" s="3"/>
      <c r="J642" s="3"/>
      <c r="K642" s="3"/>
      <c r="L642" s="54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80"/>
      <c r="F643" s="54"/>
      <c r="G643" s="3"/>
      <c r="H643" s="3"/>
      <c r="I643" s="3"/>
      <c r="J643" s="3"/>
      <c r="K643" s="3"/>
      <c r="L643" s="54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80"/>
      <c r="F644" s="54"/>
      <c r="G644" s="3"/>
      <c r="H644" s="3"/>
      <c r="I644" s="3"/>
      <c r="J644" s="3"/>
      <c r="K644" s="3"/>
      <c r="L644" s="54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80"/>
      <c r="F645" s="54"/>
      <c r="G645" s="3"/>
      <c r="H645" s="3"/>
      <c r="I645" s="3"/>
      <c r="J645" s="3"/>
      <c r="K645" s="3"/>
      <c r="L645" s="54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80"/>
      <c r="F646" s="54"/>
      <c r="G646" s="3"/>
      <c r="H646" s="3"/>
      <c r="I646" s="3"/>
      <c r="J646" s="3"/>
      <c r="K646" s="3"/>
      <c r="L646" s="54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80"/>
      <c r="F647" s="54"/>
      <c r="G647" s="3"/>
      <c r="H647" s="3"/>
      <c r="I647" s="3"/>
      <c r="J647" s="3"/>
      <c r="K647" s="3"/>
      <c r="L647" s="54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80"/>
      <c r="F648" s="54"/>
      <c r="G648" s="3"/>
      <c r="H648" s="3"/>
      <c r="I648" s="3"/>
      <c r="J648" s="3"/>
      <c r="K648" s="3"/>
      <c r="L648" s="54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80"/>
      <c r="F649" s="54"/>
      <c r="G649" s="3"/>
      <c r="H649" s="3"/>
      <c r="I649" s="3"/>
      <c r="J649" s="3"/>
      <c r="K649" s="3"/>
      <c r="L649" s="54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80"/>
      <c r="F650" s="54"/>
      <c r="G650" s="3"/>
      <c r="H650" s="3"/>
      <c r="I650" s="3"/>
      <c r="J650" s="3"/>
      <c r="K650" s="3"/>
      <c r="L650" s="54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80"/>
      <c r="F651" s="54"/>
      <c r="G651" s="3"/>
      <c r="H651" s="3"/>
      <c r="I651" s="3"/>
      <c r="J651" s="3"/>
      <c r="K651" s="3"/>
      <c r="L651" s="54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80"/>
      <c r="F652" s="54"/>
      <c r="G652" s="3"/>
      <c r="H652" s="3"/>
      <c r="I652" s="3"/>
      <c r="J652" s="3"/>
      <c r="K652" s="3"/>
      <c r="L652" s="54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80"/>
      <c r="F653" s="54"/>
      <c r="G653" s="3"/>
      <c r="H653" s="3"/>
      <c r="I653" s="3"/>
      <c r="J653" s="3"/>
      <c r="K653" s="3"/>
      <c r="L653" s="54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80"/>
      <c r="F654" s="54"/>
      <c r="G654" s="3"/>
      <c r="H654" s="3"/>
      <c r="I654" s="3"/>
      <c r="J654" s="3"/>
      <c r="K654" s="3"/>
      <c r="L654" s="54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80"/>
      <c r="F655" s="54"/>
      <c r="G655" s="3"/>
      <c r="H655" s="3"/>
      <c r="I655" s="3"/>
      <c r="J655" s="3"/>
      <c r="K655" s="3"/>
      <c r="L655" s="54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80"/>
      <c r="F656" s="54"/>
      <c r="G656" s="3"/>
      <c r="H656" s="3"/>
      <c r="I656" s="3"/>
      <c r="J656" s="3"/>
      <c r="K656" s="3"/>
      <c r="L656" s="54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80"/>
      <c r="F657" s="54"/>
      <c r="G657" s="3"/>
      <c r="H657" s="3"/>
      <c r="I657" s="3"/>
      <c r="J657" s="3"/>
      <c r="K657" s="3"/>
      <c r="L657" s="54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80"/>
      <c r="F658" s="54"/>
      <c r="G658" s="3"/>
      <c r="H658" s="3"/>
      <c r="I658" s="3"/>
      <c r="J658" s="3"/>
      <c r="K658" s="3"/>
      <c r="L658" s="54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80"/>
      <c r="F659" s="54"/>
      <c r="G659" s="3"/>
      <c r="H659" s="3"/>
      <c r="I659" s="3"/>
      <c r="J659" s="3"/>
      <c r="K659" s="3"/>
      <c r="L659" s="54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80"/>
      <c r="F660" s="54"/>
      <c r="G660" s="3"/>
      <c r="H660" s="3"/>
      <c r="I660" s="3"/>
      <c r="J660" s="3"/>
      <c r="K660" s="3"/>
      <c r="L660" s="54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80"/>
      <c r="F661" s="54"/>
      <c r="G661" s="3"/>
      <c r="H661" s="3"/>
      <c r="I661" s="3"/>
      <c r="J661" s="3"/>
      <c r="K661" s="3"/>
      <c r="L661" s="54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80"/>
      <c r="F662" s="54"/>
      <c r="G662" s="3"/>
      <c r="H662" s="3"/>
      <c r="I662" s="3"/>
      <c r="J662" s="3"/>
      <c r="K662" s="3"/>
      <c r="L662" s="54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80"/>
      <c r="F663" s="54"/>
      <c r="G663" s="3"/>
      <c r="H663" s="3"/>
      <c r="I663" s="3"/>
      <c r="J663" s="3"/>
      <c r="K663" s="3"/>
      <c r="L663" s="54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80"/>
      <c r="F664" s="54"/>
      <c r="G664" s="3"/>
      <c r="H664" s="3"/>
      <c r="I664" s="3"/>
      <c r="J664" s="3"/>
      <c r="K664" s="3"/>
      <c r="L664" s="54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80"/>
      <c r="F665" s="54"/>
      <c r="G665" s="3"/>
      <c r="H665" s="3"/>
      <c r="I665" s="3"/>
      <c r="J665" s="3"/>
      <c r="K665" s="3"/>
      <c r="L665" s="54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80"/>
      <c r="F666" s="54"/>
      <c r="G666" s="3"/>
      <c r="H666" s="3"/>
      <c r="I666" s="3"/>
      <c r="J666" s="3"/>
      <c r="K666" s="3"/>
      <c r="L666" s="54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80"/>
      <c r="F667" s="54"/>
      <c r="G667" s="3"/>
      <c r="H667" s="3"/>
      <c r="I667" s="3"/>
      <c r="J667" s="3"/>
      <c r="K667" s="3"/>
      <c r="L667" s="54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80"/>
      <c r="F668" s="54"/>
      <c r="G668" s="3"/>
      <c r="H668" s="3"/>
      <c r="I668" s="3"/>
      <c r="J668" s="3"/>
      <c r="K668" s="3"/>
      <c r="L668" s="54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80"/>
      <c r="F669" s="54"/>
      <c r="G669" s="3"/>
      <c r="H669" s="3"/>
      <c r="I669" s="3"/>
      <c r="J669" s="3"/>
      <c r="K669" s="3"/>
      <c r="L669" s="54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80"/>
      <c r="F670" s="54"/>
      <c r="G670" s="3"/>
      <c r="H670" s="3"/>
      <c r="I670" s="3"/>
      <c r="J670" s="3"/>
      <c r="K670" s="3"/>
      <c r="L670" s="54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80"/>
      <c r="F671" s="54"/>
      <c r="G671" s="3"/>
      <c r="H671" s="3"/>
      <c r="I671" s="3"/>
      <c r="J671" s="3"/>
      <c r="K671" s="3"/>
      <c r="L671" s="54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80"/>
      <c r="F672" s="54"/>
      <c r="G672" s="3"/>
      <c r="H672" s="3"/>
      <c r="I672" s="3"/>
      <c r="J672" s="3"/>
      <c r="K672" s="3"/>
      <c r="L672" s="54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80"/>
      <c r="F673" s="54"/>
      <c r="G673" s="3"/>
      <c r="H673" s="3"/>
      <c r="I673" s="3"/>
      <c r="J673" s="3"/>
      <c r="K673" s="3"/>
      <c r="L673" s="54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80"/>
      <c r="F674" s="54"/>
      <c r="G674" s="3"/>
      <c r="H674" s="3"/>
      <c r="I674" s="3"/>
      <c r="J674" s="3"/>
      <c r="K674" s="3"/>
      <c r="L674" s="54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80"/>
      <c r="F675" s="54"/>
      <c r="G675" s="3"/>
      <c r="H675" s="3"/>
      <c r="I675" s="3"/>
      <c r="J675" s="3"/>
      <c r="K675" s="3"/>
      <c r="L675" s="54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80"/>
      <c r="F676" s="54"/>
      <c r="G676" s="3"/>
      <c r="H676" s="3"/>
      <c r="I676" s="3"/>
      <c r="J676" s="3"/>
      <c r="K676" s="3"/>
      <c r="L676" s="54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80"/>
      <c r="F677" s="54"/>
      <c r="G677" s="3"/>
      <c r="H677" s="3"/>
      <c r="I677" s="3"/>
      <c r="J677" s="3"/>
      <c r="K677" s="3"/>
      <c r="L677" s="54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80"/>
      <c r="F678" s="54"/>
      <c r="G678" s="3"/>
      <c r="H678" s="3"/>
      <c r="I678" s="3"/>
      <c r="J678" s="3"/>
      <c r="K678" s="3"/>
      <c r="L678" s="54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80"/>
      <c r="F679" s="54"/>
      <c r="G679" s="3"/>
      <c r="H679" s="3"/>
      <c r="I679" s="3"/>
      <c r="J679" s="3"/>
      <c r="K679" s="3"/>
      <c r="L679" s="54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80"/>
      <c r="F680" s="54"/>
      <c r="G680" s="3"/>
      <c r="H680" s="3"/>
      <c r="I680" s="3"/>
      <c r="J680" s="3"/>
      <c r="K680" s="3"/>
      <c r="L680" s="54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80"/>
      <c r="F681" s="54"/>
      <c r="G681" s="3"/>
      <c r="H681" s="3"/>
      <c r="I681" s="3"/>
      <c r="J681" s="3"/>
      <c r="K681" s="3"/>
      <c r="L681" s="54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80"/>
      <c r="F682" s="54"/>
      <c r="G682" s="3"/>
      <c r="H682" s="3"/>
      <c r="I682" s="3"/>
      <c r="J682" s="3"/>
      <c r="K682" s="3"/>
      <c r="L682" s="54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80"/>
      <c r="F683" s="54"/>
      <c r="G683" s="3"/>
      <c r="H683" s="3"/>
      <c r="I683" s="3"/>
      <c r="J683" s="3"/>
      <c r="K683" s="3"/>
      <c r="L683" s="54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80"/>
      <c r="F684" s="54"/>
      <c r="G684" s="3"/>
      <c r="H684" s="3"/>
      <c r="I684" s="3"/>
      <c r="J684" s="3"/>
      <c r="K684" s="3"/>
      <c r="L684" s="54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80"/>
      <c r="F685" s="54"/>
      <c r="G685" s="3"/>
      <c r="H685" s="3"/>
      <c r="I685" s="3"/>
      <c r="J685" s="3"/>
      <c r="K685" s="3"/>
      <c r="L685" s="54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80"/>
      <c r="F686" s="54"/>
      <c r="G686" s="3"/>
      <c r="H686" s="3"/>
      <c r="I686" s="3"/>
      <c r="J686" s="3"/>
      <c r="K686" s="3"/>
      <c r="L686" s="54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80"/>
      <c r="F687" s="54"/>
      <c r="G687" s="3"/>
      <c r="H687" s="3"/>
      <c r="I687" s="3"/>
      <c r="J687" s="3"/>
      <c r="K687" s="3"/>
      <c r="L687" s="54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80"/>
      <c r="F688" s="54"/>
      <c r="G688" s="3"/>
      <c r="H688" s="3"/>
      <c r="I688" s="3"/>
      <c r="J688" s="3"/>
      <c r="K688" s="3"/>
      <c r="L688" s="54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80"/>
      <c r="F689" s="54"/>
      <c r="G689" s="3"/>
      <c r="H689" s="3"/>
      <c r="I689" s="3"/>
      <c r="J689" s="3"/>
      <c r="K689" s="3"/>
      <c r="L689" s="54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80"/>
      <c r="F690" s="54"/>
      <c r="G690" s="3"/>
      <c r="H690" s="3"/>
      <c r="I690" s="3"/>
      <c r="J690" s="3"/>
      <c r="K690" s="3"/>
      <c r="L690" s="54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80"/>
      <c r="F691" s="54"/>
      <c r="G691" s="3"/>
      <c r="H691" s="3"/>
      <c r="I691" s="3"/>
      <c r="J691" s="3"/>
      <c r="K691" s="3"/>
      <c r="L691" s="54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80"/>
      <c r="F692" s="54"/>
      <c r="G692" s="3"/>
      <c r="H692" s="3"/>
      <c r="I692" s="3"/>
      <c r="J692" s="3"/>
      <c r="K692" s="3"/>
      <c r="L692" s="54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80"/>
      <c r="F693" s="54"/>
      <c r="G693" s="3"/>
      <c r="H693" s="3"/>
      <c r="I693" s="3"/>
      <c r="J693" s="3"/>
      <c r="K693" s="3"/>
      <c r="L693" s="54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80"/>
      <c r="F694" s="54"/>
      <c r="G694" s="3"/>
      <c r="H694" s="3"/>
      <c r="I694" s="3"/>
      <c r="J694" s="3"/>
      <c r="K694" s="3"/>
      <c r="L694" s="54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80"/>
      <c r="F695" s="54"/>
      <c r="G695" s="3"/>
      <c r="H695" s="3"/>
      <c r="I695" s="3"/>
      <c r="J695" s="3"/>
      <c r="K695" s="3"/>
      <c r="L695" s="54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80"/>
      <c r="F696" s="54"/>
      <c r="G696" s="3"/>
      <c r="H696" s="3"/>
      <c r="I696" s="3"/>
      <c r="J696" s="3"/>
      <c r="K696" s="3"/>
      <c r="L696" s="54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80"/>
      <c r="F697" s="54"/>
      <c r="G697" s="3"/>
      <c r="H697" s="3"/>
      <c r="I697" s="3"/>
      <c r="J697" s="3"/>
      <c r="K697" s="3"/>
      <c r="L697" s="54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80"/>
      <c r="F698" s="54"/>
      <c r="G698" s="3"/>
      <c r="H698" s="3"/>
      <c r="I698" s="3"/>
      <c r="J698" s="3"/>
      <c r="K698" s="3"/>
      <c r="L698" s="54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80"/>
      <c r="F699" s="54"/>
      <c r="G699" s="3"/>
      <c r="H699" s="3"/>
      <c r="I699" s="3"/>
      <c r="J699" s="3"/>
      <c r="K699" s="3"/>
      <c r="L699" s="54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80"/>
      <c r="F700" s="54"/>
      <c r="G700" s="3"/>
      <c r="H700" s="3"/>
      <c r="I700" s="3"/>
      <c r="J700" s="3"/>
      <c r="K700" s="3"/>
      <c r="L700" s="54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80"/>
      <c r="F701" s="54"/>
      <c r="G701" s="3"/>
      <c r="H701" s="3"/>
      <c r="I701" s="3"/>
      <c r="J701" s="3"/>
      <c r="K701" s="3"/>
      <c r="L701" s="54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80"/>
      <c r="F702" s="54"/>
      <c r="G702" s="3"/>
      <c r="H702" s="3"/>
      <c r="I702" s="3"/>
      <c r="J702" s="3"/>
      <c r="K702" s="3"/>
      <c r="L702" s="54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80"/>
      <c r="F703" s="54"/>
      <c r="G703" s="3"/>
      <c r="H703" s="3"/>
      <c r="I703" s="3"/>
      <c r="J703" s="3"/>
      <c r="K703" s="3"/>
      <c r="L703" s="54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80"/>
      <c r="F704" s="54"/>
      <c r="G704" s="3"/>
      <c r="H704" s="3"/>
      <c r="I704" s="3"/>
      <c r="J704" s="3"/>
      <c r="K704" s="3"/>
      <c r="L704" s="54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80"/>
      <c r="F705" s="54"/>
      <c r="G705" s="3"/>
      <c r="H705" s="3"/>
      <c r="I705" s="3"/>
      <c r="J705" s="3"/>
      <c r="K705" s="3"/>
      <c r="L705" s="54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80"/>
      <c r="F706" s="54"/>
      <c r="G706" s="3"/>
      <c r="H706" s="3"/>
      <c r="I706" s="3"/>
      <c r="J706" s="3"/>
      <c r="K706" s="3"/>
      <c r="L706" s="54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80"/>
      <c r="F707" s="54"/>
      <c r="G707" s="3"/>
      <c r="H707" s="3"/>
      <c r="I707" s="3"/>
      <c r="J707" s="3"/>
      <c r="K707" s="3"/>
      <c r="L707" s="54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80"/>
      <c r="F708" s="54"/>
      <c r="G708" s="3"/>
      <c r="H708" s="3"/>
      <c r="I708" s="3"/>
      <c r="J708" s="3"/>
      <c r="K708" s="3"/>
      <c r="L708" s="54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80"/>
      <c r="F709" s="54"/>
      <c r="G709" s="3"/>
      <c r="H709" s="3"/>
      <c r="I709" s="3"/>
      <c r="J709" s="3"/>
      <c r="K709" s="3"/>
      <c r="L709" s="54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80"/>
      <c r="F710" s="54"/>
      <c r="G710" s="3"/>
      <c r="H710" s="3"/>
      <c r="I710" s="3"/>
      <c r="J710" s="3"/>
      <c r="K710" s="3"/>
      <c r="L710" s="54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80"/>
      <c r="F711" s="54"/>
      <c r="G711" s="3"/>
      <c r="H711" s="3"/>
      <c r="I711" s="3"/>
      <c r="J711" s="3"/>
      <c r="K711" s="3"/>
      <c r="L711" s="54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80"/>
      <c r="F712" s="54"/>
      <c r="G712" s="3"/>
      <c r="H712" s="3"/>
      <c r="I712" s="3"/>
      <c r="J712" s="3"/>
      <c r="K712" s="3"/>
      <c r="L712" s="54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80"/>
      <c r="F713" s="54"/>
      <c r="G713" s="3"/>
      <c r="H713" s="3"/>
      <c r="I713" s="3"/>
      <c r="J713" s="3"/>
      <c r="K713" s="3"/>
      <c r="L713" s="54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80"/>
      <c r="F714" s="54"/>
      <c r="G714" s="3"/>
      <c r="H714" s="3"/>
      <c r="I714" s="3"/>
      <c r="J714" s="3"/>
      <c r="K714" s="3"/>
      <c r="L714" s="54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80"/>
      <c r="F715" s="54"/>
      <c r="G715" s="3"/>
      <c r="H715" s="3"/>
      <c r="I715" s="3"/>
      <c r="J715" s="3"/>
      <c r="K715" s="3"/>
      <c r="L715" s="54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80"/>
      <c r="F716" s="54"/>
      <c r="G716" s="3"/>
      <c r="H716" s="3"/>
      <c r="I716" s="3"/>
      <c r="J716" s="3"/>
      <c r="K716" s="3"/>
      <c r="L716" s="54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80"/>
      <c r="F717" s="54"/>
      <c r="G717" s="3"/>
      <c r="H717" s="3"/>
      <c r="I717" s="3"/>
      <c r="J717" s="3"/>
      <c r="K717" s="3"/>
      <c r="L717" s="54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80"/>
      <c r="F718" s="54"/>
      <c r="G718" s="3"/>
      <c r="H718" s="3"/>
      <c r="I718" s="3"/>
      <c r="J718" s="3"/>
      <c r="K718" s="3"/>
      <c r="L718" s="54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80"/>
      <c r="F719" s="54"/>
      <c r="G719" s="3"/>
      <c r="H719" s="3"/>
      <c r="I719" s="3"/>
      <c r="J719" s="3"/>
      <c r="K719" s="3"/>
      <c r="L719" s="54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80"/>
      <c r="F720" s="54"/>
      <c r="G720" s="3"/>
      <c r="H720" s="3"/>
      <c r="I720" s="3"/>
      <c r="J720" s="3"/>
      <c r="K720" s="3"/>
      <c r="L720" s="54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80"/>
      <c r="F721" s="54"/>
      <c r="G721" s="3"/>
      <c r="H721" s="3"/>
      <c r="I721" s="3"/>
      <c r="J721" s="3"/>
      <c r="K721" s="3"/>
      <c r="L721" s="54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80"/>
      <c r="F722" s="54"/>
      <c r="G722" s="3"/>
      <c r="H722" s="3"/>
      <c r="I722" s="3"/>
      <c r="J722" s="3"/>
      <c r="K722" s="3"/>
      <c r="L722" s="54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80"/>
      <c r="F723" s="54"/>
      <c r="G723" s="3"/>
      <c r="H723" s="3"/>
      <c r="I723" s="3"/>
      <c r="J723" s="3"/>
      <c r="K723" s="3"/>
      <c r="L723" s="54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80"/>
      <c r="F724" s="54"/>
      <c r="G724" s="3"/>
      <c r="H724" s="3"/>
      <c r="I724" s="3"/>
      <c r="J724" s="3"/>
      <c r="K724" s="3"/>
      <c r="L724" s="54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80"/>
      <c r="F725" s="54"/>
      <c r="G725" s="3"/>
      <c r="H725" s="3"/>
      <c r="I725" s="3"/>
      <c r="J725" s="3"/>
      <c r="K725" s="3"/>
      <c r="L725" s="54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80"/>
      <c r="F726" s="54"/>
      <c r="G726" s="3"/>
      <c r="H726" s="3"/>
      <c r="I726" s="3"/>
      <c r="J726" s="3"/>
      <c r="K726" s="3"/>
      <c r="L726" s="54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80"/>
      <c r="F727" s="54"/>
      <c r="G727" s="3"/>
      <c r="H727" s="3"/>
      <c r="I727" s="3"/>
      <c r="J727" s="3"/>
      <c r="K727" s="3"/>
      <c r="L727" s="54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80"/>
      <c r="F728" s="54"/>
      <c r="G728" s="3"/>
      <c r="H728" s="3"/>
      <c r="I728" s="3"/>
      <c r="J728" s="3"/>
      <c r="K728" s="3"/>
      <c r="L728" s="54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80"/>
      <c r="F729" s="54"/>
      <c r="G729" s="3"/>
      <c r="H729" s="3"/>
      <c r="I729" s="3"/>
      <c r="J729" s="3"/>
      <c r="K729" s="3"/>
      <c r="L729" s="54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80"/>
      <c r="F730" s="54"/>
      <c r="G730" s="3"/>
      <c r="H730" s="3"/>
      <c r="I730" s="3"/>
      <c r="J730" s="3"/>
      <c r="K730" s="3"/>
      <c r="L730" s="54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80"/>
      <c r="F731" s="54"/>
      <c r="G731" s="3"/>
      <c r="H731" s="3"/>
      <c r="I731" s="3"/>
      <c r="J731" s="3"/>
      <c r="K731" s="3"/>
      <c r="L731" s="54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80"/>
      <c r="F732" s="54"/>
      <c r="G732" s="3"/>
      <c r="H732" s="3"/>
      <c r="I732" s="3"/>
      <c r="J732" s="3"/>
      <c r="K732" s="3"/>
      <c r="L732" s="54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80"/>
      <c r="F733" s="54"/>
      <c r="G733" s="3"/>
      <c r="H733" s="3"/>
      <c r="I733" s="3"/>
      <c r="J733" s="3"/>
      <c r="K733" s="3"/>
      <c r="L733" s="54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80"/>
      <c r="F734" s="54"/>
      <c r="G734" s="3"/>
      <c r="H734" s="3"/>
      <c r="I734" s="3"/>
      <c r="J734" s="3"/>
      <c r="K734" s="3"/>
      <c r="L734" s="54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80"/>
      <c r="F735" s="54"/>
      <c r="G735" s="3"/>
      <c r="H735" s="3"/>
      <c r="I735" s="3"/>
      <c r="J735" s="3"/>
      <c r="K735" s="3"/>
      <c r="L735" s="54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80"/>
      <c r="F736" s="54"/>
      <c r="G736" s="3"/>
      <c r="H736" s="3"/>
      <c r="I736" s="3"/>
      <c r="J736" s="3"/>
      <c r="K736" s="3"/>
      <c r="L736" s="54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80"/>
      <c r="F737" s="54"/>
      <c r="G737" s="3"/>
      <c r="H737" s="3"/>
      <c r="I737" s="3"/>
      <c r="J737" s="3"/>
      <c r="K737" s="3"/>
      <c r="L737" s="54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80"/>
      <c r="F738" s="54"/>
      <c r="G738" s="3"/>
      <c r="H738" s="3"/>
      <c r="I738" s="3"/>
      <c r="J738" s="3"/>
      <c r="K738" s="3"/>
      <c r="L738" s="54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80"/>
      <c r="F739" s="54"/>
      <c r="G739" s="3"/>
      <c r="H739" s="3"/>
      <c r="I739" s="3"/>
      <c r="J739" s="3"/>
      <c r="K739" s="3"/>
      <c r="L739" s="54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80"/>
      <c r="F740" s="54"/>
      <c r="G740" s="3"/>
      <c r="H740" s="3"/>
      <c r="I740" s="3"/>
      <c r="J740" s="3"/>
      <c r="K740" s="3"/>
      <c r="L740" s="54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80"/>
      <c r="F741" s="54"/>
      <c r="G741" s="3"/>
      <c r="H741" s="3"/>
      <c r="I741" s="3"/>
      <c r="J741" s="3"/>
      <c r="K741" s="3"/>
      <c r="L741" s="54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80"/>
      <c r="F742" s="54"/>
      <c r="G742" s="3"/>
      <c r="H742" s="3"/>
      <c r="I742" s="3"/>
      <c r="J742" s="3"/>
      <c r="K742" s="3"/>
      <c r="L742" s="54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80"/>
      <c r="F743" s="54"/>
      <c r="G743" s="3"/>
      <c r="H743" s="3"/>
      <c r="I743" s="3"/>
      <c r="J743" s="3"/>
      <c r="K743" s="3"/>
      <c r="L743" s="54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80"/>
      <c r="F744" s="54"/>
      <c r="G744" s="3"/>
      <c r="H744" s="3"/>
      <c r="I744" s="3"/>
      <c r="J744" s="3"/>
      <c r="K744" s="3"/>
      <c r="L744" s="54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80"/>
      <c r="F745" s="54"/>
      <c r="G745" s="3"/>
      <c r="H745" s="3"/>
      <c r="I745" s="3"/>
      <c r="J745" s="3"/>
      <c r="K745" s="3"/>
      <c r="L745" s="54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80"/>
      <c r="F746" s="54"/>
      <c r="G746" s="3"/>
      <c r="H746" s="3"/>
      <c r="I746" s="3"/>
      <c r="J746" s="3"/>
      <c r="K746" s="3"/>
      <c r="L746" s="54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80"/>
      <c r="F747" s="54"/>
      <c r="G747" s="3"/>
      <c r="H747" s="3"/>
      <c r="I747" s="3"/>
      <c r="J747" s="3"/>
      <c r="K747" s="3"/>
      <c r="L747" s="54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80"/>
      <c r="F748" s="54"/>
      <c r="G748" s="3"/>
      <c r="H748" s="3"/>
      <c r="I748" s="3"/>
      <c r="J748" s="3"/>
      <c r="K748" s="3"/>
      <c r="L748" s="54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80"/>
      <c r="F749" s="54"/>
      <c r="G749" s="3"/>
      <c r="H749" s="3"/>
      <c r="I749" s="3"/>
      <c r="J749" s="3"/>
      <c r="K749" s="3"/>
      <c r="L749" s="54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80"/>
      <c r="F750" s="54"/>
      <c r="G750" s="3"/>
      <c r="H750" s="3"/>
      <c r="I750" s="3"/>
      <c r="J750" s="3"/>
      <c r="K750" s="3"/>
      <c r="L750" s="54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80"/>
      <c r="F751" s="54"/>
      <c r="G751" s="3"/>
      <c r="H751" s="3"/>
      <c r="I751" s="3"/>
      <c r="J751" s="3"/>
      <c r="K751" s="3"/>
      <c r="L751" s="54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80"/>
      <c r="F752" s="54"/>
      <c r="G752" s="3"/>
      <c r="H752" s="3"/>
      <c r="I752" s="3"/>
      <c r="J752" s="3"/>
      <c r="K752" s="3"/>
      <c r="L752" s="54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80"/>
      <c r="F753" s="54"/>
      <c r="G753" s="3"/>
      <c r="H753" s="3"/>
      <c r="I753" s="3"/>
      <c r="J753" s="3"/>
      <c r="K753" s="3"/>
      <c r="L753" s="54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80"/>
      <c r="F754" s="54"/>
      <c r="G754" s="3"/>
      <c r="H754" s="3"/>
      <c r="I754" s="3"/>
      <c r="J754" s="3"/>
      <c r="K754" s="3"/>
      <c r="L754" s="54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80"/>
      <c r="F755" s="54"/>
      <c r="G755" s="3"/>
      <c r="H755" s="3"/>
      <c r="I755" s="3"/>
      <c r="J755" s="3"/>
      <c r="K755" s="3"/>
      <c r="L755" s="54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80"/>
      <c r="F756" s="54"/>
      <c r="G756" s="3"/>
      <c r="H756" s="3"/>
      <c r="I756" s="3"/>
      <c r="J756" s="3"/>
      <c r="K756" s="3"/>
      <c r="L756" s="54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80"/>
      <c r="F757" s="54"/>
      <c r="G757" s="3"/>
      <c r="H757" s="3"/>
      <c r="I757" s="3"/>
      <c r="J757" s="3"/>
      <c r="K757" s="3"/>
      <c r="L757" s="54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80"/>
      <c r="F758" s="54"/>
      <c r="G758" s="3"/>
      <c r="H758" s="3"/>
      <c r="I758" s="3"/>
      <c r="J758" s="3"/>
      <c r="K758" s="3"/>
      <c r="L758" s="54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80"/>
      <c r="F759" s="54"/>
      <c r="G759" s="3"/>
      <c r="H759" s="3"/>
      <c r="I759" s="3"/>
      <c r="J759" s="3"/>
      <c r="K759" s="3"/>
      <c r="L759" s="54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80"/>
      <c r="F760" s="54"/>
      <c r="G760" s="3"/>
      <c r="H760" s="3"/>
      <c r="I760" s="3"/>
      <c r="J760" s="3"/>
      <c r="K760" s="3"/>
      <c r="L760" s="54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80"/>
      <c r="F761" s="54"/>
      <c r="G761" s="3"/>
      <c r="H761" s="3"/>
      <c r="I761" s="3"/>
      <c r="J761" s="3"/>
      <c r="K761" s="3"/>
      <c r="L761" s="54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80"/>
      <c r="F762" s="54"/>
      <c r="G762" s="3"/>
      <c r="H762" s="3"/>
      <c r="I762" s="3"/>
      <c r="J762" s="3"/>
      <c r="K762" s="3"/>
      <c r="L762" s="54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80"/>
      <c r="F763" s="54"/>
      <c r="G763" s="3"/>
      <c r="H763" s="3"/>
      <c r="I763" s="3"/>
      <c r="J763" s="3"/>
      <c r="K763" s="3"/>
      <c r="L763" s="54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80"/>
      <c r="F764" s="54"/>
      <c r="G764" s="3"/>
      <c r="H764" s="3"/>
      <c r="I764" s="3"/>
      <c r="J764" s="3"/>
      <c r="K764" s="3"/>
      <c r="L764" s="54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80"/>
      <c r="F765" s="54"/>
      <c r="G765" s="3"/>
      <c r="H765" s="3"/>
      <c r="I765" s="3"/>
      <c r="J765" s="3"/>
      <c r="K765" s="3"/>
      <c r="L765" s="54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80"/>
      <c r="F766" s="54"/>
      <c r="G766" s="3"/>
      <c r="H766" s="3"/>
      <c r="I766" s="3"/>
      <c r="J766" s="3"/>
      <c r="K766" s="3"/>
      <c r="L766" s="54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80"/>
      <c r="F767" s="54"/>
      <c r="G767" s="3"/>
      <c r="H767" s="3"/>
      <c r="I767" s="3"/>
      <c r="J767" s="3"/>
      <c r="K767" s="3"/>
      <c r="L767" s="54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80"/>
      <c r="F768" s="54"/>
      <c r="G768" s="3"/>
      <c r="H768" s="3"/>
      <c r="I768" s="3"/>
      <c r="J768" s="3"/>
      <c r="K768" s="3"/>
      <c r="L768" s="54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80"/>
      <c r="F769" s="54"/>
      <c r="G769" s="3"/>
      <c r="H769" s="3"/>
      <c r="I769" s="3"/>
      <c r="J769" s="3"/>
      <c r="K769" s="3"/>
      <c r="L769" s="54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80"/>
      <c r="F770" s="54"/>
      <c r="G770" s="3"/>
      <c r="H770" s="3"/>
      <c r="I770" s="3"/>
      <c r="J770" s="3"/>
      <c r="K770" s="3"/>
      <c r="L770" s="54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80"/>
      <c r="F771" s="54"/>
      <c r="G771" s="3"/>
      <c r="H771" s="3"/>
      <c r="I771" s="3"/>
      <c r="J771" s="3"/>
      <c r="K771" s="3"/>
      <c r="L771" s="54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80"/>
      <c r="F772" s="54"/>
      <c r="G772" s="3"/>
      <c r="H772" s="3"/>
      <c r="I772" s="3"/>
      <c r="J772" s="3"/>
      <c r="K772" s="3"/>
      <c r="L772" s="54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80"/>
      <c r="F773" s="54"/>
      <c r="G773" s="3"/>
      <c r="H773" s="3"/>
      <c r="I773" s="3"/>
      <c r="J773" s="3"/>
      <c r="K773" s="3"/>
      <c r="L773" s="54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80"/>
      <c r="F774" s="54"/>
      <c r="G774" s="3"/>
      <c r="H774" s="3"/>
      <c r="I774" s="3"/>
      <c r="J774" s="3"/>
      <c r="K774" s="3"/>
      <c r="L774" s="54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80"/>
      <c r="F775" s="54"/>
      <c r="G775" s="3"/>
      <c r="H775" s="3"/>
      <c r="I775" s="3"/>
      <c r="J775" s="3"/>
      <c r="K775" s="3"/>
      <c r="L775" s="54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80"/>
      <c r="F776" s="54"/>
      <c r="G776" s="3"/>
      <c r="H776" s="3"/>
      <c r="I776" s="3"/>
      <c r="J776" s="3"/>
      <c r="K776" s="3"/>
      <c r="L776" s="54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80"/>
      <c r="F777" s="54"/>
      <c r="G777" s="3"/>
      <c r="H777" s="3"/>
      <c r="I777" s="3"/>
      <c r="J777" s="3"/>
      <c r="K777" s="3"/>
      <c r="L777" s="54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80"/>
      <c r="F778" s="54"/>
      <c r="G778" s="3"/>
      <c r="H778" s="3"/>
      <c r="I778" s="3"/>
      <c r="J778" s="3"/>
      <c r="K778" s="3"/>
      <c r="L778" s="54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80"/>
      <c r="F779" s="54"/>
      <c r="G779" s="3"/>
      <c r="H779" s="3"/>
      <c r="I779" s="3"/>
      <c r="J779" s="3"/>
      <c r="K779" s="3"/>
      <c r="L779" s="54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80"/>
      <c r="F780" s="54"/>
      <c r="G780" s="3"/>
      <c r="H780" s="3"/>
      <c r="I780" s="3"/>
      <c r="J780" s="3"/>
      <c r="K780" s="3"/>
      <c r="L780" s="54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80"/>
      <c r="F781" s="54"/>
      <c r="G781" s="3"/>
      <c r="H781" s="3"/>
      <c r="I781" s="3"/>
      <c r="J781" s="3"/>
      <c r="K781" s="3"/>
      <c r="L781" s="54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80"/>
      <c r="F782" s="54"/>
      <c r="G782" s="3"/>
      <c r="H782" s="3"/>
      <c r="I782" s="3"/>
      <c r="J782" s="3"/>
      <c r="K782" s="3"/>
      <c r="L782" s="54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80"/>
      <c r="F783" s="54"/>
      <c r="G783" s="3"/>
      <c r="H783" s="3"/>
      <c r="I783" s="3"/>
      <c r="J783" s="3"/>
      <c r="K783" s="3"/>
      <c r="L783" s="54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80"/>
      <c r="F784" s="54"/>
      <c r="G784" s="3"/>
      <c r="H784" s="3"/>
      <c r="I784" s="3"/>
      <c r="J784" s="3"/>
      <c r="K784" s="3"/>
      <c r="L784" s="54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80"/>
      <c r="F785" s="54"/>
      <c r="G785" s="3"/>
      <c r="H785" s="3"/>
      <c r="I785" s="3"/>
      <c r="J785" s="3"/>
      <c r="K785" s="3"/>
      <c r="L785" s="54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80"/>
      <c r="F786" s="54"/>
      <c r="G786" s="3"/>
      <c r="H786" s="3"/>
      <c r="I786" s="3"/>
      <c r="J786" s="3"/>
      <c r="K786" s="3"/>
      <c r="L786" s="54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80"/>
      <c r="F787" s="54"/>
      <c r="G787" s="3"/>
      <c r="H787" s="3"/>
      <c r="I787" s="3"/>
      <c r="J787" s="3"/>
      <c r="K787" s="3"/>
      <c r="L787" s="54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80"/>
      <c r="F788" s="54"/>
      <c r="G788" s="3"/>
      <c r="H788" s="3"/>
      <c r="I788" s="3"/>
      <c r="J788" s="3"/>
      <c r="K788" s="3"/>
      <c r="L788" s="54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80"/>
      <c r="F789" s="54"/>
      <c r="G789" s="3"/>
      <c r="H789" s="3"/>
      <c r="I789" s="3"/>
      <c r="J789" s="3"/>
      <c r="K789" s="3"/>
      <c r="L789" s="54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80"/>
      <c r="F790" s="54"/>
      <c r="G790" s="3"/>
      <c r="H790" s="3"/>
      <c r="I790" s="3"/>
      <c r="J790" s="3"/>
      <c r="K790" s="3"/>
      <c r="L790" s="54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80"/>
      <c r="F791" s="54"/>
      <c r="G791" s="3"/>
      <c r="H791" s="3"/>
      <c r="I791" s="3"/>
      <c r="J791" s="3"/>
      <c r="K791" s="3"/>
      <c r="L791" s="54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80"/>
      <c r="F792" s="54"/>
      <c r="G792" s="3"/>
      <c r="H792" s="3"/>
      <c r="I792" s="3"/>
      <c r="J792" s="3"/>
      <c r="K792" s="3"/>
      <c r="L792" s="54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80"/>
      <c r="F793" s="54"/>
      <c r="G793" s="3"/>
      <c r="H793" s="3"/>
      <c r="I793" s="3"/>
      <c r="J793" s="3"/>
      <c r="K793" s="3"/>
      <c r="L793" s="54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80"/>
      <c r="F794" s="54"/>
      <c r="G794" s="3"/>
      <c r="H794" s="3"/>
      <c r="I794" s="3"/>
      <c r="J794" s="3"/>
      <c r="K794" s="3"/>
      <c r="L794" s="54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80"/>
      <c r="F795" s="54"/>
      <c r="G795" s="3"/>
      <c r="H795" s="3"/>
      <c r="I795" s="3"/>
      <c r="J795" s="3"/>
      <c r="K795" s="3"/>
      <c r="L795" s="54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80"/>
      <c r="F796" s="54"/>
      <c r="G796" s="3"/>
      <c r="H796" s="3"/>
      <c r="I796" s="3"/>
      <c r="J796" s="3"/>
      <c r="K796" s="3"/>
      <c r="L796" s="54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80"/>
      <c r="F797" s="54"/>
      <c r="G797" s="3"/>
      <c r="H797" s="3"/>
      <c r="I797" s="3"/>
      <c r="J797" s="3"/>
      <c r="K797" s="3"/>
      <c r="L797" s="54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80"/>
      <c r="F798" s="54"/>
      <c r="G798" s="3"/>
      <c r="H798" s="3"/>
      <c r="I798" s="3"/>
      <c r="J798" s="3"/>
      <c r="K798" s="3"/>
      <c r="L798" s="54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80"/>
      <c r="F799" s="54"/>
      <c r="G799" s="3"/>
      <c r="H799" s="3"/>
      <c r="I799" s="3"/>
      <c r="J799" s="3"/>
      <c r="K799" s="3"/>
      <c r="L799" s="54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80"/>
      <c r="F800" s="54"/>
      <c r="G800" s="3"/>
      <c r="H800" s="3"/>
      <c r="I800" s="3"/>
      <c r="J800" s="3"/>
      <c r="K800" s="3"/>
      <c r="L800" s="54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80"/>
      <c r="F801" s="54"/>
      <c r="G801" s="3"/>
      <c r="H801" s="3"/>
      <c r="I801" s="3"/>
      <c r="J801" s="3"/>
      <c r="K801" s="3"/>
      <c r="L801" s="54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80"/>
      <c r="F802" s="54"/>
      <c r="G802" s="3"/>
      <c r="H802" s="3"/>
      <c r="I802" s="3"/>
      <c r="J802" s="3"/>
      <c r="K802" s="3"/>
      <c r="L802" s="54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80"/>
      <c r="F803" s="54"/>
      <c r="G803" s="3"/>
      <c r="H803" s="3"/>
      <c r="I803" s="3"/>
      <c r="J803" s="3"/>
      <c r="K803" s="3"/>
      <c r="L803" s="54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80"/>
      <c r="F804" s="54"/>
      <c r="G804" s="3"/>
      <c r="H804" s="3"/>
      <c r="I804" s="3"/>
      <c r="J804" s="3"/>
      <c r="K804" s="3"/>
      <c r="L804" s="54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80"/>
      <c r="F805" s="54"/>
      <c r="G805" s="3"/>
      <c r="H805" s="3"/>
      <c r="I805" s="3"/>
      <c r="J805" s="3"/>
      <c r="K805" s="3"/>
      <c r="L805" s="54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80"/>
      <c r="F806" s="54"/>
      <c r="G806" s="3"/>
      <c r="H806" s="3"/>
      <c r="I806" s="3"/>
      <c r="J806" s="3"/>
      <c r="K806" s="3"/>
      <c r="L806" s="54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80"/>
      <c r="F807" s="54"/>
      <c r="G807" s="3"/>
      <c r="H807" s="3"/>
      <c r="I807" s="3"/>
      <c r="J807" s="3"/>
      <c r="K807" s="3"/>
      <c r="L807" s="54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80"/>
      <c r="F808" s="54"/>
      <c r="G808" s="3"/>
      <c r="H808" s="3"/>
      <c r="I808" s="3"/>
      <c r="J808" s="3"/>
      <c r="K808" s="3"/>
      <c r="L808" s="54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80"/>
      <c r="F809" s="54"/>
      <c r="G809" s="3"/>
      <c r="H809" s="3"/>
      <c r="I809" s="3"/>
      <c r="J809" s="3"/>
      <c r="K809" s="3"/>
      <c r="L809" s="54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80"/>
      <c r="F810" s="54"/>
      <c r="G810" s="3"/>
      <c r="H810" s="3"/>
      <c r="I810" s="3"/>
      <c r="J810" s="3"/>
      <c r="K810" s="3"/>
      <c r="L810" s="54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80"/>
      <c r="F811" s="54"/>
      <c r="G811" s="3"/>
      <c r="H811" s="3"/>
      <c r="I811" s="3"/>
      <c r="J811" s="3"/>
      <c r="K811" s="3"/>
      <c r="L811" s="54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80"/>
      <c r="F812" s="54"/>
      <c r="G812" s="3"/>
      <c r="H812" s="3"/>
      <c r="I812" s="3"/>
      <c r="J812" s="3"/>
      <c r="K812" s="3"/>
      <c r="L812" s="54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80"/>
      <c r="F813" s="54"/>
      <c r="G813" s="3"/>
      <c r="H813" s="3"/>
      <c r="I813" s="3"/>
      <c r="J813" s="3"/>
      <c r="K813" s="3"/>
      <c r="L813" s="54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80"/>
      <c r="F814" s="54"/>
      <c r="G814" s="3"/>
      <c r="H814" s="3"/>
      <c r="I814" s="3"/>
      <c r="J814" s="3"/>
      <c r="K814" s="3"/>
      <c r="L814" s="54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80"/>
      <c r="F815" s="54"/>
      <c r="G815" s="3"/>
      <c r="H815" s="3"/>
      <c r="I815" s="3"/>
      <c r="J815" s="3"/>
      <c r="K815" s="3"/>
      <c r="L815" s="54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80"/>
      <c r="F816" s="54"/>
      <c r="G816" s="3"/>
      <c r="H816" s="3"/>
      <c r="I816" s="3"/>
      <c r="J816" s="3"/>
      <c r="K816" s="3"/>
      <c r="L816" s="54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80"/>
      <c r="F817" s="54"/>
      <c r="G817" s="3"/>
      <c r="H817" s="3"/>
      <c r="I817" s="3"/>
      <c r="J817" s="3"/>
      <c r="K817" s="3"/>
      <c r="L817" s="54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80"/>
      <c r="F818" s="54"/>
      <c r="G818" s="3"/>
      <c r="H818" s="3"/>
      <c r="I818" s="3"/>
      <c r="J818" s="3"/>
      <c r="K818" s="3"/>
      <c r="L818" s="54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80"/>
      <c r="F819" s="54"/>
      <c r="G819" s="3"/>
      <c r="H819" s="3"/>
      <c r="I819" s="3"/>
      <c r="J819" s="3"/>
      <c r="K819" s="3"/>
      <c r="L819" s="54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80"/>
      <c r="F820" s="54"/>
      <c r="G820" s="3"/>
      <c r="H820" s="3"/>
      <c r="I820" s="3"/>
      <c r="J820" s="3"/>
      <c r="K820" s="3"/>
      <c r="L820" s="54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80"/>
      <c r="F821" s="54"/>
      <c r="G821" s="3"/>
      <c r="H821" s="3"/>
      <c r="I821" s="3"/>
      <c r="J821" s="3"/>
      <c r="K821" s="3"/>
      <c r="L821" s="54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80"/>
      <c r="F822" s="54"/>
      <c r="G822" s="3"/>
      <c r="H822" s="3"/>
      <c r="I822" s="3"/>
      <c r="J822" s="3"/>
      <c r="K822" s="3"/>
      <c r="L822" s="54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80"/>
      <c r="F823" s="54"/>
      <c r="G823" s="3"/>
      <c r="H823" s="3"/>
      <c r="I823" s="3"/>
      <c r="J823" s="3"/>
      <c r="K823" s="3"/>
      <c r="L823" s="54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80"/>
      <c r="F824" s="54"/>
      <c r="G824" s="3"/>
      <c r="H824" s="3"/>
      <c r="I824" s="3"/>
      <c r="J824" s="3"/>
      <c r="K824" s="3"/>
      <c r="L824" s="54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80"/>
      <c r="F825" s="54"/>
      <c r="G825" s="3"/>
      <c r="H825" s="3"/>
      <c r="I825" s="3"/>
      <c r="J825" s="3"/>
      <c r="K825" s="3"/>
      <c r="L825" s="54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80"/>
      <c r="F826" s="54"/>
      <c r="G826" s="3"/>
      <c r="H826" s="3"/>
      <c r="I826" s="3"/>
      <c r="J826" s="3"/>
      <c r="K826" s="3"/>
      <c r="L826" s="54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80"/>
      <c r="F827" s="54"/>
      <c r="G827" s="3"/>
      <c r="H827" s="3"/>
      <c r="I827" s="3"/>
      <c r="J827" s="3"/>
      <c r="K827" s="3"/>
      <c r="L827" s="54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80"/>
      <c r="F828" s="54"/>
      <c r="G828" s="3"/>
      <c r="H828" s="3"/>
      <c r="I828" s="3"/>
      <c r="J828" s="3"/>
      <c r="K828" s="3"/>
      <c r="L828" s="54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80"/>
      <c r="F829" s="54"/>
      <c r="G829" s="3"/>
      <c r="H829" s="3"/>
      <c r="I829" s="3"/>
      <c r="J829" s="3"/>
      <c r="K829" s="3"/>
      <c r="L829" s="54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80"/>
      <c r="F830" s="54"/>
      <c r="G830" s="3"/>
      <c r="H830" s="3"/>
      <c r="I830" s="3"/>
      <c r="J830" s="3"/>
      <c r="K830" s="3"/>
      <c r="L830" s="54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80"/>
      <c r="F831" s="54"/>
      <c r="G831" s="3"/>
      <c r="H831" s="3"/>
      <c r="I831" s="3"/>
      <c r="J831" s="3"/>
      <c r="K831" s="3"/>
      <c r="L831" s="54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80"/>
      <c r="F832" s="54"/>
      <c r="G832" s="3"/>
      <c r="H832" s="3"/>
      <c r="I832" s="3"/>
      <c r="J832" s="3"/>
      <c r="K832" s="3"/>
      <c r="L832" s="54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80"/>
      <c r="F833" s="54"/>
      <c r="G833" s="3"/>
      <c r="H833" s="3"/>
      <c r="I833" s="3"/>
      <c r="J833" s="3"/>
      <c r="K833" s="3"/>
      <c r="L833" s="54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80"/>
      <c r="F834" s="54"/>
      <c r="G834" s="3"/>
      <c r="H834" s="3"/>
      <c r="I834" s="3"/>
      <c r="J834" s="3"/>
      <c r="K834" s="3"/>
      <c r="L834" s="54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80"/>
      <c r="F835" s="54"/>
      <c r="G835" s="3"/>
      <c r="H835" s="3"/>
      <c r="I835" s="3"/>
      <c r="J835" s="3"/>
      <c r="K835" s="3"/>
      <c r="L835" s="54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80"/>
      <c r="F836" s="54"/>
      <c r="G836" s="3"/>
      <c r="H836" s="3"/>
      <c r="I836" s="3"/>
      <c r="J836" s="3"/>
      <c r="K836" s="3"/>
      <c r="L836" s="54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80"/>
      <c r="F837" s="54"/>
      <c r="G837" s="3"/>
      <c r="H837" s="3"/>
      <c r="I837" s="3"/>
      <c r="J837" s="3"/>
      <c r="K837" s="3"/>
      <c r="L837" s="54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80"/>
      <c r="F838" s="54"/>
      <c r="G838" s="3"/>
      <c r="H838" s="3"/>
      <c r="I838" s="3"/>
      <c r="J838" s="3"/>
      <c r="K838" s="3"/>
      <c r="L838" s="54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80"/>
      <c r="F839" s="54"/>
      <c r="G839" s="3"/>
      <c r="H839" s="3"/>
      <c r="I839" s="3"/>
      <c r="J839" s="3"/>
      <c r="K839" s="3"/>
      <c r="L839" s="54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80"/>
      <c r="F840" s="54"/>
      <c r="G840" s="3"/>
      <c r="H840" s="3"/>
      <c r="I840" s="3"/>
      <c r="J840" s="3"/>
      <c r="K840" s="3"/>
      <c r="L840" s="54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80"/>
      <c r="F841" s="54"/>
      <c r="G841" s="3"/>
      <c r="H841" s="3"/>
      <c r="I841" s="3"/>
      <c r="J841" s="3"/>
      <c r="K841" s="3"/>
      <c r="L841" s="54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80"/>
      <c r="F842" s="54"/>
      <c r="G842" s="3"/>
      <c r="H842" s="3"/>
      <c r="I842" s="3"/>
      <c r="J842" s="3"/>
      <c r="K842" s="3"/>
      <c r="L842" s="54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80"/>
      <c r="F843" s="54"/>
      <c r="G843" s="3"/>
      <c r="H843" s="3"/>
      <c r="I843" s="3"/>
      <c r="J843" s="3"/>
      <c r="K843" s="3"/>
      <c r="L843" s="54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80"/>
      <c r="F844" s="54"/>
      <c r="G844" s="3"/>
      <c r="H844" s="3"/>
      <c r="I844" s="3"/>
      <c r="J844" s="3"/>
      <c r="K844" s="3"/>
      <c r="L844" s="54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80"/>
      <c r="F845" s="54"/>
      <c r="G845" s="3"/>
      <c r="H845" s="3"/>
      <c r="I845" s="3"/>
      <c r="J845" s="3"/>
      <c r="K845" s="3"/>
      <c r="L845" s="54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80"/>
      <c r="F846" s="54"/>
      <c r="G846" s="3"/>
      <c r="H846" s="3"/>
      <c r="I846" s="3"/>
      <c r="J846" s="3"/>
      <c r="K846" s="3"/>
      <c r="L846" s="54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80"/>
      <c r="F847" s="54"/>
      <c r="G847" s="3"/>
      <c r="H847" s="3"/>
      <c r="I847" s="3"/>
      <c r="J847" s="3"/>
      <c r="K847" s="3"/>
      <c r="L847" s="54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80"/>
      <c r="F848" s="54"/>
      <c r="G848" s="3"/>
      <c r="H848" s="3"/>
      <c r="I848" s="3"/>
      <c r="J848" s="3"/>
      <c r="K848" s="3"/>
      <c r="L848" s="54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80"/>
      <c r="F849" s="54"/>
      <c r="G849" s="3"/>
      <c r="H849" s="3"/>
      <c r="I849" s="3"/>
      <c r="J849" s="3"/>
      <c r="K849" s="3"/>
      <c r="L849" s="54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80"/>
      <c r="F850" s="54"/>
      <c r="G850" s="3"/>
      <c r="H850" s="3"/>
      <c r="I850" s="3"/>
      <c r="J850" s="3"/>
      <c r="K850" s="3"/>
      <c r="L850" s="54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80"/>
      <c r="F851" s="54"/>
      <c r="G851" s="3"/>
      <c r="H851" s="3"/>
      <c r="I851" s="3"/>
      <c r="J851" s="3"/>
      <c r="K851" s="3"/>
      <c r="L851" s="54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80"/>
      <c r="F852" s="54"/>
      <c r="G852" s="3"/>
      <c r="H852" s="3"/>
      <c r="I852" s="3"/>
      <c r="J852" s="3"/>
      <c r="K852" s="3"/>
      <c r="L852" s="54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80"/>
      <c r="F853" s="54"/>
      <c r="G853" s="3"/>
      <c r="H853" s="3"/>
      <c r="I853" s="3"/>
      <c r="J853" s="3"/>
      <c r="K853" s="3"/>
      <c r="L853" s="54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80"/>
      <c r="F854" s="54"/>
      <c r="G854" s="3"/>
      <c r="H854" s="3"/>
      <c r="I854" s="3"/>
      <c r="J854" s="3"/>
      <c r="K854" s="3"/>
      <c r="L854" s="54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80"/>
      <c r="F855" s="54"/>
      <c r="G855" s="3"/>
      <c r="H855" s="3"/>
      <c r="I855" s="3"/>
      <c r="J855" s="3"/>
      <c r="K855" s="3"/>
      <c r="L855" s="54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80"/>
      <c r="F856" s="54"/>
      <c r="G856" s="3"/>
      <c r="H856" s="3"/>
      <c r="I856" s="3"/>
      <c r="J856" s="3"/>
      <c r="K856" s="3"/>
      <c r="L856" s="54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80"/>
      <c r="F857" s="54"/>
      <c r="G857" s="3"/>
      <c r="H857" s="3"/>
      <c r="I857" s="3"/>
      <c r="J857" s="3"/>
      <c r="K857" s="3"/>
      <c r="L857" s="54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80"/>
      <c r="F858" s="54"/>
      <c r="G858" s="3"/>
      <c r="H858" s="3"/>
      <c r="I858" s="3"/>
      <c r="J858" s="3"/>
      <c r="K858" s="3"/>
      <c r="L858" s="54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80"/>
      <c r="F859" s="54"/>
      <c r="G859" s="3"/>
      <c r="H859" s="3"/>
      <c r="I859" s="3"/>
      <c r="J859" s="3"/>
      <c r="K859" s="3"/>
      <c r="L859" s="54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80"/>
      <c r="F860" s="54"/>
      <c r="G860" s="3"/>
      <c r="H860" s="3"/>
      <c r="I860" s="3"/>
      <c r="J860" s="3"/>
      <c r="K860" s="3"/>
      <c r="L860" s="54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80"/>
      <c r="F861" s="54"/>
      <c r="G861" s="3"/>
      <c r="H861" s="3"/>
      <c r="I861" s="3"/>
      <c r="J861" s="3"/>
      <c r="K861" s="3"/>
      <c r="L861" s="54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80"/>
      <c r="F862" s="54"/>
      <c r="G862" s="3"/>
      <c r="H862" s="3"/>
      <c r="I862" s="3"/>
      <c r="J862" s="3"/>
      <c r="K862" s="3"/>
      <c r="L862" s="54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80"/>
      <c r="F863" s="54"/>
      <c r="G863" s="3"/>
      <c r="H863" s="3"/>
      <c r="I863" s="3"/>
      <c r="J863" s="3"/>
      <c r="K863" s="3"/>
      <c r="L863" s="54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80"/>
      <c r="F864" s="54"/>
      <c r="G864" s="3"/>
      <c r="H864" s="3"/>
      <c r="I864" s="3"/>
      <c r="J864" s="3"/>
      <c r="K864" s="3"/>
      <c r="L864" s="54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80"/>
      <c r="F865" s="54"/>
      <c r="G865" s="3"/>
      <c r="H865" s="3"/>
      <c r="I865" s="3"/>
      <c r="J865" s="3"/>
      <c r="K865" s="3"/>
      <c r="L865" s="54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80"/>
      <c r="F866" s="54"/>
      <c r="G866" s="3"/>
      <c r="H866" s="3"/>
      <c r="I866" s="3"/>
      <c r="J866" s="3"/>
      <c r="K866" s="3"/>
      <c r="L866" s="54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80"/>
      <c r="F867" s="54"/>
      <c r="G867" s="3"/>
      <c r="H867" s="3"/>
      <c r="I867" s="3"/>
      <c r="J867" s="3"/>
      <c r="K867" s="3"/>
      <c r="L867" s="54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80"/>
      <c r="F868" s="54"/>
      <c r="G868" s="3"/>
      <c r="H868" s="3"/>
      <c r="I868" s="3"/>
      <c r="J868" s="3"/>
      <c r="K868" s="3"/>
      <c r="L868" s="54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80"/>
      <c r="F869" s="54"/>
      <c r="G869" s="3"/>
      <c r="H869" s="3"/>
      <c r="I869" s="3"/>
      <c r="J869" s="3"/>
      <c r="K869" s="3"/>
      <c r="L869" s="54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80"/>
      <c r="F870" s="54"/>
      <c r="G870" s="3"/>
      <c r="H870" s="3"/>
      <c r="I870" s="3"/>
      <c r="J870" s="3"/>
      <c r="K870" s="3"/>
      <c r="L870" s="54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80"/>
      <c r="F871" s="54"/>
      <c r="G871" s="3"/>
      <c r="H871" s="3"/>
      <c r="I871" s="3"/>
      <c r="J871" s="3"/>
      <c r="K871" s="3"/>
      <c r="L871" s="54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80"/>
      <c r="F872" s="54"/>
      <c r="G872" s="3"/>
      <c r="H872" s="3"/>
      <c r="I872" s="3"/>
      <c r="J872" s="3"/>
      <c r="K872" s="3"/>
      <c r="L872" s="54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80"/>
      <c r="F873" s="54"/>
      <c r="G873" s="3"/>
      <c r="H873" s="3"/>
      <c r="I873" s="3"/>
      <c r="J873" s="3"/>
      <c r="K873" s="3"/>
      <c r="L873" s="54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80"/>
      <c r="F874" s="54"/>
      <c r="G874" s="3"/>
      <c r="H874" s="3"/>
      <c r="I874" s="3"/>
      <c r="J874" s="3"/>
      <c r="K874" s="3"/>
      <c r="L874" s="54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80"/>
      <c r="F875" s="54"/>
      <c r="G875" s="3"/>
      <c r="H875" s="3"/>
      <c r="I875" s="3"/>
      <c r="J875" s="3"/>
      <c r="K875" s="3"/>
      <c r="L875" s="54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80"/>
      <c r="F876" s="54"/>
      <c r="G876" s="3"/>
      <c r="H876" s="3"/>
      <c r="I876" s="3"/>
      <c r="J876" s="3"/>
      <c r="K876" s="3"/>
      <c r="L876" s="54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80"/>
      <c r="F877" s="54"/>
      <c r="G877" s="3"/>
      <c r="H877" s="3"/>
      <c r="I877" s="3"/>
      <c r="J877" s="3"/>
      <c r="K877" s="3"/>
      <c r="L877" s="54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80"/>
      <c r="F878" s="54"/>
      <c r="G878" s="3"/>
      <c r="H878" s="3"/>
      <c r="I878" s="3"/>
      <c r="J878" s="3"/>
      <c r="K878" s="3"/>
      <c r="L878" s="54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80"/>
      <c r="F879" s="54"/>
      <c r="G879" s="3"/>
      <c r="H879" s="3"/>
      <c r="I879" s="3"/>
      <c r="J879" s="3"/>
      <c r="K879" s="3"/>
      <c r="L879" s="54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80"/>
      <c r="F880" s="54"/>
      <c r="G880" s="3"/>
      <c r="H880" s="3"/>
      <c r="I880" s="3"/>
      <c r="J880" s="3"/>
      <c r="K880" s="3"/>
      <c r="L880" s="54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80"/>
      <c r="F881" s="54"/>
      <c r="G881" s="3"/>
      <c r="H881" s="3"/>
      <c r="I881" s="3"/>
      <c r="J881" s="3"/>
      <c r="K881" s="3"/>
      <c r="L881" s="54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80"/>
      <c r="F882" s="54"/>
      <c r="G882" s="3"/>
      <c r="H882" s="3"/>
      <c r="I882" s="3"/>
      <c r="J882" s="3"/>
      <c r="K882" s="3"/>
      <c r="L882" s="54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80"/>
      <c r="F883" s="54"/>
      <c r="G883" s="3"/>
      <c r="H883" s="3"/>
      <c r="I883" s="3"/>
      <c r="J883" s="3"/>
      <c r="K883" s="3"/>
      <c r="L883" s="54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80"/>
      <c r="F884" s="54"/>
      <c r="G884" s="3"/>
      <c r="H884" s="3"/>
      <c r="I884" s="3"/>
      <c r="J884" s="3"/>
      <c r="K884" s="3"/>
      <c r="L884" s="54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80"/>
      <c r="F885" s="54"/>
      <c r="G885" s="3"/>
      <c r="H885" s="3"/>
      <c r="I885" s="3"/>
      <c r="J885" s="3"/>
      <c r="K885" s="3"/>
      <c r="L885" s="54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80"/>
      <c r="F886" s="54"/>
      <c r="G886" s="3"/>
      <c r="H886" s="3"/>
      <c r="I886" s="3"/>
      <c r="J886" s="3"/>
      <c r="K886" s="3"/>
      <c r="L886" s="54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80"/>
      <c r="F887" s="54"/>
      <c r="G887" s="3"/>
      <c r="H887" s="3"/>
      <c r="I887" s="3"/>
      <c r="J887" s="3"/>
      <c r="K887" s="3"/>
      <c r="L887" s="54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80"/>
      <c r="F888" s="54"/>
      <c r="G888" s="3"/>
      <c r="H888" s="3"/>
      <c r="I888" s="3"/>
      <c r="J888" s="3"/>
      <c r="K888" s="3"/>
      <c r="L888" s="54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80"/>
      <c r="F889" s="54"/>
      <c r="G889" s="3"/>
      <c r="H889" s="3"/>
      <c r="I889" s="3"/>
      <c r="J889" s="3"/>
      <c r="K889" s="3"/>
      <c r="L889" s="54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80"/>
      <c r="F890" s="54"/>
      <c r="G890" s="3"/>
      <c r="H890" s="3"/>
      <c r="I890" s="3"/>
      <c r="J890" s="3"/>
      <c r="K890" s="3"/>
      <c r="L890" s="54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80"/>
      <c r="F891" s="54"/>
      <c r="G891" s="3"/>
      <c r="H891" s="3"/>
      <c r="I891" s="3"/>
      <c r="J891" s="3"/>
      <c r="K891" s="3"/>
      <c r="L891" s="54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80"/>
      <c r="F892" s="54"/>
      <c r="G892" s="3"/>
      <c r="H892" s="3"/>
      <c r="I892" s="3"/>
      <c r="J892" s="3"/>
      <c r="K892" s="3"/>
      <c r="L892" s="54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80"/>
      <c r="F893" s="54"/>
      <c r="G893" s="3"/>
      <c r="H893" s="3"/>
      <c r="I893" s="3"/>
      <c r="J893" s="3"/>
      <c r="K893" s="3"/>
      <c r="L893" s="54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80"/>
      <c r="F894" s="54"/>
      <c r="G894" s="3"/>
      <c r="H894" s="3"/>
      <c r="I894" s="3"/>
      <c r="J894" s="3"/>
      <c r="K894" s="3"/>
      <c r="L894" s="54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80"/>
      <c r="F895" s="54"/>
      <c r="G895" s="3"/>
      <c r="H895" s="3"/>
      <c r="I895" s="3"/>
      <c r="J895" s="3"/>
      <c r="K895" s="3"/>
      <c r="L895" s="54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80"/>
      <c r="F896" s="54"/>
      <c r="G896" s="3"/>
      <c r="H896" s="3"/>
      <c r="I896" s="3"/>
      <c r="J896" s="3"/>
      <c r="K896" s="3"/>
      <c r="L896" s="54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80"/>
      <c r="F897" s="54"/>
      <c r="G897" s="3"/>
      <c r="H897" s="3"/>
      <c r="I897" s="3"/>
      <c r="J897" s="3"/>
      <c r="K897" s="3"/>
      <c r="L897" s="54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80"/>
      <c r="F898" s="54"/>
      <c r="G898" s="3"/>
      <c r="H898" s="3"/>
      <c r="I898" s="3"/>
      <c r="J898" s="3"/>
      <c r="K898" s="3"/>
      <c r="L898" s="54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80"/>
      <c r="F899" s="54"/>
      <c r="G899" s="3"/>
      <c r="H899" s="3"/>
      <c r="I899" s="3"/>
      <c r="J899" s="3"/>
      <c r="K899" s="3"/>
      <c r="L899" s="54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80"/>
      <c r="F900" s="54"/>
      <c r="G900" s="3"/>
      <c r="H900" s="3"/>
      <c r="I900" s="3"/>
      <c r="J900" s="3"/>
      <c r="K900" s="3"/>
      <c r="L900" s="54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80"/>
      <c r="F901" s="54"/>
      <c r="G901" s="3"/>
      <c r="H901" s="3"/>
      <c r="I901" s="3"/>
      <c r="J901" s="3"/>
      <c r="K901" s="3"/>
      <c r="L901" s="54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80"/>
      <c r="F902" s="54"/>
      <c r="G902" s="3"/>
      <c r="H902" s="3"/>
      <c r="I902" s="3"/>
      <c r="J902" s="3"/>
      <c r="K902" s="3"/>
      <c r="L902" s="54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80"/>
      <c r="F903" s="54"/>
      <c r="G903" s="3"/>
      <c r="H903" s="3"/>
      <c r="I903" s="3"/>
      <c r="J903" s="3"/>
      <c r="K903" s="3"/>
      <c r="L903" s="54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80"/>
      <c r="F904" s="54"/>
      <c r="G904" s="3"/>
      <c r="H904" s="3"/>
      <c r="I904" s="3"/>
      <c r="J904" s="3"/>
      <c r="K904" s="3"/>
      <c r="L904" s="54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80"/>
      <c r="F905" s="54"/>
      <c r="G905" s="3"/>
      <c r="H905" s="3"/>
      <c r="I905" s="3"/>
      <c r="J905" s="3"/>
      <c r="K905" s="3"/>
      <c r="L905" s="54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80"/>
      <c r="F906" s="54"/>
      <c r="G906" s="3"/>
      <c r="H906" s="3"/>
      <c r="I906" s="3"/>
      <c r="J906" s="3"/>
      <c r="K906" s="3"/>
      <c r="L906" s="54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80"/>
      <c r="F907" s="54"/>
      <c r="G907" s="3"/>
      <c r="H907" s="3"/>
      <c r="I907" s="3"/>
      <c r="J907" s="3"/>
      <c r="K907" s="3"/>
      <c r="L907" s="54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80"/>
      <c r="F908" s="54"/>
      <c r="G908" s="3"/>
      <c r="H908" s="3"/>
      <c r="I908" s="3"/>
      <c r="J908" s="3"/>
      <c r="K908" s="3"/>
      <c r="L908" s="54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80"/>
      <c r="F909" s="54"/>
      <c r="G909" s="3"/>
      <c r="H909" s="3"/>
      <c r="I909" s="3"/>
      <c r="J909" s="3"/>
      <c r="K909" s="3"/>
      <c r="L909" s="54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80"/>
      <c r="F910" s="54"/>
      <c r="G910" s="3"/>
      <c r="H910" s="3"/>
      <c r="I910" s="3"/>
      <c r="J910" s="3"/>
      <c r="K910" s="3"/>
      <c r="L910" s="54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80"/>
      <c r="F911" s="54"/>
      <c r="G911" s="3"/>
      <c r="H911" s="3"/>
      <c r="I911" s="3"/>
      <c r="J911" s="3"/>
      <c r="K911" s="3"/>
      <c r="L911" s="54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80"/>
      <c r="F912" s="54"/>
      <c r="G912" s="3"/>
      <c r="H912" s="3"/>
      <c r="I912" s="3"/>
      <c r="J912" s="3"/>
      <c r="K912" s="3"/>
      <c r="L912" s="54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80"/>
      <c r="F913" s="54"/>
      <c r="G913" s="3"/>
      <c r="H913" s="3"/>
      <c r="I913" s="3"/>
      <c r="J913" s="3"/>
      <c r="K913" s="3"/>
      <c r="L913" s="54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80"/>
      <c r="F914" s="54"/>
      <c r="G914" s="3"/>
      <c r="H914" s="3"/>
      <c r="I914" s="3"/>
      <c r="J914" s="3"/>
      <c r="K914" s="3"/>
      <c r="L914" s="54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80"/>
      <c r="F915" s="54"/>
      <c r="G915" s="3"/>
      <c r="H915" s="3"/>
      <c r="I915" s="3"/>
      <c r="J915" s="3"/>
      <c r="K915" s="3"/>
      <c r="L915" s="54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80"/>
      <c r="F916" s="54"/>
      <c r="G916" s="3"/>
      <c r="H916" s="3"/>
      <c r="I916" s="3"/>
      <c r="J916" s="3"/>
      <c r="K916" s="3"/>
      <c r="L916" s="54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80"/>
      <c r="F917" s="54"/>
      <c r="G917" s="3"/>
      <c r="H917" s="3"/>
      <c r="I917" s="3"/>
      <c r="J917" s="3"/>
      <c r="K917" s="3"/>
      <c r="L917" s="54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80"/>
      <c r="F918" s="54"/>
      <c r="G918" s="3"/>
      <c r="H918" s="3"/>
      <c r="I918" s="3"/>
      <c r="J918" s="3"/>
      <c r="K918" s="3"/>
      <c r="L918" s="54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80"/>
      <c r="F919" s="54"/>
      <c r="G919" s="3"/>
      <c r="H919" s="3"/>
      <c r="I919" s="3"/>
      <c r="J919" s="3"/>
      <c r="K919" s="3"/>
      <c r="L919" s="54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80"/>
      <c r="F920" s="54"/>
      <c r="G920" s="3"/>
      <c r="H920" s="3"/>
      <c r="I920" s="3"/>
      <c r="J920" s="3"/>
      <c r="K920" s="3"/>
      <c r="L920" s="54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80"/>
      <c r="F921" s="54"/>
      <c r="G921" s="3"/>
      <c r="H921" s="3"/>
      <c r="I921" s="3"/>
      <c r="J921" s="3"/>
      <c r="K921" s="3"/>
      <c r="L921" s="54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80"/>
      <c r="F922" s="54"/>
      <c r="G922" s="3"/>
      <c r="H922" s="3"/>
      <c r="I922" s="3"/>
      <c r="J922" s="3"/>
      <c r="K922" s="3"/>
      <c r="L922" s="54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80"/>
      <c r="F923" s="54"/>
      <c r="G923" s="3"/>
      <c r="H923" s="3"/>
      <c r="I923" s="3"/>
      <c r="J923" s="3"/>
      <c r="K923" s="3"/>
      <c r="L923" s="54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80"/>
      <c r="F924" s="54"/>
      <c r="G924" s="3"/>
      <c r="H924" s="3"/>
      <c r="I924" s="3"/>
      <c r="J924" s="3"/>
      <c r="K924" s="3"/>
      <c r="L924" s="54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80"/>
      <c r="F925" s="54"/>
      <c r="G925" s="3"/>
      <c r="H925" s="3"/>
      <c r="I925" s="3"/>
      <c r="J925" s="3"/>
      <c r="K925" s="3"/>
      <c r="L925" s="54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80"/>
      <c r="F926" s="54"/>
      <c r="G926" s="3"/>
      <c r="H926" s="3"/>
      <c r="I926" s="3"/>
      <c r="J926" s="3"/>
      <c r="K926" s="3"/>
      <c r="L926" s="54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80"/>
      <c r="F927" s="54"/>
      <c r="G927" s="3"/>
      <c r="H927" s="3"/>
      <c r="I927" s="3"/>
      <c r="J927" s="3"/>
      <c r="K927" s="3"/>
      <c r="L927" s="54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80"/>
      <c r="F928" s="54"/>
      <c r="G928" s="3"/>
      <c r="H928" s="3"/>
      <c r="I928" s="3"/>
      <c r="J928" s="3"/>
      <c r="K928" s="3"/>
      <c r="L928" s="54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80"/>
      <c r="F929" s="54"/>
      <c r="G929" s="3"/>
      <c r="H929" s="3"/>
      <c r="I929" s="3"/>
      <c r="J929" s="3"/>
      <c r="K929" s="3"/>
      <c r="L929" s="54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80"/>
      <c r="F930" s="54"/>
      <c r="G930" s="3"/>
      <c r="H930" s="3"/>
      <c r="I930" s="3"/>
      <c r="J930" s="3"/>
      <c r="K930" s="3"/>
      <c r="L930" s="54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80"/>
      <c r="F931" s="54"/>
      <c r="G931" s="3"/>
      <c r="H931" s="3"/>
      <c r="I931" s="3"/>
      <c r="J931" s="3"/>
      <c r="K931" s="3"/>
      <c r="L931" s="54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80"/>
      <c r="F932" s="54"/>
      <c r="G932" s="3"/>
      <c r="H932" s="3"/>
      <c r="I932" s="3"/>
      <c r="J932" s="3"/>
      <c r="K932" s="3"/>
      <c r="L932" s="54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80"/>
      <c r="F933" s="54"/>
      <c r="G933" s="3"/>
      <c r="H933" s="3"/>
      <c r="I933" s="3"/>
      <c r="J933" s="3"/>
      <c r="K933" s="3"/>
      <c r="L933" s="54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80"/>
      <c r="F934" s="54"/>
      <c r="G934" s="3"/>
      <c r="H934" s="3"/>
      <c r="I934" s="3"/>
      <c r="J934" s="3"/>
      <c r="K934" s="3"/>
      <c r="L934" s="54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80"/>
      <c r="F935" s="54"/>
      <c r="G935" s="3"/>
      <c r="H935" s="3"/>
      <c r="I935" s="3"/>
      <c r="J935" s="3"/>
      <c r="K935" s="3"/>
      <c r="L935" s="54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80"/>
      <c r="F936" s="54"/>
      <c r="G936" s="3"/>
      <c r="H936" s="3"/>
      <c r="I936" s="3"/>
      <c r="J936" s="3"/>
      <c r="K936" s="3"/>
      <c r="L936" s="54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80"/>
      <c r="F937" s="54"/>
      <c r="G937" s="3"/>
      <c r="H937" s="3"/>
      <c r="I937" s="3"/>
      <c r="J937" s="3"/>
      <c r="K937" s="3"/>
      <c r="L937" s="54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80"/>
      <c r="F938" s="54"/>
      <c r="G938" s="3"/>
      <c r="H938" s="3"/>
      <c r="I938" s="3"/>
      <c r="J938" s="3"/>
      <c r="K938" s="3"/>
      <c r="L938" s="54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80"/>
      <c r="F939" s="54"/>
      <c r="G939" s="3"/>
      <c r="H939" s="3"/>
      <c r="I939" s="3"/>
      <c r="J939" s="3"/>
      <c r="K939" s="3"/>
      <c r="L939" s="54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80"/>
      <c r="F940" s="54"/>
      <c r="G940" s="3"/>
      <c r="H940" s="3"/>
      <c r="I940" s="3"/>
      <c r="J940" s="3"/>
      <c r="K940" s="3"/>
      <c r="L940" s="54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80"/>
      <c r="F941" s="54"/>
      <c r="G941" s="3"/>
      <c r="H941" s="3"/>
      <c r="I941" s="3"/>
      <c r="J941" s="3"/>
      <c r="K941" s="3"/>
      <c r="L941" s="54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80"/>
      <c r="F942" s="54"/>
      <c r="G942" s="3"/>
      <c r="H942" s="3"/>
      <c r="I942" s="3"/>
      <c r="J942" s="3"/>
      <c r="K942" s="3"/>
      <c r="L942" s="54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80"/>
      <c r="F943" s="54"/>
      <c r="G943" s="3"/>
      <c r="H943" s="3"/>
      <c r="I943" s="3"/>
      <c r="J943" s="3"/>
      <c r="K943" s="3"/>
      <c r="L943" s="54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3"/>
      <c r="C944" s="3"/>
      <c r="D944" s="3"/>
      <c r="E944" s="80"/>
      <c r="F944" s="54"/>
      <c r="G944" s="3"/>
      <c r="H944" s="3"/>
      <c r="I944" s="3"/>
      <c r="J944" s="3"/>
      <c r="K944" s="3"/>
      <c r="L944" s="54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3"/>
      <c r="C945" s="3"/>
      <c r="D945" s="3"/>
      <c r="E945" s="80"/>
      <c r="F945" s="54"/>
      <c r="G945" s="3"/>
      <c r="H945" s="3"/>
      <c r="I945" s="3"/>
      <c r="J945" s="3"/>
      <c r="K945" s="3"/>
      <c r="L945" s="54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3"/>
      <c r="C946" s="3"/>
      <c r="D946" s="3"/>
      <c r="E946" s="80"/>
      <c r="F946" s="54"/>
      <c r="G946" s="3"/>
      <c r="H946" s="3"/>
      <c r="I946" s="3"/>
      <c r="J946" s="3"/>
      <c r="K946" s="3"/>
      <c r="L946" s="54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3"/>
      <c r="C947" s="3"/>
      <c r="D947" s="3"/>
      <c r="E947" s="80"/>
      <c r="F947" s="54"/>
      <c r="G947" s="3"/>
      <c r="H947" s="3"/>
      <c r="I947" s="3"/>
      <c r="J947" s="3"/>
      <c r="K947" s="3"/>
      <c r="L947" s="54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3"/>
      <c r="C948" s="3"/>
      <c r="D948" s="3"/>
      <c r="E948" s="80"/>
      <c r="F948" s="54"/>
      <c r="G948" s="3"/>
      <c r="H948" s="3"/>
      <c r="I948" s="3"/>
      <c r="J948" s="3"/>
      <c r="K948" s="3"/>
      <c r="L948" s="54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3"/>
      <c r="C949" s="3"/>
      <c r="D949" s="3"/>
      <c r="E949" s="80"/>
      <c r="F949" s="54"/>
      <c r="G949" s="3"/>
      <c r="H949" s="3"/>
      <c r="I949" s="3"/>
      <c r="J949" s="3"/>
      <c r="K949" s="3"/>
      <c r="L949" s="54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3"/>
      <c r="C950" s="3"/>
      <c r="D950" s="3"/>
      <c r="E950" s="80"/>
      <c r="F950" s="54"/>
      <c r="G950" s="3"/>
      <c r="H950" s="3"/>
      <c r="I950" s="3"/>
      <c r="J950" s="3"/>
      <c r="K950" s="3"/>
      <c r="L950" s="54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3"/>
      <c r="C951" s="3"/>
      <c r="D951" s="3"/>
      <c r="E951" s="80"/>
      <c r="F951" s="54"/>
      <c r="G951" s="3"/>
      <c r="H951" s="3"/>
      <c r="I951" s="3"/>
      <c r="J951" s="3"/>
      <c r="K951" s="3"/>
      <c r="L951" s="54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3"/>
      <c r="C952" s="3"/>
      <c r="D952" s="3"/>
      <c r="E952" s="80"/>
      <c r="F952" s="54"/>
      <c r="G952" s="3"/>
      <c r="H952" s="3"/>
      <c r="I952" s="3"/>
      <c r="J952" s="3"/>
      <c r="K952" s="3"/>
      <c r="L952" s="54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3"/>
      <c r="C953" s="3"/>
      <c r="D953" s="3"/>
      <c r="E953" s="80"/>
      <c r="F953" s="54"/>
      <c r="G953" s="3"/>
      <c r="H953" s="3"/>
      <c r="I953" s="3"/>
      <c r="J953" s="3"/>
      <c r="K953" s="3"/>
      <c r="L953" s="54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3"/>
      <c r="C954" s="3"/>
      <c r="D954" s="3"/>
      <c r="E954" s="80"/>
      <c r="F954" s="54"/>
      <c r="G954" s="3"/>
      <c r="H954" s="3"/>
      <c r="I954" s="3"/>
      <c r="J954" s="3"/>
      <c r="K954" s="3"/>
      <c r="L954" s="54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3"/>
      <c r="C955" s="3"/>
      <c r="D955" s="3"/>
      <c r="E955" s="80"/>
      <c r="F955" s="54"/>
      <c r="G955" s="3"/>
      <c r="H955" s="3"/>
      <c r="I955" s="3"/>
      <c r="J955" s="3"/>
      <c r="K955" s="3"/>
      <c r="L955" s="54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3"/>
      <c r="C956" s="3"/>
      <c r="D956" s="3"/>
      <c r="E956" s="80"/>
      <c r="F956" s="54"/>
      <c r="G956" s="3"/>
      <c r="H956" s="3"/>
      <c r="I956" s="3"/>
      <c r="J956" s="3"/>
      <c r="K956" s="3"/>
      <c r="L956" s="54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3"/>
      <c r="C957" s="3"/>
      <c r="D957" s="3"/>
      <c r="E957" s="80"/>
      <c r="F957" s="54"/>
      <c r="G957" s="3"/>
      <c r="H957" s="3"/>
      <c r="I957" s="3"/>
      <c r="J957" s="3"/>
      <c r="K957" s="3"/>
      <c r="L957" s="54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3"/>
      <c r="C958" s="3"/>
      <c r="D958" s="3"/>
      <c r="E958" s="80"/>
      <c r="F958" s="54"/>
      <c r="G958" s="3"/>
      <c r="H958" s="3"/>
      <c r="I958" s="3"/>
      <c r="J958" s="3"/>
      <c r="K958" s="3"/>
      <c r="L958" s="54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3"/>
      <c r="C959" s="3"/>
      <c r="D959" s="3"/>
      <c r="E959" s="80"/>
      <c r="F959" s="54"/>
      <c r="G959" s="3"/>
      <c r="H959" s="3"/>
      <c r="I959" s="3"/>
      <c r="J959" s="3"/>
      <c r="K959" s="3"/>
      <c r="L959" s="54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3"/>
      <c r="C960" s="3"/>
      <c r="D960" s="3"/>
      <c r="E960" s="80"/>
      <c r="F960" s="54"/>
      <c r="G960" s="3"/>
      <c r="H960" s="3"/>
      <c r="I960" s="3"/>
      <c r="J960" s="3"/>
      <c r="K960" s="3"/>
      <c r="L960" s="54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3"/>
      <c r="C961" s="3"/>
      <c r="D961" s="3"/>
      <c r="E961" s="80"/>
      <c r="F961" s="54"/>
      <c r="G961" s="3"/>
      <c r="H961" s="3"/>
      <c r="I961" s="3"/>
      <c r="J961" s="3"/>
      <c r="K961" s="3"/>
      <c r="L961" s="54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3"/>
      <c r="C962" s="3"/>
      <c r="D962" s="3"/>
      <c r="E962" s="80"/>
      <c r="F962" s="54"/>
      <c r="G962" s="3"/>
      <c r="H962" s="3"/>
      <c r="I962" s="3"/>
      <c r="J962" s="3"/>
      <c r="K962" s="3"/>
      <c r="L962" s="54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3"/>
      <c r="C963" s="3"/>
      <c r="D963" s="3"/>
      <c r="E963" s="80"/>
      <c r="F963" s="54"/>
      <c r="G963" s="3"/>
      <c r="H963" s="3"/>
      <c r="I963" s="3"/>
      <c r="J963" s="3"/>
      <c r="K963" s="3"/>
      <c r="L963" s="54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3"/>
      <c r="C964" s="3"/>
      <c r="D964" s="3"/>
      <c r="E964" s="80"/>
      <c r="F964" s="54"/>
      <c r="G964" s="3"/>
      <c r="H964" s="3"/>
      <c r="I964" s="3"/>
      <c r="J964" s="3"/>
      <c r="K964" s="3"/>
      <c r="L964" s="54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3"/>
      <c r="C965" s="3"/>
      <c r="D965" s="3"/>
      <c r="E965" s="80"/>
      <c r="F965" s="54"/>
      <c r="G965" s="3"/>
      <c r="H965" s="3"/>
      <c r="I965" s="3"/>
      <c r="J965" s="3"/>
      <c r="K965" s="3"/>
      <c r="L965" s="54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3"/>
      <c r="C966" s="3"/>
      <c r="D966" s="3"/>
      <c r="E966" s="80"/>
      <c r="F966" s="54"/>
      <c r="G966" s="3"/>
      <c r="H966" s="3"/>
      <c r="I966" s="3"/>
      <c r="J966" s="3"/>
      <c r="K966" s="3"/>
      <c r="L966" s="54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3"/>
      <c r="C967" s="3"/>
      <c r="D967" s="3"/>
      <c r="E967" s="80"/>
      <c r="F967" s="54"/>
      <c r="G967" s="3"/>
      <c r="H967" s="3"/>
      <c r="I967" s="3"/>
      <c r="J967" s="3"/>
      <c r="K967" s="3"/>
      <c r="L967" s="54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3"/>
      <c r="C968" s="3"/>
      <c r="D968" s="3"/>
      <c r="E968" s="80"/>
      <c r="F968" s="54"/>
      <c r="G968" s="3"/>
      <c r="H968" s="3"/>
      <c r="I968" s="3"/>
      <c r="J968" s="3"/>
      <c r="K968" s="3"/>
      <c r="L968" s="54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3"/>
      <c r="C969" s="3"/>
      <c r="D969" s="3"/>
      <c r="E969" s="80"/>
      <c r="F969" s="54"/>
      <c r="G969" s="3"/>
      <c r="H969" s="3"/>
      <c r="I969" s="3"/>
      <c r="J969" s="3"/>
      <c r="K969" s="3"/>
      <c r="L969" s="54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3"/>
      <c r="C970" s="3"/>
      <c r="D970" s="3"/>
      <c r="E970" s="80"/>
      <c r="F970" s="54"/>
      <c r="G970" s="3"/>
      <c r="H970" s="3"/>
      <c r="I970" s="3"/>
      <c r="J970" s="3"/>
      <c r="K970" s="3"/>
      <c r="L970" s="54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3"/>
      <c r="C971" s="3"/>
      <c r="D971" s="3"/>
      <c r="E971" s="80"/>
      <c r="F971" s="54"/>
      <c r="G971" s="3"/>
      <c r="H971" s="3"/>
      <c r="I971" s="3"/>
      <c r="J971" s="3"/>
      <c r="K971" s="3"/>
      <c r="L971" s="54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3"/>
      <c r="C972" s="3"/>
      <c r="D972" s="3"/>
      <c r="E972" s="80"/>
      <c r="F972" s="54"/>
      <c r="G972" s="3"/>
      <c r="H972" s="3"/>
      <c r="I972" s="3"/>
      <c r="J972" s="3"/>
      <c r="K972" s="3"/>
      <c r="L972" s="54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3"/>
      <c r="C973" s="3"/>
      <c r="D973" s="3"/>
      <c r="E973" s="80"/>
      <c r="F973" s="54"/>
      <c r="G973" s="3"/>
      <c r="H973" s="3"/>
      <c r="I973" s="3"/>
      <c r="J973" s="3"/>
      <c r="K973" s="3"/>
      <c r="L973" s="54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3"/>
      <c r="C974" s="3"/>
      <c r="D974" s="3"/>
      <c r="E974" s="80"/>
      <c r="F974" s="54"/>
      <c r="G974" s="3"/>
      <c r="H974" s="3"/>
      <c r="I974" s="3"/>
      <c r="J974" s="3"/>
      <c r="K974" s="3"/>
      <c r="L974" s="54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3"/>
      <c r="C975" s="3"/>
      <c r="D975" s="3"/>
      <c r="E975" s="80"/>
      <c r="F975" s="54"/>
      <c r="G975" s="3"/>
      <c r="H975" s="3"/>
      <c r="I975" s="3"/>
      <c r="J975" s="3"/>
      <c r="K975" s="3"/>
      <c r="L975" s="54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3"/>
      <c r="C976" s="3"/>
      <c r="D976" s="3"/>
      <c r="E976" s="80"/>
      <c r="F976" s="54"/>
      <c r="G976" s="3"/>
      <c r="H976" s="3"/>
      <c r="I976" s="3"/>
      <c r="J976" s="3"/>
      <c r="K976" s="3"/>
      <c r="L976" s="54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3"/>
      <c r="C977" s="3"/>
      <c r="D977" s="3"/>
      <c r="E977" s="80"/>
      <c r="F977" s="54"/>
      <c r="G977" s="3"/>
      <c r="H977" s="3"/>
      <c r="I977" s="3"/>
      <c r="J977" s="3"/>
      <c r="K977" s="3"/>
      <c r="L977" s="54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3"/>
      <c r="C978" s="3"/>
      <c r="D978" s="3"/>
      <c r="E978" s="80"/>
      <c r="F978" s="54"/>
      <c r="G978" s="3"/>
      <c r="H978" s="3"/>
      <c r="I978" s="3"/>
      <c r="J978" s="3"/>
      <c r="K978" s="3"/>
      <c r="L978" s="54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3"/>
      <c r="C979" s="3"/>
      <c r="D979" s="3"/>
      <c r="E979" s="80"/>
      <c r="F979" s="54"/>
      <c r="G979" s="3"/>
      <c r="H979" s="3"/>
      <c r="I979" s="3"/>
      <c r="J979" s="3"/>
      <c r="K979" s="3"/>
      <c r="L979" s="54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3"/>
      <c r="C980" s="3"/>
      <c r="D980" s="3"/>
      <c r="E980" s="80"/>
      <c r="F980" s="54"/>
      <c r="G980" s="3"/>
      <c r="H980" s="3"/>
      <c r="I980" s="3"/>
      <c r="J980" s="3"/>
      <c r="K980" s="3"/>
      <c r="L980" s="54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3"/>
      <c r="C981" s="3"/>
      <c r="D981" s="3"/>
      <c r="E981" s="80"/>
      <c r="F981" s="54"/>
      <c r="G981" s="3"/>
      <c r="H981" s="3"/>
      <c r="I981" s="3"/>
      <c r="J981" s="3"/>
      <c r="K981" s="3"/>
      <c r="L981" s="54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3"/>
      <c r="C982" s="3"/>
      <c r="D982" s="3"/>
      <c r="E982" s="80"/>
      <c r="F982" s="54"/>
      <c r="G982" s="3"/>
      <c r="H982" s="3"/>
      <c r="I982" s="3"/>
      <c r="J982" s="3"/>
      <c r="K982" s="3"/>
      <c r="L982" s="54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3"/>
      <c r="C983" s="3"/>
      <c r="D983" s="3"/>
      <c r="E983" s="80"/>
      <c r="F983" s="54"/>
      <c r="G983" s="3"/>
      <c r="H983" s="3"/>
      <c r="I983" s="3"/>
      <c r="J983" s="3"/>
      <c r="K983" s="3"/>
      <c r="L983" s="54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3"/>
      <c r="C984" s="3"/>
      <c r="D984" s="3"/>
      <c r="E984" s="80"/>
      <c r="F984" s="54"/>
      <c r="G984" s="3"/>
      <c r="H984" s="3"/>
      <c r="I984" s="3"/>
      <c r="J984" s="3"/>
      <c r="K984" s="3"/>
      <c r="L984" s="54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3"/>
      <c r="B985" s="3"/>
      <c r="C985" s="3"/>
      <c r="D985" s="3"/>
      <c r="E985" s="80"/>
      <c r="F985" s="54"/>
      <c r="G985" s="3"/>
      <c r="H985" s="3"/>
      <c r="I985" s="3"/>
      <c r="J985" s="3"/>
      <c r="K985" s="3"/>
      <c r="L985" s="54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3"/>
      <c r="B986" s="3"/>
      <c r="C986" s="3"/>
      <c r="D986" s="3"/>
      <c r="E986" s="80"/>
      <c r="F986" s="54"/>
      <c r="G986" s="3"/>
      <c r="H986" s="3"/>
      <c r="I986" s="3"/>
      <c r="J986" s="3"/>
      <c r="K986" s="3"/>
      <c r="L986" s="54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3"/>
      <c r="B987" s="3"/>
      <c r="C987" s="3"/>
      <c r="D987" s="3"/>
      <c r="E987" s="80"/>
      <c r="F987" s="54"/>
      <c r="G987" s="3"/>
      <c r="H987" s="3"/>
      <c r="I987" s="3"/>
      <c r="J987" s="3"/>
      <c r="K987" s="3"/>
      <c r="L987" s="54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3"/>
      <c r="B988" s="3"/>
      <c r="C988" s="3"/>
      <c r="D988" s="3"/>
      <c r="E988" s="80"/>
      <c r="F988" s="54"/>
      <c r="G988" s="3"/>
      <c r="H988" s="3"/>
      <c r="I988" s="3"/>
      <c r="J988" s="3"/>
      <c r="K988" s="3"/>
      <c r="L988" s="54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3"/>
      <c r="B989" s="3"/>
      <c r="C989" s="3"/>
      <c r="D989" s="3"/>
      <c r="E989" s="80"/>
      <c r="F989" s="54"/>
      <c r="G989" s="3"/>
      <c r="H989" s="3"/>
      <c r="I989" s="3"/>
      <c r="J989" s="3"/>
      <c r="K989" s="3"/>
      <c r="L989" s="54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3"/>
      <c r="B990" s="3"/>
      <c r="C990" s="3"/>
      <c r="D990" s="3"/>
      <c r="E990" s="80"/>
      <c r="F990" s="54"/>
      <c r="G990" s="3"/>
      <c r="H990" s="3"/>
      <c r="I990" s="3"/>
      <c r="J990" s="3"/>
      <c r="K990" s="3"/>
      <c r="L990" s="54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3"/>
      <c r="B991" s="3"/>
      <c r="C991" s="3"/>
      <c r="D991" s="3"/>
      <c r="E991" s="80"/>
      <c r="F991" s="54"/>
      <c r="G991" s="3"/>
      <c r="H991" s="3"/>
      <c r="I991" s="3"/>
      <c r="J991" s="3"/>
      <c r="K991" s="3"/>
      <c r="L991" s="54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3"/>
      <c r="B992" s="3"/>
      <c r="C992" s="3"/>
      <c r="D992" s="3"/>
      <c r="E992" s="80"/>
      <c r="F992" s="54"/>
      <c r="G992" s="3"/>
      <c r="H992" s="3"/>
      <c r="I992" s="3"/>
      <c r="J992" s="3"/>
      <c r="K992" s="3"/>
      <c r="L992" s="54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3"/>
      <c r="B993" s="3"/>
      <c r="C993" s="3"/>
      <c r="D993" s="3"/>
      <c r="E993" s="80"/>
      <c r="F993" s="54"/>
      <c r="G993" s="3"/>
      <c r="H993" s="3"/>
      <c r="I993" s="3"/>
      <c r="J993" s="3"/>
      <c r="K993" s="3"/>
      <c r="L993" s="54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3"/>
      <c r="B994" s="3"/>
      <c r="C994" s="3"/>
      <c r="D994" s="3"/>
      <c r="E994" s="80"/>
      <c r="F994" s="54"/>
      <c r="G994" s="3"/>
      <c r="H994" s="3"/>
      <c r="I994" s="3"/>
      <c r="J994" s="3"/>
      <c r="K994" s="3"/>
      <c r="L994" s="54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3"/>
      <c r="B995" s="3"/>
      <c r="C995" s="3"/>
      <c r="D995" s="3"/>
      <c r="E995" s="80"/>
      <c r="F995" s="54"/>
      <c r="G995" s="3"/>
      <c r="H995" s="3"/>
      <c r="I995" s="3"/>
      <c r="J995" s="3"/>
      <c r="K995" s="3"/>
      <c r="L995" s="54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3"/>
      <c r="B996" s="3"/>
      <c r="C996" s="3"/>
      <c r="D996" s="3"/>
      <c r="E996" s="80"/>
      <c r="F996" s="54"/>
      <c r="G996" s="3"/>
      <c r="H996" s="3"/>
      <c r="I996" s="3"/>
      <c r="J996" s="3"/>
      <c r="K996" s="3"/>
      <c r="L996" s="54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3"/>
      <c r="B997" s="3"/>
      <c r="C997" s="3"/>
      <c r="D997" s="3"/>
      <c r="E997" s="80"/>
      <c r="F997" s="54"/>
      <c r="G997" s="3"/>
      <c r="H997" s="3"/>
      <c r="I997" s="3"/>
      <c r="J997" s="3"/>
      <c r="K997" s="3"/>
      <c r="L997" s="54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3"/>
      <c r="B998" s="3"/>
      <c r="C998" s="3"/>
      <c r="D998" s="3"/>
      <c r="E998" s="80"/>
      <c r="F998" s="54"/>
      <c r="G998" s="3"/>
      <c r="H998" s="3"/>
      <c r="I998" s="3"/>
      <c r="J998" s="3"/>
      <c r="K998" s="3"/>
      <c r="L998" s="54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>
      <c r="A999" s="3"/>
      <c r="B999" s="3"/>
      <c r="C999" s="3"/>
      <c r="D999" s="3"/>
      <c r="E999" s="80"/>
      <c r="F999" s="54"/>
      <c r="G999" s="3"/>
      <c r="H999" s="3"/>
      <c r="I999" s="3"/>
      <c r="J999" s="3"/>
      <c r="K999" s="3"/>
      <c r="L999" s="54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>
      <c r="A1000" s="3"/>
      <c r="B1000" s="3"/>
      <c r="C1000" s="3"/>
      <c r="D1000" s="3"/>
      <c r="E1000" s="80"/>
      <c r="F1000" s="54"/>
      <c r="G1000" s="3"/>
      <c r="H1000" s="3"/>
      <c r="I1000" s="3"/>
      <c r="J1000" s="3"/>
      <c r="K1000" s="3"/>
      <c r="L1000" s="54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mergeCells count="2">
    <mergeCell ref="A1:H1"/>
    <mergeCell ref="A2:H2"/>
  </mergeCells>
  <conditionalFormatting sqref="D4:D25 D27:D39">
    <cfRule type="containsBlanks" dxfId="0" priority="1">
      <formula>LEN(TRIM(D4))=0</formula>
    </cfRule>
  </conditionalFormatting>
  <conditionalFormatting sqref="F4:F25 L16 F27:F39">
    <cfRule type="cellIs" dxfId="1" priority="2" operator="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11.13"/>
    <col customWidth="1" min="3" max="3" width="14.25"/>
    <col customWidth="1" min="4" max="4" width="8.63"/>
    <col customWidth="1" min="5" max="5" width="14.63"/>
    <col customWidth="1" min="6" max="6" width="7.5"/>
    <col customWidth="1" min="7" max="7" width="5.13"/>
    <col customWidth="1" min="8" max="8" width="13.25"/>
    <col customWidth="1" min="9" max="9" width="13.88"/>
    <col customWidth="1" min="10" max="10" width="8.63"/>
    <col customWidth="1" min="11" max="11" width="14.63"/>
    <col customWidth="1" min="12" max="12" width="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6" t="s">
        <v>3</v>
      </c>
      <c r="B2" s="7"/>
      <c r="C2" s="7"/>
      <c r="D2" s="7"/>
      <c r="E2" s="7"/>
      <c r="F2" s="7"/>
      <c r="G2" s="7"/>
      <c r="H2" s="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8" t="s">
        <v>4</v>
      </c>
      <c r="B3" s="10"/>
      <c r="C3" s="12"/>
      <c r="D3" s="10"/>
      <c r="E3" s="10"/>
      <c r="F3" s="10"/>
      <c r="G3" s="10"/>
      <c r="H3" s="1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15" t="s">
        <v>6</v>
      </c>
      <c r="B4" s="17" t="s">
        <v>7</v>
      </c>
      <c r="C4" s="20" t="s">
        <v>8</v>
      </c>
      <c r="D4" s="21" t="s">
        <v>9</v>
      </c>
      <c r="E4" s="23" t="s">
        <v>10</v>
      </c>
      <c r="F4" s="24" t="s">
        <v>11</v>
      </c>
      <c r="H4" s="26" t="s">
        <v>12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29" t="s">
        <v>13</v>
      </c>
      <c r="B5" s="30" t="s">
        <v>14</v>
      </c>
      <c r="C5" s="31">
        <v>46111.99930555555</v>
      </c>
      <c r="D5" s="33" t="s">
        <v>15</v>
      </c>
      <c r="E5" s="36">
        <f t="shared" ref="E5:E25" si="1">IF(D5&lt;&gt;"",IF(E5="",NOW(),E5),"")</f>
        <v>46110.87173</v>
      </c>
      <c r="F5" s="37">
        <f t="shared" ref="F5:F25" si="2">if(D5 = "", 0,IF(E5&lt;C5,0.5,0))</f>
        <v>0.5</v>
      </c>
      <c r="H5" s="38">
        <f t="shared" ref="H5:H25" si="3">if(D5 &lt;&gt; "", ABS(E5-C5), "0")</f>
        <v>1.127577616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39" t="s">
        <v>16</v>
      </c>
      <c r="B6" s="30" t="s">
        <v>14</v>
      </c>
      <c r="C6" s="31">
        <v>46111.99930555555</v>
      </c>
      <c r="D6" s="33" t="s">
        <v>15</v>
      </c>
      <c r="E6" s="36">
        <f t="shared" si="1"/>
        <v>46110.87177</v>
      </c>
      <c r="F6" s="37">
        <f t="shared" si="2"/>
        <v>0.5</v>
      </c>
      <c r="H6" s="38">
        <f t="shared" si="3"/>
        <v>1.127535868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39" t="s">
        <v>17</v>
      </c>
      <c r="B7" s="30" t="s">
        <v>18</v>
      </c>
      <c r="C7" s="31">
        <v>46083.99930555555</v>
      </c>
      <c r="D7" s="33" t="s">
        <v>15</v>
      </c>
      <c r="E7" s="36">
        <f t="shared" si="1"/>
        <v>46083.15851</v>
      </c>
      <c r="F7" s="37">
        <f t="shared" si="2"/>
        <v>0.5</v>
      </c>
      <c r="H7" s="38">
        <f t="shared" si="3"/>
        <v>0.8407999769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39" t="s">
        <v>19</v>
      </c>
      <c r="B8" s="30" t="s">
        <v>20</v>
      </c>
      <c r="C8" s="31">
        <v>46083.99930555555</v>
      </c>
      <c r="D8" s="51" t="s">
        <v>21</v>
      </c>
      <c r="E8" s="36">
        <f t="shared" si="1"/>
        <v>46083.36038</v>
      </c>
      <c r="F8" s="37">
        <f t="shared" si="2"/>
        <v>0.5</v>
      </c>
      <c r="H8" s="38">
        <f t="shared" si="3"/>
        <v>0.6389288657</v>
      </c>
      <c r="I8" s="3"/>
      <c r="J8" s="47" t="s">
        <v>31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39" t="s">
        <v>22</v>
      </c>
      <c r="B9" s="30" t="s">
        <v>23</v>
      </c>
      <c r="C9" s="31">
        <v>46086.99930555555</v>
      </c>
      <c r="D9" s="33" t="s">
        <v>21</v>
      </c>
      <c r="E9" s="36">
        <f t="shared" si="1"/>
        <v>46085.31322</v>
      </c>
      <c r="F9" s="37">
        <f t="shared" si="2"/>
        <v>0.5</v>
      </c>
      <c r="H9" s="38">
        <f t="shared" si="3"/>
        <v>1.686088356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39" t="s">
        <v>24</v>
      </c>
      <c r="B10" s="30" t="s">
        <v>23</v>
      </c>
      <c r="C10" s="31">
        <v>46086.99930555555</v>
      </c>
      <c r="D10" s="33" t="s">
        <v>21</v>
      </c>
      <c r="E10" s="36">
        <f t="shared" si="1"/>
        <v>46085.31323</v>
      </c>
      <c r="F10" s="37">
        <f t="shared" si="2"/>
        <v>0.5</v>
      </c>
      <c r="H10" s="38">
        <f t="shared" si="3"/>
        <v>1.686076273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39" t="s">
        <v>25</v>
      </c>
      <c r="B11" s="30" t="s">
        <v>14</v>
      </c>
      <c r="C11" s="31">
        <v>46087.99930555555</v>
      </c>
      <c r="D11" s="33" t="s">
        <v>15</v>
      </c>
      <c r="E11" s="36">
        <f t="shared" si="1"/>
        <v>46086.19544</v>
      </c>
      <c r="F11" s="37">
        <f t="shared" si="2"/>
        <v>0.5</v>
      </c>
      <c r="H11" s="38">
        <f t="shared" si="3"/>
        <v>1.803865706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49" t="s">
        <v>26</v>
      </c>
      <c r="B12" s="30" t="s">
        <v>14</v>
      </c>
      <c r="C12" s="31">
        <v>46087.99930555555</v>
      </c>
      <c r="D12" s="33" t="s">
        <v>15</v>
      </c>
      <c r="E12" s="36">
        <f t="shared" si="1"/>
        <v>46086.19549</v>
      </c>
      <c r="F12" s="37">
        <f t="shared" si="2"/>
        <v>0.5</v>
      </c>
      <c r="H12" s="38">
        <f t="shared" si="3"/>
        <v>1.803820208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49" t="s">
        <v>27</v>
      </c>
      <c r="B13" s="30" t="s">
        <v>23</v>
      </c>
      <c r="C13" s="31">
        <v>46091.99930555555</v>
      </c>
      <c r="D13" s="33" t="s">
        <v>21</v>
      </c>
      <c r="E13" s="36">
        <f t="shared" si="1"/>
        <v>46092.39709</v>
      </c>
      <c r="F13" s="37">
        <f t="shared" si="2"/>
        <v>0</v>
      </c>
      <c r="H13" s="38">
        <f t="shared" si="3"/>
        <v>0.3977884954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49" t="s">
        <v>29</v>
      </c>
      <c r="B14" s="30" t="s">
        <v>30</v>
      </c>
      <c r="C14" s="31">
        <v>46093.99930555555</v>
      </c>
      <c r="D14" s="33" t="s">
        <v>21</v>
      </c>
      <c r="E14" s="36">
        <f t="shared" si="1"/>
        <v>46092.40864</v>
      </c>
      <c r="F14" s="37">
        <f t="shared" si="2"/>
        <v>0.5</v>
      </c>
      <c r="H14" s="38">
        <f t="shared" si="3"/>
        <v>1.59066853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49" t="s">
        <v>32</v>
      </c>
      <c r="B15" s="30" t="s">
        <v>20</v>
      </c>
      <c r="C15" s="31">
        <v>46093.99930555555</v>
      </c>
      <c r="D15" s="33" t="s">
        <v>21</v>
      </c>
      <c r="E15" s="36">
        <f t="shared" si="1"/>
        <v>46093.3289</v>
      </c>
      <c r="F15" s="37">
        <f t="shared" si="2"/>
        <v>0.5</v>
      </c>
      <c r="H15" s="38">
        <f t="shared" si="3"/>
        <v>0.670402419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49" t="s">
        <v>33</v>
      </c>
      <c r="B16" s="30" t="s">
        <v>20</v>
      </c>
      <c r="C16" s="31">
        <v>46094.99930555555</v>
      </c>
      <c r="D16" s="33" t="s">
        <v>21</v>
      </c>
      <c r="E16" s="36">
        <f t="shared" si="1"/>
        <v>46093.32893</v>
      </c>
      <c r="F16" s="37">
        <f t="shared" si="2"/>
        <v>0.5</v>
      </c>
      <c r="H16" s="38">
        <f t="shared" si="3"/>
        <v>1.670370914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49" t="s">
        <v>34</v>
      </c>
      <c r="B17" s="30" t="s">
        <v>30</v>
      </c>
      <c r="C17" s="31">
        <v>46094.99930555555</v>
      </c>
      <c r="D17" s="33" t="s">
        <v>21</v>
      </c>
      <c r="E17" s="36">
        <f t="shared" si="1"/>
        <v>46094.46221</v>
      </c>
      <c r="F17" s="37">
        <f t="shared" si="2"/>
        <v>0.5</v>
      </c>
      <c r="G17" s="4"/>
      <c r="H17" s="38">
        <f t="shared" si="3"/>
        <v>0.5370944792</v>
      </c>
      <c r="I17" s="3"/>
      <c r="J17" s="3"/>
      <c r="K17" s="3"/>
      <c r="L17" s="54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49" t="s">
        <v>35</v>
      </c>
      <c r="B18" s="30" t="s">
        <v>14</v>
      </c>
      <c r="C18" s="31">
        <v>46099.99930555555</v>
      </c>
      <c r="D18" s="33" t="s">
        <v>15</v>
      </c>
      <c r="E18" s="36">
        <f t="shared" si="1"/>
        <v>46097.98033</v>
      </c>
      <c r="F18" s="37">
        <f t="shared" si="2"/>
        <v>0.5</v>
      </c>
      <c r="G18" s="4"/>
      <c r="H18" s="38">
        <f t="shared" si="3"/>
        <v>2.018970567</v>
      </c>
      <c r="I18" s="3"/>
      <c r="J18" s="3"/>
      <c r="K18" s="3"/>
      <c r="L18" s="54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49" t="s">
        <v>36</v>
      </c>
      <c r="B19" s="30" t="s">
        <v>37</v>
      </c>
      <c r="C19" s="31">
        <v>46099.99930555555</v>
      </c>
      <c r="D19" s="33" t="s">
        <v>15</v>
      </c>
      <c r="E19" s="36">
        <f t="shared" si="1"/>
        <v>46099.00607</v>
      </c>
      <c r="F19" s="37">
        <f t="shared" si="2"/>
        <v>0.5</v>
      </c>
      <c r="G19" s="4"/>
      <c r="H19" s="38">
        <f t="shared" si="3"/>
        <v>0.9932403472</v>
      </c>
      <c r="I19" s="3"/>
      <c r="J19" s="3"/>
      <c r="K19" s="3"/>
      <c r="L19" s="54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49" t="s">
        <v>38</v>
      </c>
      <c r="B20" s="30" t="s">
        <v>30</v>
      </c>
      <c r="C20" s="31">
        <v>46101.99930555555</v>
      </c>
      <c r="D20" s="33" t="s">
        <v>21</v>
      </c>
      <c r="E20" s="36">
        <f t="shared" si="1"/>
        <v>46100.23781</v>
      </c>
      <c r="F20" s="37">
        <f t="shared" si="2"/>
        <v>0.5</v>
      </c>
      <c r="G20" s="4"/>
      <c r="H20" s="38">
        <f t="shared" si="3"/>
        <v>1.761495613</v>
      </c>
      <c r="I20" s="3"/>
      <c r="J20" s="3"/>
      <c r="K20" s="3"/>
      <c r="L20" s="54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49" t="s">
        <v>39</v>
      </c>
      <c r="B21" s="30" t="s">
        <v>18</v>
      </c>
      <c r="C21" s="31">
        <v>46101.99930555555</v>
      </c>
      <c r="D21" s="33" t="s">
        <v>15</v>
      </c>
      <c r="E21" s="36">
        <f t="shared" si="1"/>
        <v>46101.16667</v>
      </c>
      <c r="F21" s="37">
        <f t="shared" si="2"/>
        <v>0.5</v>
      </c>
      <c r="G21" s="4"/>
      <c r="H21" s="38">
        <f t="shared" si="3"/>
        <v>0.8326393287</v>
      </c>
      <c r="I21" s="3"/>
      <c r="J21" s="3"/>
      <c r="K21" s="3"/>
      <c r="L21" s="54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49" t="s">
        <v>40</v>
      </c>
      <c r="B22" s="30" t="s">
        <v>37</v>
      </c>
      <c r="C22" s="31">
        <v>46104.99930555555</v>
      </c>
      <c r="D22" s="33" t="s">
        <v>15</v>
      </c>
      <c r="E22" s="36">
        <f t="shared" si="1"/>
        <v>46104.27648</v>
      </c>
      <c r="F22" s="37">
        <f t="shared" si="2"/>
        <v>0.5</v>
      </c>
      <c r="G22" s="4"/>
      <c r="H22" s="38">
        <f t="shared" si="3"/>
        <v>0.7228254861</v>
      </c>
      <c r="I22" s="3"/>
      <c r="J22" s="3"/>
      <c r="K22" s="3"/>
      <c r="L22" s="54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49" t="s">
        <v>41</v>
      </c>
      <c r="B23" s="30" t="s">
        <v>18</v>
      </c>
      <c r="C23" s="31">
        <v>46104.99930555555</v>
      </c>
      <c r="D23" s="33" t="s">
        <v>15</v>
      </c>
      <c r="E23" s="36">
        <f t="shared" si="1"/>
        <v>46104.18746</v>
      </c>
      <c r="F23" s="37">
        <f t="shared" si="2"/>
        <v>0.5</v>
      </c>
      <c r="G23" s="4"/>
      <c r="H23" s="38">
        <f t="shared" si="3"/>
        <v>0.8118500463</v>
      </c>
      <c r="I23" s="3"/>
      <c r="J23" s="3"/>
      <c r="K23" s="3"/>
      <c r="L23" s="54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49" t="s">
        <v>42</v>
      </c>
      <c r="B24" s="30" t="s">
        <v>23</v>
      </c>
      <c r="C24" s="31">
        <v>46107.99930555555</v>
      </c>
      <c r="D24" s="33" t="s">
        <v>21</v>
      </c>
      <c r="E24" s="36">
        <f t="shared" si="1"/>
        <v>46106.36852</v>
      </c>
      <c r="F24" s="37">
        <f t="shared" si="2"/>
        <v>0.5</v>
      </c>
      <c r="G24" s="4"/>
      <c r="H24" s="38">
        <f t="shared" si="3"/>
        <v>1.630781366</v>
      </c>
      <c r="I24" s="3"/>
      <c r="J24" s="3"/>
      <c r="K24" s="3"/>
      <c r="L24" s="54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55" t="s">
        <v>43</v>
      </c>
      <c r="B25" s="30" t="s">
        <v>37</v>
      </c>
      <c r="C25" s="66">
        <v>46107.99930555555</v>
      </c>
      <c r="D25" s="33" t="s">
        <v>21</v>
      </c>
      <c r="E25" s="36">
        <f t="shared" si="1"/>
        <v>46107.36992</v>
      </c>
      <c r="F25" s="57">
        <f t="shared" si="2"/>
        <v>0.5</v>
      </c>
      <c r="G25" s="4"/>
      <c r="H25" s="58">
        <f t="shared" si="3"/>
        <v>0.6293901157</v>
      </c>
      <c r="I25" s="3"/>
      <c r="J25" s="3"/>
      <c r="K25" s="3"/>
      <c r="L25" s="54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59" t="s">
        <v>44</v>
      </c>
      <c r="B26" s="60"/>
      <c r="C26" s="67"/>
      <c r="D26" s="60"/>
      <c r="E26" s="60"/>
      <c r="F26" s="60"/>
      <c r="G26" s="60"/>
      <c r="H26" s="61"/>
      <c r="I26" s="3"/>
      <c r="J26" s="3"/>
      <c r="K26" s="3"/>
      <c r="L26" s="54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63" t="s">
        <v>6</v>
      </c>
      <c r="B27" s="17" t="s">
        <v>7</v>
      </c>
      <c r="C27" s="20" t="s">
        <v>8</v>
      </c>
      <c r="D27" s="65" t="s">
        <v>9</v>
      </c>
      <c r="E27" s="27" t="s">
        <v>10</v>
      </c>
      <c r="F27" s="28" t="s">
        <v>11</v>
      </c>
      <c r="G27" s="4"/>
      <c r="H27" s="26" t="s">
        <v>12</v>
      </c>
      <c r="I27" s="3"/>
      <c r="J27" s="3"/>
      <c r="K27" s="3"/>
      <c r="L27" s="54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29" t="s">
        <v>45</v>
      </c>
      <c r="B28" s="30" t="s">
        <v>20</v>
      </c>
      <c r="C28" s="31">
        <v>46111.99930555555</v>
      </c>
      <c r="D28" s="33" t="s">
        <v>21</v>
      </c>
      <c r="E28" s="73">
        <f t="shared" ref="E28:E39" si="4">IF(D28&lt;&gt;"",IF(E28="",NOW(),E28),"")</f>
        <v>46111.09143</v>
      </c>
      <c r="F28" s="37">
        <f t="shared" ref="F28:F39" si="5">if(D28 = "", 0,IF(E28&lt;C28,0.5,0))</f>
        <v>0.5</v>
      </c>
      <c r="G28" s="4"/>
      <c r="H28" s="38">
        <f t="shared" ref="H28:H39" si="6">if(D28 &lt;&gt; "", ABS(E28-C28), "0")</f>
        <v>0.9078779861</v>
      </c>
      <c r="I28" s="3"/>
      <c r="J28" s="3"/>
      <c r="K28" s="3"/>
      <c r="L28" s="54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68" t="s">
        <v>46</v>
      </c>
      <c r="B29" s="30" t="s">
        <v>20</v>
      </c>
      <c r="C29" s="31">
        <v>46111.99930555555</v>
      </c>
      <c r="D29" s="33" t="s">
        <v>21</v>
      </c>
      <c r="E29" s="73">
        <f t="shared" si="4"/>
        <v>46111.09145</v>
      </c>
      <c r="F29" s="37">
        <f t="shared" si="5"/>
        <v>0.5</v>
      </c>
      <c r="G29" s="4"/>
      <c r="H29" s="38">
        <f t="shared" si="6"/>
        <v>0.9078509375</v>
      </c>
      <c r="I29" s="3"/>
      <c r="J29" s="3"/>
      <c r="K29" s="3"/>
      <c r="L29" s="54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68" t="s">
        <v>47</v>
      </c>
      <c r="B30" s="30" t="s">
        <v>23</v>
      </c>
      <c r="C30" s="31">
        <v>46083.99930555555</v>
      </c>
      <c r="D30" s="51" t="s">
        <v>21</v>
      </c>
      <c r="E30" s="73">
        <f t="shared" si="4"/>
        <v>46083.15851</v>
      </c>
      <c r="F30" s="37">
        <f t="shared" si="5"/>
        <v>0.5</v>
      </c>
      <c r="G30" s="4"/>
      <c r="H30" s="38">
        <f t="shared" si="6"/>
        <v>0.8407999769</v>
      </c>
      <c r="I30" s="3"/>
      <c r="J30" s="3"/>
      <c r="K30" s="3"/>
      <c r="L30" s="54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68" t="s">
        <v>48</v>
      </c>
      <c r="B31" s="30" t="s">
        <v>14</v>
      </c>
      <c r="C31" s="31">
        <v>46086.99930555555</v>
      </c>
      <c r="D31" s="33" t="s">
        <v>15</v>
      </c>
      <c r="E31" s="73">
        <f t="shared" si="4"/>
        <v>46085.03869</v>
      </c>
      <c r="F31" s="37">
        <f t="shared" si="5"/>
        <v>0.5</v>
      </c>
      <c r="G31" s="4"/>
      <c r="H31" s="38">
        <f t="shared" si="6"/>
        <v>1.96061412</v>
      </c>
      <c r="I31" s="3"/>
      <c r="J31" s="47">
        <v>100.0</v>
      </c>
      <c r="K31" s="3"/>
      <c r="L31" s="54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69" t="s">
        <v>50</v>
      </c>
      <c r="B32" s="30" t="s">
        <v>23</v>
      </c>
      <c r="C32" s="31">
        <v>46087.99930555555</v>
      </c>
      <c r="D32" s="33" t="s">
        <v>21</v>
      </c>
      <c r="E32" s="73">
        <f t="shared" si="4"/>
        <v>46086.17888</v>
      </c>
      <c r="F32" s="37">
        <f t="shared" si="5"/>
        <v>0.5</v>
      </c>
      <c r="G32" s="4"/>
      <c r="H32" s="38">
        <f t="shared" si="6"/>
        <v>1.820426076</v>
      </c>
      <c r="I32" s="3"/>
      <c r="J32" s="47">
        <v>100.0</v>
      </c>
      <c r="K32" s="3"/>
      <c r="L32" s="54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69" t="s">
        <v>51</v>
      </c>
      <c r="B33" s="30" t="s">
        <v>20</v>
      </c>
      <c r="C33" s="31">
        <v>46093.99930555555</v>
      </c>
      <c r="D33" s="33" t="s">
        <v>21</v>
      </c>
      <c r="E33" s="73">
        <f t="shared" si="4"/>
        <v>46093.32857</v>
      </c>
      <c r="F33" s="37">
        <f t="shared" si="5"/>
        <v>0.5</v>
      </c>
      <c r="G33" s="4"/>
      <c r="H33" s="38">
        <f t="shared" si="6"/>
        <v>0.6707336227</v>
      </c>
      <c r="I33" s="3"/>
      <c r="J33" s="47">
        <v>100.0</v>
      </c>
      <c r="K33" s="3"/>
      <c r="L33" s="54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69" t="s">
        <v>52</v>
      </c>
      <c r="B34" s="30" t="s">
        <v>14</v>
      </c>
      <c r="C34" s="31">
        <v>46094.99930555555</v>
      </c>
      <c r="D34" s="33" t="s">
        <v>15</v>
      </c>
      <c r="E34" s="73">
        <f t="shared" si="4"/>
        <v>46093.26463</v>
      </c>
      <c r="F34" s="37">
        <f t="shared" si="5"/>
        <v>0.5</v>
      </c>
      <c r="G34" s="4"/>
      <c r="H34" s="38">
        <f t="shared" si="6"/>
        <v>1.734675937</v>
      </c>
      <c r="I34" s="3"/>
      <c r="J34" s="47">
        <v>0.0</v>
      </c>
      <c r="K34" s="3"/>
      <c r="L34" s="54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69" t="s">
        <v>53</v>
      </c>
      <c r="B35" s="30" t="s">
        <v>20</v>
      </c>
      <c r="C35" s="31">
        <v>46099.99930555555</v>
      </c>
      <c r="D35" s="33" t="s">
        <v>21</v>
      </c>
      <c r="E35" s="73">
        <f t="shared" si="4"/>
        <v>46098.3429</v>
      </c>
      <c r="F35" s="37">
        <f t="shared" si="5"/>
        <v>0.5</v>
      </c>
      <c r="G35" s="4"/>
      <c r="H35" s="38">
        <f t="shared" si="6"/>
        <v>1.65640794</v>
      </c>
      <c r="I35" s="74"/>
      <c r="J35" s="74"/>
      <c r="K35" s="3"/>
      <c r="L35" s="54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69" t="s">
        <v>54</v>
      </c>
      <c r="B36" s="30" t="s">
        <v>55</v>
      </c>
      <c r="C36" s="31">
        <v>46101.99930555555</v>
      </c>
      <c r="D36" s="33" t="s">
        <v>21</v>
      </c>
      <c r="E36" s="73">
        <f t="shared" si="4"/>
        <v>46101.40542</v>
      </c>
      <c r="F36" s="37">
        <f t="shared" si="5"/>
        <v>0.5</v>
      </c>
      <c r="G36" s="4"/>
      <c r="H36" s="38">
        <f t="shared" si="6"/>
        <v>0.5938885532</v>
      </c>
      <c r="I36" s="3"/>
      <c r="J36" s="74"/>
      <c r="K36" s="74"/>
      <c r="L36" s="54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69" t="s">
        <v>56</v>
      </c>
      <c r="B37" s="30" t="s">
        <v>55</v>
      </c>
      <c r="C37" s="31">
        <v>46104.99930555555</v>
      </c>
      <c r="D37" s="33" t="s">
        <v>21</v>
      </c>
      <c r="E37" s="73">
        <f t="shared" si="4"/>
        <v>46104.38165</v>
      </c>
      <c r="F37" s="37">
        <f t="shared" si="5"/>
        <v>0.5</v>
      </c>
      <c r="G37" s="4"/>
      <c r="H37" s="38">
        <f t="shared" si="6"/>
        <v>0.6176528009</v>
      </c>
      <c r="I37" s="3"/>
      <c r="J37" s="74"/>
      <c r="K37" s="74"/>
      <c r="L37" s="54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69" t="s">
        <v>57</v>
      </c>
      <c r="B38" s="30" t="s">
        <v>55</v>
      </c>
      <c r="C38" s="31">
        <v>46107.99930555555</v>
      </c>
      <c r="D38" s="33" t="s">
        <v>21</v>
      </c>
      <c r="E38" s="73">
        <f t="shared" si="4"/>
        <v>46108.09604</v>
      </c>
      <c r="F38" s="37">
        <f t="shared" si="5"/>
        <v>0</v>
      </c>
      <c r="G38" s="4"/>
      <c r="H38" s="38">
        <f t="shared" si="6"/>
        <v>0.09673431714</v>
      </c>
      <c r="I38" s="3"/>
      <c r="J38" s="74"/>
      <c r="K38" s="74"/>
      <c r="L38" s="54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69" t="s">
        <v>58</v>
      </c>
      <c r="B39" s="30" t="s">
        <v>37</v>
      </c>
      <c r="C39" s="31">
        <v>46107.99930555555</v>
      </c>
      <c r="D39" s="33"/>
      <c r="E39" s="73" t="str">
        <f t="shared" si="4"/>
        <v/>
      </c>
      <c r="F39" s="37">
        <f t="shared" si="5"/>
        <v>0</v>
      </c>
      <c r="G39" s="4"/>
      <c r="H39" s="38" t="str">
        <f t="shared" si="6"/>
        <v>0</v>
      </c>
      <c r="I39" s="3"/>
      <c r="J39" s="74"/>
      <c r="K39" s="74"/>
      <c r="L39" s="54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3"/>
      <c r="B40" s="3"/>
      <c r="C40" s="3"/>
      <c r="D40" s="3"/>
      <c r="E40" s="80"/>
      <c r="F40" s="54"/>
      <c r="G40" s="3"/>
      <c r="H40" s="3"/>
      <c r="I40" s="3"/>
      <c r="J40" s="74"/>
      <c r="K40" s="74"/>
      <c r="L40" s="54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3"/>
      <c r="B41" s="3"/>
      <c r="C41" s="3"/>
      <c r="D41" s="3"/>
      <c r="E41" s="80"/>
      <c r="F41" s="54"/>
      <c r="G41" s="3"/>
      <c r="H41" s="3"/>
      <c r="I41" s="3"/>
      <c r="J41" s="74"/>
      <c r="K41" s="74"/>
      <c r="L41" s="54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3"/>
      <c r="B42" s="3"/>
      <c r="C42" s="3"/>
      <c r="D42" s="3"/>
      <c r="E42" s="80"/>
      <c r="F42" s="54"/>
      <c r="G42" s="3"/>
      <c r="H42" s="3"/>
      <c r="I42" s="3"/>
      <c r="J42" s="3"/>
      <c r="K42" s="3"/>
      <c r="L42" s="54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3"/>
      <c r="B43" s="3"/>
      <c r="C43" s="3"/>
      <c r="D43" s="3"/>
      <c r="E43" s="80"/>
      <c r="F43" s="54"/>
      <c r="G43" s="3"/>
      <c r="H43" s="3"/>
      <c r="I43" s="3"/>
      <c r="J43" s="3"/>
      <c r="K43" s="3"/>
      <c r="L43" s="54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3"/>
      <c r="B44" s="3"/>
      <c r="C44" s="3"/>
      <c r="D44" s="3"/>
      <c r="E44" s="80"/>
      <c r="F44" s="54"/>
      <c r="G44" s="3"/>
      <c r="H44" s="3"/>
      <c r="I44" s="3"/>
      <c r="J44" s="3"/>
      <c r="K44" s="3"/>
      <c r="L44" s="54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3"/>
      <c r="B45" s="3"/>
      <c r="C45" s="3"/>
      <c r="D45" s="3"/>
      <c r="E45" s="80"/>
      <c r="F45" s="54"/>
      <c r="G45" s="3"/>
      <c r="H45" s="3"/>
      <c r="I45" s="3"/>
      <c r="J45" s="3"/>
      <c r="K45" s="3"/>
      <c r="L45" s="54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3"/>
      <c r="B46" s="3"/>
      <c r="C46" s="3"/>
      <c r="D46" s="3"/>
      <c r="E46" s="80"/>
      <c r="F46" s="54"/>
      <c r="G46" s="3"/>
      <c r="H46" s="3"/>
      <c r="I46" s="3"/>
      <c r="J46" s="3"/>
      <c r="K46" s="3"/>
      <c r="L46" s="54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3"/>
      <c r="B47" s="3"/>
      <c r="C47" s="3"/>
      <c r="D47" s="3"/>
      <c r="E47" s="80"/>
      <c r="F47" s="54"/>
      <c r="G47" s="3"/>
      <c r="H47" s="3"/>
      <c r="I47" s="3"/>
      <c r="J47" s="3"/>
      <c r="K47" s="3"/>
      <c r="L47" s="54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3"/>
      <c r="B48" s="3"/>
      <c r="C48" s="3"/>
      <c r="D48" s="3"/>
      <c r="E48" s="80"/>
      <c r="F48" s="54"/>
      <c r="G48" s="3"/>
      <c r="H48" s="3"/>
      <c r="I48" s="3"/>
      <c r="J48" s="3"/>
      <c r="K48" s="3"/>
      <c r="L48" s="54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3"/>
      <c r="B49" s="3"/>
      <c r="C49" s="3"/>
      <c r="D49" s="3"/>
      <c r="E49" s="80"/>
      <c r="F49" s="54"/>
      <c r="G49" s="3"/>
      <c r="H49" s="3"/>
      <c r="I49" s="3"/>
      <c r="J49" s="3"/>
      <c r="K49" s="3"/>
      <c r="L49" s="54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3"/>
      <c r="B50" s="3"/>
      <c r="C50" s="3"/>
      <c r="D50" s="3"/>
      <c r="E50" s="80"/>
      <c r="F50" s="54"/>
      <c r="G50" s="3"/>
      <c r="H50" s="3"/>
      <c r="I50" s="3"/>
      <c r="J50" s="3"/>
      <c r="K50" s="3"/>
      <c r="L50" s="54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3"/>
      <c r="B51" s="3"/>
      <c r="C51" s="3"/>
      <c r="D51" s="3"/>
      <c r="E51" s="80"/>
      <c r="F51" s="54"/>
      <c r="G51" s="3"/>
      <c r="H51" s="3"/>
      <c r="I51" s="3"/>
      <c r="J51" s="3"/>
      <c r="K51" s="3"/>
      <c r="L51" s="54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3"/>
      <c r="B52" s="3"/>
      <c r="C52" s="3"/>
      <c r="D52" s="3"/>
      <c r="E52" s="80"/>
      <c r="F52" s="54"/>
      <c r="G52" s="3"/>
      <c r="H52" s="3"/>
      <c r="I52" s="3"/>
      <c r="J52" s="3"/>
      <c r="K52" s="3"/>
      <c r="L52" s="54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3"/>
      <c r="B53" s="3"/>
      <c r="C53" s="3"/>
      <c r="D53" s="3"/>
      <c r="E53" s="80"/>
      <c r="F53" s="54"/>
      <c r="G53" s="3"/>
      <c r="H53" s="3"/>
      <c r="I53" s="3"/>
      <c r="J53" s="3"/>
      <c r="K53" s="3"/>
      <c r="L53" s="54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3"/>
      <c r="B54" s="3"/>
      <c r="C54" s="3"/>
      <c r="D54" s="3"/>
      <c r="E54" s="80"/>
      <c r="F54" s="54"/>
      <c r="G54" s="3"/>
      <c r="H54" s="3"/>
      <c r="I54" s="3"/>
      <c r="J54" s="3"/>
      <c r="K54" s="3"/>
      <c r="L54" s="54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3"/>
      <c r="B55" s="3"/>
      <c r="C55" s="3"/>
      <c r="D55" s="3"/>
      <c r="E55" s="80"/>
      <c r="F55" s="54"/>
      <c r="G55" s="3"/>
      <c r="H55" s="3"/>
      <c r="I55" s="3"/>
      <c r="J55" s="3"/>
      <c r="K55" s="3"/>
      <c r="L55" s="54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3"/>
      <c r="B56" s="3"/>
      <c r="C56" s="3"/>
      <c r="D56" s="3"/>
      <c r="E56" s="80"/>
      <c r="F56" s="54"/>
      <c r="G56" s="3"/>
      <c r="H56" s="3"/>
      <c r="I56" s="3"/>
      <c r="J56" s="3"/>
      <c r="K56" s="3"/>
      <c r="L56" s="54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3"/>
      <c r="B57" s="3"/>
      <c r="C57" s="3"/>
      <c r="D57" s="3"/>
      <c r="E57" s="80"/>
      <c r="F57" s="54"/>
      <c r="G57" s="3"/>
      <c r="H57" s="3"/>
      <c r="I57" s="3"/>
      <c r="J57" s="3"/>
      <c r="K57" s="3"/>
      <c r="L57" s="54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3"/>
      <c r="B58" s="3"/>
      <c r="C58" s="3"/>
      <c r="D58" s="3"/>
      <c r="E58" s="80"/>
      <c r="F58" s="54"/>
      <c r="G58" s="3"/>
      <c r="H58" s="3"/>
      <c r="I58" s="3"/>
      <c r="J58" s="3"/>
      <c r="K58" s="3"/>
      <c r="L58" s="54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3"/>
      <c r="B59" s="3"/>
      <c r="C59" s="3"/>
      <c r="D59" s="3"/>
      <c r="E59" s="80"/>
      <c r="F59" s="54"/>
      <c r="G59" s="3"/>
      <c r="H59" s="3"/>
      <c r="I59" s="3"/>
      <c r="J59" s="3"/>
      <c r="K59" s="3"/>
      <c r="L59" s="54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3"/>
      <c r="B60" s="3"/>
      <c r="C60" s="3"/>
      <c r="D60" s="3"/>
      <c r="E60" s="80"/>
      <c r="F60" s="54"/>
      <c r="G60" s="3"/>
      <c r="H60" s="3"/>
      <c r="I60" s="3"/>
      <c r="J60" s="3"/>
      <c r="K60" s="3"/>
      <c r="L60" s="54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3"/>
      <c r="B61" s="3"/>
      <c r="C61" s="3"/>
      <c r="D61" s="3"/>
      <c r="E61" s="80"/>
      <c r="F61" s="54"/>
      <c r="G61" s="3"/>
      <c r="H61" s="3"/>
      <c r="I61" s="3"/>
      <c r="J61" s="3"/>
      <c r="K61" s="3"/>
      <c r="L61" s="54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3"/>
      <c r="B62" s="3"/>
      <c r="C62" s="3"/>
      <c r="D62" s="3"/>
      <c r="E62" s="80"/>
      <c r="F62" s="54"/>
      <c r="G62" s="3"/>
      <c r="H62" s="3"/>
      <c r="I62" s="3"/>
      <c r="J62" s="3"/>
      <c r="K62" s="3"/>
      <c r="L62" s="54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3"/>
      <c r="B63" s="3"/>
      <c r="C63" s="3"/>
      <c r="D63" s="3"/>
      <c r="E63" s="80"/>
      <c r="F63" s="54"/>
      <c r="G63" s="3"/>
      <c r="H63" s="3"/>
      <c r="I63" s="3"/>
      <c r="J63" s="3"/>
      <c r="K63" s="3"/>
      <c r="L63" s="54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3"/>
      <c r="B64" s="3"/>
      <c r="C64" s="3"/>
      <c r="D64" s="3"/>
      <c r="E64" s="80"/>
      <c r="F64" s="54"/>
      <c r="G64" s="3"/>
      <c r="H64" s="3"/>
      <c r="I64" s="3"/>
      <c r="J64" s="3"/>
      <c r="K64" s="3"/>
      <c r="L64" s="54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3"/>
      <c r="B65" s="3"/>
      <c r="C65" s="3"/>
      <c r="D65" s="3"/>
      <c r="E65" s="80"/>
      <c r="F65" s="54"/>
      <c r="G65" s="3"/>
      <c r="H65" s="3"/>
      <c r="I65" s="3"/>
      <c r="J65" s="3"/>
      <c r="K65" s="3"/>
      <c r="L65" s="54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3"/>
      <c r="B66" s="3"/>
      <c r="C66" s="3"/>
      <c r="D66" s="3"/>
      <c r="E66" s="80"/>
      <c r="F66" s="54"/>
      <c r="G66" s="3"/>
      <c r="H66" s="3"/>
      <c r="I66" s="3"/>
      <c r="J66" s="3"/>
      <c r="K66" s="3"/>
      <c r="L66" s="54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3"/>
      <c r="B67" s="3"/>
      <c r="C67" s="3"/>
      <c r="D67" s="3"/>
      <c r="E67" s="80"/>
      <c r="F67" s="54"/>
      <c r="G67" s="3"/>
      <c r="H67" s="3"/>
      <c r="I67" s="3"/>
      <c r="J67" s="3"/>
      <c r="K67" s="3"/>
      <c r="L67" s="54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3"/>
      <c r="B68" s="3"/>
      <c r="C68" s="3"/>
      <c r="D68" s="3"/>
      <c r="E68" s="80"/>
      <c r="F68" s="54"/>
      <c r="G68" s="3"/>
      <c r="H68" s="3"/>
      <c r="I68" s="3"/>
      <c r="J68" s="3"/>
      <c r="K68" s="3"/>
      <c r="L68" s="54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3"/>
      <c r="B69" s="3"/>
      <c r="C69" s="3"/>
      <c r="D69" s="3"/>
      <c r="E69" s="80"/>
      <c r="F69" s="54"/>
      <c r="G69" s="3"/>
      <c r="H69" s="3"/>
      <c r="I69" s="3"/>
      <c r="J69" s="3"/>
      <c r="K69" s="3"/>
      <c r="L69" s="54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3"/>
      <c r="B70" s="3"/>
      <c r="C70" s="3"/>
      <c r="D70" s="3"/>
      <c r="E70" s="80"/>
      <c r="F70" s="54"/>
      <c r="G70" s="3"/>
      <c r="H70" s="3"/>
      <c r="I70" s="3"/>
      <c r="J70" s="3"/>
      <c r="K70" s="3"/>
      <c r="L70" s="54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3"/>
      <c r="B71" s="3"/>
      <c r="C71" s="3"/>
      <c r="D71" s="3"/>
      <c r="E71" s="80"/>
      <c r="F71" s="54"/>
      <c r="G71" s="3"/>
      <c r="H71" s="3"/>
      <c r="I71" s="3"/>
      <c r="J71" s="3"/>
      <c r="K71" s="3"/>
      <c r="L71" s="54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3"/>
      <c r="B72" s="3"/>
      <c r="C72" s="3"/>
      <c r="D72" s="3"/>
      <c r="E72" s="80"/>
      <c r="F72" s="54"/>
      <c r="G72" s="3"/>
      <c r="H72" s="3"/>
      <c r="I72" s="3"/>
      <c r="J72" s="3"/>
      <c r="K72" s="3"/>
      <c r="L72" s="54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3"/>
      <c r="B73" s="3"/>
      <c r="C73" s="3"/>
      <c r="D73" s="3"/>
      <c r="E73" s="80"/>
      <c r="F73" s="54"/>
      <c r="G73" s="3"/>
      <c r="H73" s="3"/>
      <c r="I73" s="3"/>
      <c r="J73" s="3"/>
      <c r="K73" s="3"/>
      <c r="L73" s="54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3"/>
      <c r="B74" s="3"/>
      <c r="C74" s="3"/>
      <c r="D74" s="3"/>
      <c r="E74" s="80"/>
      <c r="F74" s="54"/>
      <c r="G74" s="3"/>
      <c r="H74" s="3"/>
      <c r="I74" s="3"/>
      <c r="J74" s="3"/>
      <c r="K74" s="3"/>
      <c r="L74" s="54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3"/>
      <c r="B75" s="3"/>
      <c r="C75" s="3"/>
      <c r="D75" s="3"/>
      <c r="E75" s="80"/>
      <c r="F75" s="54"/>
      <c r="G75" s="3"/>
      <c r="H75" s="3"/>
      <c r="I75" s="3"/>
      <c r="J75" s="3"/>
      <c r="K75" s="3"/>
      <c r="L75" s="54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3"/>
      <c r="B76" s="3"/>
      <c r="C76" s="3"/>
      <c r="D76" s="3"/>
      <c r="E76" s="80"/>
      <c r="F76" s="54"/>
      <c r="G76" s="3"/>
      <c r="H76" s="3"/>
      <c r="I76" s="3"/>
      <c r="J76" s="3"/>
      <c r="K76" s="3"/>
      <c r="L76" s="54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3"/>
      <c r="B77" s="3"/>
      <c r="C77" s="3"/>
      <c r="D77" s="3"/>
      <c r="E77" s="80"/>
      <c r="F77" s="54"/>
      <c r="G77" s="3"/>
      <c r="H77" s="3"/>
      <c r="I77" s="3"/>
      <c r="J77" s="3"/>
      <c r="K77" s="3"/>
      <c r="L77" s="54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3"/>
      <c r="B78" s="3"/>
      <c r="C78" s="3"/>
      <c r="D78" s="3"/>
      <c r="E78" s="80"/>
      <c r="F78" s="54"/>
      <c r="G78" s="3"/>
      <c r="H78" s="3"/>
      <c r="I78" s="3"/>
      <c r="J78" s="3"/>
      <c r="K78" s="3"/>
      <c r="L78" s="54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3"/>
      <c r="B79" s="3"/>
      <c r="C79" s="3"/>
      <c r="D79" s="3"/>
      <c r="E79" s="80"/>
      <c r="F79" s="54"/>
      <c r="G79" s="3"/>
      <c r="H79" s="3"/>
      <c r="I79" s="3"/>
      <c r="J79" s="3"/>
      <c r="K79" s="3"/>
      <c r="L79" s="54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3"/>
      <c r="B80" s="3"/>
      <c r="C80" s="3"/>
      <c r="D80" s="3"/>
      <c r="E80" s="80"/>
      <c r="F80" s="54"/>
      <c r="G80" s="3"/>
      <c r="H80" s="3"/>
      <c r="I80" s="3"/>
      <c r="J80" s="3"/>
      <c r="K80" s="3"/>
      <c r="L80" s="54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3"/>
      <c r="B81" s="3"/>
      <c r="C81" s="3"/>
      <c r="D81" s="3"/>
      <c r="E81" s="80"/>
      <c r="F81" s="54"/>
      <c r="G81" s="3"/>
      <c r="H81" s="3"/>
      <c r="I81" s="3"/>
      <c r="J81" s="3"/>
      <c r="K81" s="3"/>
      <c r="L81" s="54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3"/>
      <c r="B82" s="3"/>
      <c r="C82" s="3"/>
      <c r="D82" s="3"/>
      <c r="E82" s="80"/>
      <c r="F82" s="54"/>
      <c r="G82" s="3"/>
      <c r="H82" s="3"/>
      <c r="I82" s="3"/>
      <c r="J82" s="3"/>
      <c r="K82" s="3"/>
      <c r="L82" s="54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3"/>
      <c r="B83" s="3"/>
      <c r="C83" s="3"/>
      <c r="D83" s="3"/>
      <c r="E83" s="80"/>
      <c r="F83" s="54"/>
      <c r="G83" s="3"/>
      <c r="H83" s="3"/>
      <c r="I83" s="3"/>
      <c r="J83" s="3"/>
      <c r="K83" s="3"/>
      <c r="L83" s="54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3"/>
      <c r="B84" s="3"/>
      <c r="C84" s="3"/>
      <c r="D84" s="3"/>
      <c r="E84" s="80"/>
      <c r="F84" s="54"/>
      <c r="G84" s="3"/>
      <c r="H84" s="3"/>
      <c r="I84" s="3"/>
      <c r="J84" s="3"/>
      <c r="K84" s="3"/>
      <c r="L84" s="54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3"/>
      <c r="B85" s="3"/>
      <c r="C85" s="3"/>
      <c r="D85" s="3"/>
      <c r="E85" s="80"/>
      <c r="F85" s="54"/>
      <c r="G85" s="3"/>
      <c r="H85" s="3"/>
      <c r="I85" s="3"/>
      <c r="J85" s="3"/>
      <c r="K85" s="3"/>
      <c r="L85" s="54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3"/>
      <c r="B86" s="3"/>
      <c r="C86" s="3"/>
      <c r="D86" s="3"/>
      <c r="E86" s="80"/>
      <c r="F86" s="54"/>
      <c r="G86" s="3"/>
      <c r="H86" s="3"/>
      <c r="I86" s="3"/>
      <c r="J86" s="3"/>
      <c r="K86" s="3"/>
      <c r="L86" s="54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3"/>
      <c r="B87" s="3"/>
      <c r="C87" s="3"/>
      <c r="D87" s="3"/>
      <c r="E87" s="80"/>
      <c r="F87" s="54"/>
      <c r="G87" s="3"/>
      <c r="H87" s="3"/>
      <c r="I87" s="3"/>
      <c r="J87" s="3"/>
      <c r="K87" s="3"/>
      <c r="L87" s="54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3"/>
      <c r="B88" s="3"/>
      <c r="C88" s="3"/>
      <c r="D88" s="3"/>
      <c r="E88" s="80"/>
      <c r="F88" s="54"/>
      <c r="G88" s="3"/>
      <c r="H88" s="3"/>
      <c r="I88" s="3"/>
      <c r="J88" s="3"/>
      <c r="K88" s="3"/>
      <c r="L88" s="54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3"/>
      <c r="B89" s="3"/>
      <c r="C89" s="3"/>
      <c r="D89" s="3"/>
      <c r="E89" s="80"/>
      <c r="F89" s="54"/>
      <c r="G89" s="3"/>
      <c r="H89" s="3"/>
      <c r="I89" s="3"/>
      <c r="J89" s="3"/>
      <c r="K89" s="3"/>
      <c r="L89" s="54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3"/>
      <c r="B90" s="3"/>
      <c r="C90" s="3"/>
      <c r="D90" s="3"/>
      <c r="E90" s="80"/>
      <c r="F90" s="54"/>
      <c r="G90" s="3"/>
      <c r="H90" s="3"/>
      <c r="I90" s="3"/>
      <c r="J90" s="3"/>
      <c r="K90" s="3"/>
      <c r="L90" s="54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3"/>
      <c r="B91" s="3"/>
      <c r="C91" s="3"/>
      <c r="D91" s="3"/>
      <c r="E91" s="80"/>
      <c r="F91" s="54"/>
      <c r="G91" s="3"/>
      <c r="H91" s="3"/>
      <c r="I91" s="3"/>
      <c r="J91" s="3"/>
      <c r="K91" s="3"/>
      <c r="L91" s="54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3"/>
      <c r="B92" s="3"/>
      <c r="C92" s="3"/>
      <c r="D92" s="3"/>
      <c r="E92" s="80"/>
      <c r="F92" s="54"/>
      <c r="G92" s="3"/>
      <c r="H92" s="3"/>
      <c r="I92" s="3"/>
      <c r="J92" s="3"/>
      <c r="K92" s="3"/>
      <c r="L92" s="54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3"/>
      <c r="B93" s="3"/>
      <c r="C93" s="3"/>
      <c r="D93" s="3"/>
      <c r="E93" s="80"/>
      <c r="F93" s="54"/>
      <c r="G93" s="3"/>
      <c r="H93" s="3"/>
      <c r="I93" s="3"/>
      <c r="J93" s="3"/>
      <c r="K93" s="3"/>
      <c r="L93" s="54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3"/>
      <c r="B94" s="3"/>
      <c r="C94" s="3"/>
      <c r="D94" s="3"/>
      <c r="E94" s="80"/>
      <c r="F94" s="54"/>
      <c r="G94" s="3"/>
      <c r="H94" s="3"/>
      <c r="I94" s="3"/>
      <c r="J94" s="3"/>
      <c r="K94" s="3"/>
      <c r="L94" s="54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3"/>
      <c r="B95" s="3"/>
      <c r="C95" s="3"/>
      <c r="D95" s="3"/>
      <c r="E95" s="80"/>
      <c r="F95" s="54"/>
      <c r="G95" s="3"/>
      <c r="H95" s="3"/>
      <c r="I95" s="3"/>
      <c r="J95" s="3"/>
      <c r="K95" s="3"/>
      <c r="L95" s="54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3"/>
      <c r="B96" s="3"/>
      <c r="C96" s="3"/>
      <c r="D96" s="3"/>
      <c r="E96" s="80"/>
      <c r="F96" s="54"/>
      <c r="G96" s="3"/>
      <c r="H96" s="3"/>
      <c r="I96" s="3"/>
      <c r="J96" s="3"/>
      <c r="K96" s="3"/>
      <c r="L96" s="54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3"/>
      <c r="B97" s="3"/>
      <c r="C97" s="3"/>
      <c r="D97" s="3"/>
      <c r="E97" s="80"/>
      <c r="F97" s="54"/>
      <c r="G97" s="3"/>
      <c r="H97" s="3"/>
      <c r="I97" s="3"/>
      <c r="J97" s="3"/>
      <c r="K97" s="3"/>
      <c r="L97" s="54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3"/>
      <c r="B98" s="3"/>
      <c r="C98" s="3"/>
      <c r="D98" s="3"/>
      <c r="E98" s="80"/>
      <c r="F98" s="54"/>
      <c r="G98" s="3"/>
      <c r="H98" s="3"/>
      <c r="I98" s="3"/>
      <c r="J98" s="3"/>
      <c r="K98" s="3"/>
      <c r="L98" s="54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3"/>
      <c r="B99" s="3"/>
      <c r="C99" s="3"/>
      <c r="D99" s="3"/>
      <c r="E99" s="80"/>
      <c r="F99" s="54"/>
      <c r="G99" s="3"/>
      <c r="H99" s="3"/>
      <c r="I99" s="3"/>
      <c r="J99" s="3"/>
      <c r="K99" s="3"/>
      <c r="L99" s="54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3"/>
      <c r="B100" s="3"/>
      <c r="C100" s="3"/>
      <c r="D100" s="3"/>
      <c r="E100" s="80"/>
      <c r="F100" s="54"/>
      <c r="G100" s="3"/>
      <c r="H100" s="3"/>
      <c r="I100" s="3"/>
      <c r="J100" s="3"/>
      <c r="K100" s="3"/>
      <c r="L100" s="54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3"/>
      <c r="B101" s="3"/>
      <c r="C101" s="3"/>
      <c r="D101" s="3"/>
      <c r="E101" s="80"/>
      <c r="F101" s="54"/>
      <c r="G101" s="3"/>
      <c r="H101" s="3"/>
      <c r="I101" s="3"/>
      <c r="J101" s="3"/>
      <c r="K101" s="3"/>
      <c r="L101" s="54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3"/>
      <c r="B102" s="3"/>
      <c r="C102" s="3"/>
      <c r="D102" s="3"/>
      <c r="E102" s="80"/>
      <c r="F102" s="54"/>
      <c r="G102" s="3"/>
      <c r="H102" s="3"/>
      <c r="I102" s="3"/>
      <c r="J102" s="3"/>
      <c r="K102" s="3"/>
      <c r="L102" s="54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3"/>
      <c r="B103" s="3"/>
      <c r="C103" s="3"/>
      <c r="D103" s="3"/>
      <c r="E103" s="80"/>
      <c r="F103" s="54"/>
      <c r="G103" s="3"/>
      <c r="H103" s="3"/>
      <c r="I103" s="3"/>
      <c r="J103" s="3"/>
      <c r="K103" s="3"/>
      <c r="L103" s="54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3"/>
      <c r="B104" s="3"/>
      <c r="C104" s="3"/>
      <c r="D104" s="3"/>
      <c r="E104" s="80"/>
      <c r="F104" s="54"/>
      <c r="G104" s="3"/>
      <c r="H104" s="3"/>
      <c r="I104" s="3"/>
      <c r="J104" s="3"/>
      <c r="K104" s="3"/>
      <c r="L104" s="54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3"/>
      <c r="B105" s="3"/>
      <c r="C105" s="3"/>
      <c r="D105" s="3"/>
      <c r="E105" s="80"/>
      <c r="F105" s="54"/>
      <c r="G105" s="3"/>
      <c r="H105" s="3"/>
      <c r="I105" s="3"/>
      <c r="J105" s="3"/>
      <c r="K105" s="3"/>
      <c r="L105" s="54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3"/>
      <c r="B106" s="3"/>
      <c r="C106" s="3"/>
      <c r="D106" s="3"/>
      <c r="E106" s="80"/>
      <c r="F106" s="54"/>
      <c r="G106" s="3"/>
      <c r="H106" s="3"/>
      <c r="I106" s="3"/>
      <c r="J106" s="3"/>
      <c r="K106" s="3"/>
      <c r="L106" s="54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3"/>
      <c r="B107" s="3"/>
      <c r="C107" s="3"/>
      <c r="D107" s="3"/>
      <c r="E107" s="80"/>
      <c r="F107" s="54"/>
      <c r="G107" s="3"/>
      <c r="H107" s="3"/>
      <c r="I107" s="3"/>
      <c r="J107" s="3"/>
      <c r="K107" s="3"/>
      <c r="L107" s="54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3"/>
      <c r="B108" s="3"/>
      <c r="C108" s="3"/>
      <c r="D108" s="3"/>
      <c r="E108" s="80"/>
      <c r="F108" s="54"/>
      <c r="G108" s="3"/>
      <c r="H108" s="3"/>
      <c r="I108" s="3"/>
      <c r="J108" s="3"/>
      <c r="K108" s="3"/>
      <c r="L108" s="54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3"/>
      <c r="B109" s="3"/>
      <c r="C109" s="3"/>
      <c r="D109" s="3"/>
      <c r="E109" s="80"/>
      <c r="F109" s="54"/>
      <c r="G109" s="3"/>
      <c r="H109" s="3"/>
      <c r="I109" s="3"/>
      <c r="J109" s="3"/>
      <c r="K109" s="3"/>
      <c r="L109" s="54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3"/>
      <c r="B110" s="3"/>
      <c r="C110" s="3"/>
      <c r="D110" s="3"/>
      <c r="E110" s="80"/>
      <c r="F110" s="54"/>
      <c r="G110" s="3"/>
      <c r="H110" s="3"/>
      <c r="I110" s="3"/>
      <c r="J110" s="3"/>
      <c r="K110" s="3"/>
      <c r="L110" s="54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3"/>
      <c r="B111" s="3"/>
      <c r="C111" s="3"/>
      <c r="D111" s="3"/>
      <c r="E111" s="80"/>
      <c r="F111" s="54"/>
      <c r="G111" s="3"/>
      <c r="H111" s="3"/>
      <c r="I111" s="3"/>
      <c r="J111" s="3"/>
      <c r="K111" s="3"/>
      <c r="L111" s="54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3"/>
      <c r="B112" s="3"/>
      <c r="C112" s="3"/>
      <c r="D112" s="3"/>
      <c r="E112" s="80"/>
      <c r="F112" s="54"/>
      <c r="G112" s="3"/>
      <c r="H112" s="3"/>
      <c r="I112" s="3"/>
      <c r="J112" s="3"/>
      <c r="K112" s="3"/>
      <c r="L112" s="54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3"/>
      <c r="B113" s="3"/>
      <c r="C113" s="3"/>
      <c r="D113" s="3"/>
      <c r="E113" s="80"/>
      <c r="F113" s="54"/>
      <c r="G113" s="3"/>
      <c r="H113" s="3"/>
      <c r="I113" s="3"/>
      <c r="J113" s="3"/>
      <c r="K113" s="3"/>
      <c r="L113" s="54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3"/>
      <c r="B114" s="3"/>
      <c r="C114" s="3"/>
      <c r="D114" s="3"/>
      <c r="E114" s="80"/>
      <c r="F114" s="54"/>
      <c r="G114" s="3"/>
      <c r="H114" s="3"/>
      <c r="I114" s="3"/>
      <c r="J114" s="3"/>
      <c r="K114" s="3"/>
      <c r="L114" s="54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3"/>
      <c r="B115" s="3"/>
      <c r="C115" s="3"/>
      <c r="D115" s="3"/>
      <c r="E115" s="80"/>
      <c r="F115" s="54"/>
      <c r="G115" s="3"/>
      <c r="H115" s="3"/>
      <c r="I115" s="3"/>
      <c r="J115" s="3"/>
      <c r="K115" s="3"/>
      <c r="L115" s="54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3"/>
      <c r="B116" s="3"/>
      <c r="C116" s="3"/>
      <c r="D116" s="3"/>
      <c r="E116" s="80"/>
      <c r="F116" s="54"/>
      <c r="G116" s="3"/>
      <c r="H116" s="3"/>
      <c r="I116" s="3"/>
      <c r="J116" s="3"/>
      <c r="K116" s="3"/>
      <c r="L116" s="54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3"/>
      <c r="B117" s="3"/>
      <c r="C117" s="3"/>
      <c r="D117" s="3"/>
      <c r="E117" s="80"/>
      <c r="F117" s="54"/>
      <c r="G117" s="3"/>
      <c r="H117" s="3"/>
      <c r="I117" s="3"/>
      <c r="J117" s="3"/>
      <c r="K117" s="3"/>
      <c r="L117" s="54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3"/>
      <c r="B118" s="3"/>
      <c r="C118" s="3"/>
      <c r="D118" s="3"/>
      <c r="E118" s="80"/>
      <c r="F118" s="54"/>
      <c r="G118" s="3"/>
      <c r="H118" s="3"/>
      <c r="I118" s="3"/>
      <c r="J118" s="3"/>
      <c r="K118" s="3"/>
      <c r="L118" s="54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3"/>
      <c r="B119" s="3"/>
      <c r="C119" s="3"/>
      <c r="D119" s="3"/>
      <c r="E119" s="80"/>
      <c r="F119" s="54"/>
      <c r="G119" s="3"/>
      <c r="H119" s="3"/>
      <c r="I119" s="3"/>
      <c r="J119" s="3"/>
      <c r="K119" s="3"/>
      <c r="L119" s="54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3"/>
      <c r="B120" s="3"/>
      <c r="C120" s="3"/>
      <c r="D120" s="3"/>
      <c r="E120" s="80"/>
      <c r="F120" s="54"/>
      <c r="G120" s="3"/>
      <c r="H120" s="3"/>
      <c r="I120" s="3"/>
      <c r="J120" s="3"/>
      <c r="K120" s="3"/>
      <c r="L120" s="54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3"/>
      <c r="B121" s="3"/>
      <c r="C121" s="3"/>
      <c r="D121" s="3"/>
      <c r="E121" s="80"/>
      <c r="F121" s="54"/>
      <c r="G121" s="3"/>
      <c r="H121" s="3"/>
      <c r="I121" s="3"/>
      <c r="J121" s="3"/>
      <c r="K121" s="3"/>
      <c r="L121" s="54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3"/>
      <c r="B122" s="3"/>
      <c r="C122" s="3"/>
      <c r="D122" s="3"/>
      <c r="E122" s="80"/>
      <c r="F122" s="54"/>
      <c r="G122" s="3"/>
      <c r="H122" s="3"/>
      <c r="I122" s="3"/>
      <c r="J122" s="3"/>
      <c r="K122" s="3"/>
      <c r="L122" s="54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3"/>
      <c r="B123" s="3"/>
      <c r="C123" s="3"/>
      <c r="D123" s="3"/>
      <c r="E123" s="80"/>
      <c r="F123" s="54"/>
      <c r="G123" s="3"/>
      <c r="H123" s="3"/>
      <c r="I123" s="3"/>
      <c r="J123" s="3"/>
      <c r="K123" s="3"/>
      <c r="L123" s="54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3"/>
      <c r="B124" s="3"/>
      <c r="C124" s="3"/>
      <c r="D124" s="3"/>
      <c r="E124" s="80"/>
      <c r="F124" s="54"/>
      <c r="G124" s="3"/>
      <c r="H124" s="3"/>
      <c r="I124" s="3"/>
      <c r="J124" s="3"/>
      <c r="K124" s="3"/>
      <c r="L124" s="54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3"/>
      <c r="B125" s="3"/>
      <c r="C125" s="3"/>
      <c r="D125" s="3"/>
      <c r="E125" s="80"/>
      <c r="F125" s="54"/>
      <c r="G125" s="3"/>
      <c r="H125" s="3"/>
      <c r="I125" s="3"/>
      <c r="J125" s="3"/>
      <c r="K125" s="3"/>
      <c r="L125" s="54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3"/>
      <c r="B126" s="3"/>
      <c r="C126" s="3"/>
      <c r="D126" s="3"/>
      <c r="E126" s="80"/>
      <c r="F126" s="54"/>
      <c r="G126" s="3"/>
      <c r="H126" s="3"/>
      <c r="I126" s="3"/>
      <c r="J126" s="3"/>
      <c r="K126" s="3"/>
      <c r="L126" s="54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3"/>
      <c r="B127" s="3"/>
      <c r="C127" s="3"/>
      <c r="D127" s="3"/>
      <c r="E127" s="80"/>
      <c r="F127" s="54"/>
      <c r="G127" s="3"/>
      <c r="H127" s="3"/>
      <c r="I127" s="3"/>
      <c r="J127" s="3"/>
      <c r="K127" s="3"/>
      <c r="L127" s="54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3"/>
      <c r="B128" s="3"/>
      <c r="C128" s="3"/>
      <c r="D128" s="3"/>
      <c r="E128" s="80"/>
      <c r="F128" s="54"/>
      <c r="G128" s="3"/>
      <c r="H128" s="3"/>
      <c r="I128" s="3"/>
      <c r="J128" s="3"/>
      <c r="K128" s="3"/>
      <c r="L128" s="54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3"/>
      <c r="C129" s="3"/>
      <c r="D129" s="3"/>
      <c r="E129" s="80"/>
      <c r="F129" s="54"/>
      <c r="G129" s="3"/>
      <c r="H129" s="3"/>
      <c r="I129" s="3"/>
      <c r="J129" s="3"/>
      <c r="K129" s="3"/>
      <c r="L129" s="54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3"/>
      <c r="B130" s="3"/>
      <c r="C130" s="3"/>
      <c r="D130" s="3"/>
      <c r="E130" s="80"/>
      <c r="F130" s="54"/>
      <c r="G130" s="3"/>
      <c r="H130" s="3"/>
      <c r="I130" s="3"/>
      <c r="J130" s="3"/>
      <c r="K130" s="3"/>
      <c r="L130" s="54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3"/>
      <c r="E131" s="80"/>
      <c r="F131" s="54"/>
      <c r="G131" s="3"/>
      <c r="H131" s="3"/>
      <c r="I131" s="3"/>
      <c r="J131" s="3"/>
      <c r="K131" s="3"/>
      <c r="L131" s="54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3"/>
      <c r="E132" s="80"/>
      <c r="F132" s="54"/>
      <c r="G132" s="3"/>
      <c r="H132" s="3"/>
      <c r="I132" s="3"/>
      <c r="J132" s="3"/>
      <c r="K132" s="3"/>
      <c r="L132" s="54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3"/>
      <c r="E133" s="80"/>
      <c r="F133" s="54"/>
      <c r="G133" s="3"/>
      <c r="H133" s="3"/>
      <c r="I133" s="3"/>
      <c r="J133" s="3"/>
      <c r="K133" s="3"/>
      <c r="L133" s="54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3"/>
      <c r="E134" s="80"/>
      <c r="F134" s="54"/>
      <c r="G134" s="3"/>
      <c r="H134" s="3"/>
      <c r="I134" s="3"/>
      <c r="J134" s="3"/>
      <c r="K134" s="3"/>
      <c r="L134" s="54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3"/>
      <c r="E135" s="80"/>
      <c r="F135" s="54"/>
      <c r="G135" s="3"/>
      <c r="H135" s="3"/>
      <c r="I135" s="3"/>
      <c r="J135" s="3"/>
      <c r="K135" s="3"/>
      <c r="L135" s="54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3"/>
      <c r="E136" s="80"/>
      <c r="F136" s="54"/>
      <c r="G136" s="3"/>
      <c r="H136" s="3"/>
      <c r="I136" s="3"/>
      <c r="J136" s="3"/>
      <c r="K136" s="3"/>
      <c r="L136" s="54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3"/>
      <c r="E137" s="80"/>
      <c r="F137" s="54"/>
      <c r="G137" s="3"/>
      <c r="H137" s="3"/>
      <c r="I137" s="3"/>
      <c r="J137" s="3"/>
      <c r="K137" s="3"/>
      <c r="L137" s="54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3"/>
      <c r="E138" s="80"/>
      <c r="F138" s="54"/>
      <c r="G138" s="3"/>
      <c r="H138" s="3"/>
      <c r="I138" s="3"/>
      <c r="J138" s="3"/>
      <c r="K138" s="3"/>
      <c r="L138" s="54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3"/>
      <c r="E139" s="80"/>
      <c r="F139" s="54"/>
      <c r="G139" s="3"/>
      <c r="H139" s="3"/>
      <c r="I139" s="3"/>
      <c r="J139" s="3"/>
      <c r="K139" s="3"/>
      <c r="L139" s="54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3"/>
      <c r="E140" s="80"/>
      <c r="F140" s="54"/>
      <c r="G140" s="3"/>
      <c r="H140" s="3"/>
      <c r="I140" s="3"/>
      <c r="J140" s="3"/>
      <c r="K140" s="3"/>
      <c r="L140" s="54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3"/>
      <c r="E141" s="80"/>
      <c r="F141" s="54"/>
      <c r="G141" s="3"/>
      <c r="H141" s="3"/>
      <c r="I141" s="3"/>
      <c r="J141" s="3"/>
      <c r="K141" s="3"/>
      <c r="L141" s="54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3"/>
      <c r="E142" s="80"/>
      <c r="F142" s="54"/>
      <c r="G142" s="3"/>
      <c r="H142" s="3"/>
      <c r="I142" s="3"/>
      <c r="J142" s="3"/>
      <c r="K142" s="3"/>
      <c r="L142" s="54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3"/>
      <c r="E143" s="80"/>
      <c r="F143" s="54"/>
      <c r="G143" s="3"/>
      <c r="H143" s="3"/>
      <c r="I143" s="3"/>
      <c r="J143" s="3"/>
      <c r="K143" s="3"/>
      <c r="L143" s="54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3"/>
      <c r="E144" s="80"/>
      <c r="F144" s="54"/>
      <c r="G144" s="3"/>
      <c r="H144" s="3"/>
      <c r="I144" s="3"/>
      <c r="J144" s="3"/>
      <c r="K144" s="3"/>
      <c r="L144" s="54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3"/>
      <c r="E145" s="80"/>
      <c r="F145" s="54"/>
      <c r="G145" s="3"/>
      <c r="H145" s="3"/>
      <c r="I145" s="3"/>
      <c r="J145" s="3"/>
      <c r="K145" s="3"/>
      <c r="L145" s="54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3"/>
      <c r="E146" s="80"/>
      <c r="F146" s="54"/>
      <c r="G146" s="3"/>
      <c r="H146" s="3"/>
      <c r="I146" s="3"/>
      <c r="J146" s="3"/>
      <c r="K146" s="3"/>
      <c r="L146" s="54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3"/>
      <c r="E147" s="80"/>
      <c r="F147" s="54"/>
      <c r="G147" s="3"/>
      <c r="H147" s="3"/>
      <c r="I147" s="3"/>
      <c r="J147" s="3"/>
      <c r="K147" s="3"/>
      <c r="L147" s="54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3"/>
      <c r="E148" s="80"/>
      <c r="F148" s="54"/>
      <c r="G148" s="3"/>
      <c r="H148" s="3"/>
      <c r="I148" s="3"/>
      <c r="J148" s="3"/>
      <c r="K148" s="3"/>
      <c r="L148" s="54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3"/>
      <c r="E149" s="80"/>
      <c r="F149" s="54"/>
      <c r="G149" s="3"/>
      <c r="H149" s="3"/>
      <c r="I149" s="3"/>
      <c r="J149" s="3"/>
      <c r="K149" s="3"/>
      <c r="L149" s="54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3"/>
      <c r="E150" s="80"/>
      <c r="F150" s="54"/>
      <c r="G150" s="3"/>
      <c r="H150" s="3"/>
      <c r="I150" s="3"/>
      <c r="J150" s="3"/>
      <c r="K150" s="3"/>
      <c r="L150" s="54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3"/>
      <c r="E151" s="80"/>
      <c r="F151" s="54"/>
      <c r="G151" s="3"/>
      <c r="H151" s="3"/>
      <c r="I151" s="3"/>
      <c r="J151" s="3"/>
      <c r="K151" s="3"/>
      <c r="L151" s="54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3"/>
      <c r="E152" s="80"/>
      <c r="F152" s="54"/>
      <c r="G152" s="3"/>
      <c r="H152" s="3"/>
      <c r="I152" s="3"/>
      <c r="J152" s="3"/>
      <c r="K152" s="3"/>
      <c r="L152" s="54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80"/>
      <c r="F153" s="54"/>
      <c r="G153" s="3"/>
      <c r="H153" s="3"/>
      <c r="I153" s="3"/>
      <c r="J153" s="3"/>
      <c r="K153" s="3"/>
      <c r="L153" s="54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80"/>
      <c r="F154" s="54"/>
      <c r="G154" s="3"/>
      <c r="H154" s="3"/>
      <c r="I154" s="3"/>
      <c r="J154" s="3"/>
      <c r="K154" s="3"/>
      <c r="L154" s="54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80"/>
      <c r="F155" s="54"/>
      <c r="G155" s="3"/>
      <c r="H155" s="3"/>
      <c r="I155" s="3"/>
      <c r="J155" s="3"/>
      <c r="K155" s="3"/>
      <c r="L155" s="54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80"/>
      <c r="F156" s="54"/>
      <c r="G156" s="3"/>
      <c r="H156" s="3"/>
      <c r="I156" s="3"/>
      <c r="J156" s="3"/>
      <c r="K156" s="3"/>
      <c r="L156" s="54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80"/>
      <c r="F157" s="54"/>
      <c r="G157" s="3"/>
      <c r="H157" s="3"/>
      <c r="I157" s="3"/>
      <c r="J157" s="3"/>
      <c r="K157" s="3"/>
      <c r="L157" s="54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80"/>
      <c r="F158" s="54"/>
      <c r="G158" s="3"/>
      <c r="H158" s="3"/>
      <c r="I158" s="3"/>
      <c r="J158" s="3"/>
      <c r="K158" s="3"/>
      <c r="L158" s="54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80"/>
      <c r="F159" s="54"/>
      <c r="G159" s="3"/>
      <c r="H159" s="3"/>
      <c r="I159" s="3"/>
      <c r="J159" s="3"/>
      <c r="K159" s="3"/>
      <c r="L159" s="54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80"/>
      <c r="F160" s="54"/>
      <c r="G160" s="3"/>
      <c r="H160" s="3"/>
      <c r="I160" s="3"/>
      <c r="J160" s="3"/>
      <c r="K160" s="3"/>
      <c r="L160" s="54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80"/>
      <c r="F161" s="54"/>
      <c r="G161" s="3"/>
      <c r="H161" s="3"/>
      <c r="I161" s="3"/>
      <c r="J161" s="3"/>
      <c r="K161" s="3"/>
      <c r="L161" s="54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80"/>
      <c r="F162" s="54"/>
      <c r="G162" s="3"/>
      <c r="H162" s="3"/>
      <c r="I162" s="3"/>
      <c r="J162" s="3"/>
      <c r="K162" s="3"/>
      <c r="L162" s="54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80"/>
      <c r="F163" s="54"/>
      <c r="G163" s="3"/>
      <c r="H163" s="3"/>
      <c r="I163" s="3"/>
      <c r="J163" s="3"/>
      <c r="K163" s="3"/>
      <c r="L163" s="54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80"/>
      <c r="F164" s="54"/>
      <c r="G164" s="3"/>
      <c r="H164" s="3"/>
      <c r="I164" s="3"/>
      <c r="J164" s="3"/>
      <c r="K164" s="3"/>
      <c r="L164" s="54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80"/>
      <c r="F165" s="54"/>
      <c r="G165" s="3"/>
      <c r="H165" s="3"/>
      <c r="I165" s="3"/>
      <c r="J165" s="3"/>
      <c r="K165" s="3"/>
      <c r="L165" s="54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80"/>
      <c r="F166" s="54"/>
      <c r="G166" s="3"/>
      <c r="H166" s="3"/>
      <c r="I166" s="3"/>
      <c r="J166" s="3"/>
      <c r="K166" s="3"/>
      <c r="L166" s="54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80"/>
      <c r="F167" s="54"/>
      <c r="G167" s="3"/>
      <c r="H167" s="3"/>
      <c r="I167" s="3"/>
      <c r="J167" s="3"/>
      <c r="K167" s="3"/>
      <c r="L167" s="54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80"/>
      <c r="F168" s="54"/>
      <c r="G168" s="3"/>
      <c r="H168" s="3"/>
      <c r="I168" s="3"/>
      <c r="J168" s="3"/>
      <c r="K168" s="3"/>
      <c r="L168" s="54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80"/>
      <c r="F169" s="54"/>
      <c r="G169" s="3"/>
      <c r="H169" s="3"/>
      <c r="I169" s="3"/>
      <c r="J169" s="3"/>
      <c r="K169" s="3"/>
      <c r="L169" s="54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80"/>
      <c r="F170" s="54"/>
      <c r="G170" s="3"/>
      <c r="H170" s="3"/>
      <c r="I170" s="3"/>
      <c r="J170" s="3"/>
      <c r="K170" s="3"/>
      <c r="L170" s="54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80"/>
      <c r="F171" s="54"/>
      <c r="G171" s="3"/>
      <c r="H171" s="3"/>
      <c r="I171" s="3"/>
      <c r="J171" s="3"/>
      <c r="K171" s="3"/>
      <c r="L171" s="54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80"/>
      <c r="F172" s="54"/>
      <c r="G172" s="3"/>
      <c r="H172" s="3"/>
      <c r="I172" s="3"/>
      <c r="J172" s="3"/>
      <c r="K172" s="3"/>
      <c r="L172" s="54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80"/>
      <c r="F173" s="54"/>
      <c r="G173" s="3"/>
      <c r="H173" s="3"/>
      <c r="I173" s="3"/>
      <c r="J173" s="3"/>
      <c r="K173" s="3"/>
      <c r="L173" s="54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80"/>
      <c r="F174" s="54"/>
      <c r="G174" s="3"/>
      <c r="H174" s="3"/>
      <c r="I174" s="3"/>
      <c r="J174" s="3"/>
      <c r="K174" s="3"/>
      <c r="L174" s="54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80"/>
      <c r="F175" s="54"/>
      <c r="G175" s="3"/>
      <c r="H175" s="3"/>
      <c r="I175" s="3"/>
      <c r="J175" s="3"/>
      <c r="K175" s="3"/>
      <c r="L175" s="54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80"/>
      <c r="F176" s="54"/>
      <c r="G176" s="3"/>
      <c r="H176" s="3"/>
      <c r="I176" s="3"/>
      <c r="J176" s="3"/>
      <c r="K176" s="3"/>
      <c r="L176" s="54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80"/>
      <c r="F177" s="54"/>
      <c r="G177" s="3"/>
      <c r="H177" s="3"/>
      <c r="I177" s="3"/>
      <c r="J177" s="3"/>
      <c r="K177" s="3"/>
      <c r="L177" s="54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80"/>
      <c r="F178" s="54"/>
      <c r="G178" s="3"/>
      <c r="H178" s="3"/>
      <c r="I178" s="3"/>
      <c r="J178" s="3"/>
      <c r="K178" s="3"/>
      <c r="L178" s="54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80"/>
      <c r="F179" s="54"/>
      <c r="G179" s="3"/>
      <c r="H179" s="3"/>
      <c r="I179" s="3"/>
      <c r="J179" s="3"/>
      <c r="K179" s="3"/>
      <c r="L179" s="54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80"/>
      <c r="F180" s="54"/>
      <c r="G180" s="3"/>
      <c r="H180" s="3"/>
      <c r="I180" s="3"/>
      <c r="J180" s="3"/>
      <c r="K180" s="3"/>
      <c r="L180" s="54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80"/>
      <c r="F181" s="54"/>
      <c r="G181" s="3"/>
      <c r="H181" s="3"/>
      <c r="I181" s="3"/>
      <c r="J181" s="3"/>
      <c r="K181" s="3"/>
      <c r="L181" s="54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80"/>
      <c r="F182" s="54"/>
      <c r="G182" s="3"/>
      <c r="H182" s="3"/>
      <c r="I182" s="3"/>
      <c r="J182" s="3"/>
      <c r="K182" s="3"/>
      <c r="L182" s="54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80"/>
      <c r="F183" s="54"/>
      <c r="G183" s="3"/>
      <c r="H183" s="3"/>
      <c r="I183" s="3"/>
      <c r="J183" s="3"/>
      <c r="K183" s="3"/>
      <c r="L183" s="54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80"/>
      <c r="F184" s="54"/>
      <c r="G184" s="3"/>
      <c r="H184" s="3"/>
      <c r="I184" s="3"/>
      <c r="J184" s="3"/>
      <c r="K184" s="3"/>
      <c r="L184" s="54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80"/>
      <c r="F185" s="54"/>
      <c r="G185" s="3"/>
      <c r="H185" s="3"/>
      <c r="I185" s="3"/>
      <c r="J185" s="3"/>
      <c r="K185" s="3"/>
      <c r="L185" s="54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80"/>
      <c r="F186" s="54"/>
      <c r="G186" s="3"/>
      <c r="H186" s="3"/>
      <c r="I186" s="3"/>
      <c r="J186" s="3"/>
      <c r="K186" s="3"/>
      <c r="L186" s="54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80"/>
      <c r="F187" s="54"/>
      <c r="G187" s="3"/>
      <c r="H187" s="3"/>
      <c r="I187" s="3"/>
      <c r="J187" s="3"/>
      <c r="K187" s="3"/>
      <c r="L187" s="54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80"/>
      <c r="F188" s="54"/>
      <c r="G188" s="3"/>
      <c r="H188" s="3"/>
      <c r="I188" s="3"/>
      <c r="J188" s="3"/>
      <c r="K188" s="3"/>
      <c r="L188" s="54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80"/>
      <c r="F189" s="54"/>
      <c r="G189" s="3"/>
      <c r="H189" s="3"/>
      <c r="I189" s="3"/>
      <c r="J189" s="3"/>
      <c r="K189" s="3"/>
      <c r="L189" s="54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80"/>
      <c r="F190" s="54"/>
      <c r="G190" s="3"/>
      <c r="H190" s="3"/>
      <c r="I190" s="3"/>
      <c r="J190" s="3"/>
      <c r="K190" s="3"/>
      <c r="L190" s="54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80"/>
      <c r="F191" s="54"/>
      <c r="G191" s="3"/>
      <c r="H191" s="3"/>
      <c r="I191" s="3"/>
      <c r="J191" s="3"/>
      <c r="K191" s="3"/>
      <c r="L191" s="54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80"/>
      <c r="F192" s="54"/>
      <c r="G192" s="3"/>
      <c r="H192" s="3"/>
      <c r="I192" s="3"/>
      <c r="J192" s="3"/>
      <c r="K192" s="3"/>
      <c r="L192" s="54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80"/>
      <c r="F193" s="54"/>
      <c r="G193" s="3"/>
      <c r="H193" s="3"/>
      <c r="I193" s="3"/>
      <c r="J193" s="3"/>
      <c r="K193" s="3"/>
      <c r="L193" s="54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80"/>
      <c r="F194" s="54"/>
      <c r="G194" s="3"/>
      <c r="H194" s="3"/>
      <c r="I194" s="3"/>
      <c r="J194" s="3"/>
      <c r="K194" s="3"/>
      <c r="L194" s="54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80"/>
      <c r="F195" s="54"/>
      <c r="G195" s="3"/>
      <c r="H195" s="3"/>
      <c r="I195" s="3"/>
      <c r="J195" s="3"/>
      <c r="K195" s="3"/>
      <c r="L195" s="54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80"/>
      <c r="F196" s="54"/>
      <c r="G196" s="3"/>
      <c r="H196" s="3"/>
      <c r="I196" s="3"/>
      <c r="J196" s="3"/>
      <c r="K196" s="3"/>
      <c r="L196" s="54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80"/>
      <c r="F197" s="54"/>
      <c r="G197" s="3"/>
      <c r="H197" s="3"/>
      <c r="I197" s="3"/>
      <c r="J197" s="3"/>
      <c r="K197" s="3"/>
      <c r="L197" s="54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80"/>
      <c r="F198" s="54"/>
      <c r="G198" s="3"/>
      <c r="H198" s="3"/>
      <c r="I198" s="3"/>
      <c r="J198" s="3"/>
      <c r="K198" s="3"/>
      <c r="L198" s="54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80"/>
      <c r="F199" s="54"/>
      <c r="G199" s="3"/>
      <c r="H199" s="3"/>
      <c r="I199" s="3"/>
      <c r="J199" s="3"/>
      <c r="K199" s="3"/>
      <c r="L199" s="54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80"/>
      <c r="F200" s="54"/>
      <c r="G200" s="3"/>
      <c r="H200" s="3"/>
      <c r="I200" s="3"/>
      <c r="J200" s="3"/>
      <c r="K200" s="3"/>
      <c r="L200" s="54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3"/>
      <c r="B201" s="3"/>
      <c r="C201" s="3"/>
      <c r="D201" s="3"/>
      <c r="E201" s="80"/>
      <c r="F201" s="54"/>
      <c r="G201" s="3"/>
      <c r="H201" s="3"/>
      <c r="I201" s="3"/>
      <c r="J201" s="3"/>
      <c r="K201" s="3"/>
      <c r="L201" s="54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3"/>
      <c r="B202" s="3"/>
      <c r="C202" s="3"/>
      <c r="D202" s="3"/>
      <c r="E202" s="80"/>
      <c r="F202" s="54"/>
      <c r="G202" s="3"/>
      <c r="H202" s="3"/>
      <c r="I202" s="3"/>
      <c r="J202" s="3"/>
      <c r="K202" s="3"/>
      <c r="L202" s="54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3"/>
      <c r="B203" s="3"/>
      <c r="C203" s="3"/>
      <c r="D203" s="3"/>
      <c r="E203" s="80"/>
      <c r="F203" s="54"/>
      <c r="G203" s="3"/>
      <c r="H203" s="3"/>
      <c r="I203" s="3"/>
      <c r="J203" s="3"/>
      <c r="K203" s="3"/>
      <c r="L203" s="54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3"/>
      <c r="B204" s="3"/>
      <c r="C204" s="3"/>
      <c r="D204" s="3"/>
      <c r="E204" s="80"/>
      <c r="F204" s="54"/>
      <c r="G204" s="3"/>
      <c r="H204" s="3"/>
      <c r="I204" s="3"/>
      <c r="J204" s="3"/>
      <c r="K204" s="3"/>
      <c r="L204" s="54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3"/>
      <c r="B205" s="3"/>
      <c r="C205" s="3"/>
      <c r="D205" s="3"/>
      <c r="E205" s="80"/>
      <c r="F205" s="54"/>
      <c r="G205" s="3"/>
      <c r="H205" s="3"/>
      <c r="I205" s="3"/>
      <c r="J205" s="3"/>
      <c r="K205" s="3"/>
      <c r="L205" s="54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80"/>
      <c r="F206" s="54"/>
      <c r="G206" s="3"/>
      <c r="H206" s="3"/>
      <c r="I206" s="3"/>
      <c r="J206" s="3"/>
      <c r="K206" s="3"/>
      <c r="L206" s="54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80"/>
      <c r="F207" s="54"/>
      <c r="G207" s="3"/>
      <c r="H207" s="3"/>
      <c r="I207" s="3"/>
      <c r="J207" s="3"/>
      <c r="K207" s="3"/>
      <c r="L207" s="54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80"/>
      <c r="F208" s="54"/>
      <c r="G208" s="3"/>
      <c r="H208" s="3"/>
      <c r="I208" s="3"/>
      <c r="J208" s="3"/>
      <c r="K208" s="3"/>
      <c r="L208" s="54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80"/>
      <c r="F209" s="54"/>
      <c r="G209" s="3"/>
      <c r="H209" s="3"/>
      <c r="I209" s="3"/>
      <c r="J209" s="3"/>
      <c r="K209" s="3"/>
      <c r="L209" s="54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80"/>
      <c r="F210" s="54"/>
      <c r="G210" s="3"/>
      <c r="H210" s="3"/>
      <c r="I210" s="3"/>
      <c r="J210" s="3"/>
      <c r="K210" s="3"/>
      <c r="L210" s="54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80"/>
      <c r="F211" s="54"/>
      <c r="G211" s="3"/>
      <c r="H211" s="3"/>
      <c r="I211" s="3"/>
      <c r="J211" s="3"/>
      <c r="K211" s="3"/>
      <c r="L211" s="54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80"/>
      <c r="F212" s="54"/>
      <c r="G212" s="3"/>
      <c r="H212" s="3"/>
      <c r="I212" s="3"/>
      <c r="J212" s="3"/>
      <c r="K212" s="3"/>
      <c r="L212" s="54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80"/>
      <c r="F213" s="54"/>
      <c r="G213" s="3"/>
      <c r="H213" s="3"/>
      <c r="I213" s="3"/>
      <c r="J213" s="3"/>
      <c r="K213" s="3"/>
      <c r="L213" s="54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80"/>
      <c r="F214" s="54"/>
      <c r="G214" s="3"/>
      <c r="H214" s="3"/>
      <c r="I214" s="3"/>
      <c r="J214" s="3"/>
      <c r="K214" s="3"/>
      <c r="L214" s="54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80"/>
      <c r="F215" s="54"/>
      <c r="G215" s="3"/>
      <c r="H215" s="3"/>
      <c r="I215" s="3"/>
      <c r="J215" s="3"/>
      <c r="K215" s="3"/>
      <c r="L215" s="54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80"/>
      <c r="F216" s="54"/>
      <c r="G216" s="3"/>
      <c r="H216" s="3"/>
      <c r="I216" s="3"/>
      <c r="J216" s="3"/>
      <c r="K216" s="3"/>
      <c r="L216" s="54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80"/>
      <c r="F217" s="54"/>
      <c r="G217" s="3"/>
      <c r="H217" s="3"/>
      <c r="I217" s="3"/>
      <c r="J217" s="3"/>
      <c r="K217" s="3"/>
      <c r="L217" s="54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80"/>
      <c r="F218" s="54"/>
      <c r="G218" s="3"/>
      <c r="H218" s="3"/>
      <c r="I218" s="3"/>
      <c r="J218" s="3"/>
      <c r="K218" s="3"/>
      <c r="L218" s="54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80"/>
      <c r="F219" s="54"/>
      <c r="G219" s="3"/>
      <c r="H219" s="3"/>
      <c r="I219" s="3"/>
      <c r="J219" s="3"/>
      <c r="K219" s="3"/>
      <c r="L219" s="54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80"/>
      <c r="F220" s="54"/>
      <c r="G220" s="3"/>
      <c r="H220" s="3"/>
      <c r="I220" s="3"/>
      <c r="J220" s="3"/>
      <c r="K220" s="3"/>
      <c r="L220" s="54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80"/>
      <c r="F221" s="54"/>
      <c r="G221" s="3"/>
      <c r="H221" s="3"/>
      <c r="I221" s="3"/>
      <c r="J221" s="3"/>
      <c r="K221" s="3"/>
      <c r="L221" s="54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80"/>
      <c r="F222" s="54"/>
      <c r="G222" s="3"/>
      <c r="H222" s="3"/>
      <c r="I222" s="3"/>
      <c r="J222" s="3"/>
      <c r="K222" s="3"/>
      <c r="L222" s="54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80"/>
      <c r="F223" s="54"/>
      <c r="G223" s="3"/>
      <c r="H223" s="3"/>
      <c r="I223" s="3"/>
      <c r="J223" s="3"/>
      <c r="K223" s="3"/>
      <c r="L223" s="54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80"/>
      <c r="F224" s="54"/>
      <c r="G224" s="3"/>
      <c r="H224" s="3"/>
      <c r="I224" s="3"/>
      <c r="J224" s="3"/>
      <c r="K224" s="3"/>
      <c r="L224" s="54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80"/>
      <c r="F225" s="54"/>
      <c r="G225" s="3"/>
      <c r="H225" s="3"/>
      <c r="I225" s="3"/>
      <c r="J225" s="3"/>
      <c r="K225" s="3"/>
      <c r="L225" s="54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80"/>
      <c r="F226" s="54"/>
      <c r="G226" s="3"/>
      <c r="H226" s="3"/>
      <c r="I226" s="3"/>
      <c r="J226" s="3"/>
      <c r="K226" s="3"/>
      <c r="L226" s="54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80"/>
      <c r="F227" s="54"/>
      <c r="G227" s="3"/>
      <c r="H227" s="3"/>
      <c r="I227" s="3"/>
      <c r="J227" s="3"/>
      <c r="K227" s="3"/>
      <c r="L227" s="54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80"/>
      <c r="F228" s="54"/>
      <c r="G228" s="3"/>
      <c r="H228" s="3"/>
      <c r="I228" s="3"/>
      <c r="J228" s="3"/>
      <c r="K228" s="3"/>
      <c r="L228" s="54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80"/>
      <c r="F229" s="54"/>
      <c r="G229" s="3"/>
      <c r="H229" s="3"/>
      <c r="I229" s="3"/>
      <c r="J229" s="3"/>
      <c r="K229" s="3"/>
      <c r="L229" s="54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80"/>
      <c r="F230" s="54"/>
      <c r="G230" s="3"/>
      <c r="H230" s="3"/>
      <c r="I230" s="3"/>
      <c r="J230" s="3"/>
      <c r="K230" s="3"/>
      <c r="L230" s="54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80"/>
      <c r="F231" s="54"/>
      <c r="G231" s="3"/>
      <c r="H231" s="3"/>
      <c r="I231" s="3"/>
      <c r="J231" s="3"/>
      <c r="K231" s="3"/>
      <c r="L231" s="54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80"/>
      <c r="F232" s="54"/>
      <c r="G232" s="3"/>
      <c r="H232" s="3"/>
      <c r="I232" s="3"/>
      <c r="J232" s="3"/>
      <c r="K232" s="3"/>
      <c r="L232" s="54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80"/>
      <c r="F233" s="54"/>
      <c r="G233" s="3"/>
      <c r="H233" s="3"/>
      <c r="I233" s="3"/>
      <c r="J233" s="3"/>
      <c r="K233" s="3"/>
      <c r="L233" s="54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80"/>
      <c r="F234" s="54"/>
      <c r="G234" s="3"/>
      <c r="H234" s="3"/>
      <c r="I234" s="3"/>
      <c r="J234" s="3"/>
      <c r="K234" s="3"/>
      <c r="L234" s="54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80"/>
      <c r="F235" s="54"/>
      <c r="G235" s="3"/>
      <c r="H235" s="3"/>
      <c r="I235" s="3"/>
      <c r="J235" s="3"/>
      <c r="K235" s="3"/>
      <c r="L235" s="54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80"/>
      <c r="F236" s="54"/>
      <c r="G236" s="3"/>
      <c r="H236" s="3"/>
      <c r="I236" s="3"/>
      <c r="J236" s="3"/>
      <c r="K236" s="3"/>
      <c r="L236" s="54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80"/>
      <c r="F237" s="54"/>
      <c r="G237" s="3"/>
      <c r="H237" s="3"/>
      <c r="I237" s="3"/>
      <c r="J237" s="3"/>
      <c r="K237" s="3"/>
      <c r="L237" s="54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80"/>
      <c r="F238" s="54"/>
      <c r="G238" s="3"/>
      <c r="H238" s="3"/>
      <c r="I238" s="3"/>
      <c r="J238" s="3"/>
      <c r="K238" s="3"/>
      <c r="L238" s="54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80"/>
      <c r="F239" s="54"/>
      <c r="G239" s="3"/>
      <c r="H239" s="3"/>
      <c r="I239" s="3"/>
      <c r="J239" s="3"/>
      <c r="K239" s="3"/>
      <c r="L239" s="54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80"/>
      <c r="F240" s="54"/>
      <c r="G240" s="3"/>
      <c r="H240" s="3"/>
      <c r="I240" s="3"/>
      <c r="J240" s="3"/>
      <c r="K240" s="3"/>
      <c r="L240" s="54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80"/>
      <c r="F241" s="54"/>
      <c r="G241" s="3"/>
      <c r="H241" s="3"/>
      <c r="I241" s="3"/>
      <c r="J241" s="3"/>
      <c r="K241" s="3"/>
      <c r="L241" s="54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80"/>
      <c r="F242" s="54"/>
      <c r="G242" s="3"/>
      <c r="H242" s="3"/>
      <c r="I242" s="3"/>
      <c r="J242" s="3"/>
      <c r="K242" s="3"/>
      <c r="L242" s="54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80"/>
      <c r="F243" s="54"/>
      <c r="G243" s="3"/>
      <c r="H243" s="3"/>
      <c r="I243" s="3"/>
      <c r="J243" s="3"/>
      <c r="K243" s="3"/>
      <c r="L243" s="54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80"/>
      <c r="F244" s="54"/>
      <c r="G244" s="3"/>
      <c r="H244" s="3"/>
      <c r="I244" s="3"/>
      <c r="J244" s="3"/>
      <c r="K244" s="3"/>
      <c r="L244" s="54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80"/>
      <c r="F245" s="54"/>
      <c r="G245" s="3"/>
      <c r="H245" s="3"/>
      <c r="I245" s="3"/>
      <c r="J245" s="3"/>
      <c r="K245" s="3"/>
      <c r="L245" s="54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80"/>
      <c r="F246" s="54"/>
      <c r="G246" s="3"/>
      <c r="H246" s="3"/>
      <c r="I246" s="3"/>
      <c r="J246" s="3"/>
      <c r="K246" s="3"/>
      <c r="L246" s="54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80"/>
      <c r="F247" s="54"/>
      <c r="G247" s="3"/>
      <c r="H247" s="3"/>
      <c r="I247" s="3"/>
      <c r="J247" s="3"/>
      <c r="K247" s="3"/>
      <c r="L247" s="54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80"/>
      <c r="F248" s="54"/>
      <c r="G248" s="3"/>
      <c r="H248" s="3"/>
      <c r="I248" s="3"/>
      <c r="J248" s="3"/>
      <c r="K248" s="3"/>
      <c r="L248" s="54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80"/>
      <c r="F249" s="54"/>
      <c r="G249" s="3"/>
      <c r="H249" s="3"/>
      <c r="I249" s="3"/>
      <c r="J249" s="3"/>
      <c r="K249" s="3"/>
      <c r="L249" s="54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80"/>
      <c r="F250" s="54"/>
      <c r="G250" s="3"/>
      <c r="H250" s="3"/>
      <c r="I250" s="3"/>
      <c r="J250" s="3"/>
      <c r="K250" s="3"/>
      <c r="L250" s="54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80"/>
      <c r="F251" s="54"/>
      <c r="G251" s="3"/>
      <c r="H251" s="3"/>
      <c r="I251" s="3"/>
      <c r="J251" s="3"/>
      <c r="K251" s="3"/>
      <c r="L251" s="54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80"/>
      <c r="F252" s="54"/>
      <c r="G252" s="3"/>
      <c r="H252" s="3"/>
      <c r="I252" s="3"/>
      <c r="J252" s="3"/>
      <c r="K252" s="3"/>
      <c r="L252" s="54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80"/>
      <c r="F253" s="54"/>
      <c r="G253" s="3"/>
      <c r="H253" s="3"/>
      <c r="I253" s="3"/>
      <c r="J253" s="3"/>
      <c r="K253" s="3"/>
      <c r="L253" s="54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80"/>
      <c r="F254" s="54"/>
      <c r="G254" s="3"/>
      <c r="H254" s="3"/>
      <c r="I254" s="3"/>
      <c r="J254" s="3"/>
      <c r="K254" s="3"/>
      <c r="L254" s="54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80"/>
      <c r="F255" s="54"/>
      <c r="G255" s="3"/>
      <c r="H255" s="3"/>
      <c r="I255" s="3"/>
      <c r="J255" s="3"/>
      <c r="K255" s="3"/>
      <c r="L255" s="54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80"/>
      <c r="F256" s="54"/>
      <c r="G256" s="3"/>
      <c r="H256" s="3"/>
      <c r="I256" s="3"/>
      <c r="J256" s="3"/>
      <c r="K256" s="3"/>
      <c r="L256" s="54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80"/>
      <c r="F257" s="54"/>
      <c r="G257" s="3"/>
      <c r="H257" s="3"/>
      <c r="I257" s="3"/>
      <c r="J257" s="3"/>
      <c r="K257" s="3"/>
      <c r="L257" s="54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80"/>
      <c r="F258" s="54"/>
      <c r="G258" s="3"/>
      <c r="H258" s="3"/>
      <c r="I258" s="3"/>
      <c r="J258" s="3"/>
      <c r="K258" s="3"/>
      <c r="L258" s="54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80"/>
      <c r="F259" s="54"/>
      <c r="G259" s="3"/>
      <c r="H259" s="3"/>
      <c r="I259" s="3"/>
      <c r="J259" s="3"/>
      <c r="K259" s="3"/>
      <c r="L259" s="54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80"/>
      <c r="F260" s="54"/>
      <c r="G260" s="3"/>
      <c r="H260" s="3"/>
      <c r="I260" s="3"/>
      <c r="J260" s="3"/>
      <c r="K260" s="3"/>
      <c r="L260" s="54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80"/>
      <c r="F261" s="54"/>
      <c r="G261" s="3"/>
      <c r="H261" s="3"/>
      <c r="I261" s="3"/>
      <c r="J261" s="3"/>
      <c r="K261" s="3"/>
      <c r="L261" s="54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80"/>
      <c r="F262" s="54"/>
      <c r="G262" s="3"/>
      <c r="H262" s="3"/>
      <c r="I262" s="3"/>
      <c r="J262" s="3"/>
      <c r="K262" s="3"/>
      <c r="L262" s="54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80"/>
      <c r="F263" s="54"/>
      <c r="G263" s="3"/>
      <c r="H263" s="3"/>
      <c r="I263" s="3"/>
      <c r="J263" s="3"/>
      <c r="K263" s="3"/>
      <c r="L263" s="54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80"/>
      <c r="F264" s="54"/>
      <c r="G264" s="3"/>
      <c r="H264" s="3"/>
      <c r="I264" s="3"/>
      <c r="J264" s="3"/>
      <c r="K264" s="3"/>
      <c r="L264" s="54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80"/>
      <c r="F265" s="54"/>
      <c r="G265" s="3"/>
      <c r="H265" s="3"/>
      <c r="I265" s="3"/>
      <c r="J265" s="3"/>
      <c r="K265" s="3"/>
      <c r="L265" s="54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80"/>
      <c r="F266" s="54"/>
      <c r="G266" s="3"/>
      <c r="H266" s="3"/>
      <c r="I266" s="3"/>
      <c r="J266" s="3"/>
      <c r="K266" s="3"/>
      <c r="L266" s="54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80"/>
      <c r="F267" s="54"/>
      <c r="G267" s="3"/>
      <c r="H267" s="3"/>
      <c r="I267" s="3"/>
      <c r="J267" s="3"/>
      <c r="K267" s="3"/>
      <c r="L267" s="54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80"/>
      <c r="F268" s="54"/>
      <c r="G268" s="3"/>
      <c r="H268" s="3"/>
      <c r="I268" s="3"/>
      <c r="J268" s="3"/>
      <c r="K268" s="3"/>
      <c r="L268" s="54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80"/>
      <c r="F269" s="54"/>
      <c r="G269" s="3"/>
      <c r="H269" s="3"/>
      <c r="I269" s="3"/>
      <c r="J269" s="3"/>
      <c r="K269" s="3"/>
      <c r="L269" s="54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80"/>
      <c r="F270" s="54"/>
      <c r="G270" s="3"/>
      <c r="H270" s="3"/>
      <c r="I270" s="3"/>
      <c r="J270" s="3"/>
      <c r="K270" s="3"/>
      <c r="L270" s="54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80"/>
      <c r="F271" s="54"/>
      <c r="G271" s="3"/>
      <c r="H271" s="3"/>
      <c r="I271" s="3"/>
      <c r="J271" s="3"/>
      <c r="K271" s="3"/>
      <c r="L271" s="54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80"/>
      <c r="F272" s="54"/>
      <c r="G272" s="3"/>
      <c r="H272" s="3"/>
      <c r="I272" s="3"/>
      <c r="J272" s="3"/>
      <c r="K272" s="3"/>
      <c r="L272" s="54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80"/>
      <c r="F273" s="54"/>
      <c r="G273" s="3"/>
      <c r="H273" s="3"/>
      <c r="I273" s="3"/>
      <c r="J273" s="3"/>
      <c r="K273" s="3"/>
      <c r="L273" s="54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80"/>
      <c r="F274" s="54"/>
      <c r="G274" s="3"/>
      <c r="H274" s="3"/>
      <c r="I274" s="3"/>
      <c r="J274" s="3"/>
      <c r="K274" s="3"/>
      <c r="L274" s="54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80"/>
      <c r="F275" s="54"/>
      <c r="G275" s="3"/>
      <c r="H275" s="3"/>
      <c r="I275" s="3"/>
      <c r="J275" s="3"/>
      <c r="K275" s="3"/>
      <c r="L275" s="54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80"/>
      <c r="F276" s="54"/>
      <c r="G276" s="3"/>
      <c r="H276" s="3"/>
      <c r="I276" s="3"/>
      <c r="J276" s="3"/>
      <c r="K276" s="3"/>
      <c r="L276" s="54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80"/>
      <c r="F277" s="54"/>
      <c r="G277" s="3"/>
      <c r="H277" s="3"/>
      <c r="I277" s="3"/>
      <c r="J277" s="3"/>
      <c r="K277" s="3"/>
      <c r="L277" s="54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80"/>
      <c r="F278" s="54"/>
      <c r="G278" s="3"/>
      <c r="H278" s="3"/>
      <c r="I278" s="3"/>
      <c r="J278" s="3"/>
      <c r="K278" s="3"/>
      <c r="L278" s="54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80"/>
      <c r="F279" s="54"/>
      <c r="G279" s="3"/>
      <c r="H279" s="3"/>
      <c r="I279" s="3"/>
      <c r="J279" s="3"/>
      <c r="K279" s="3"/>
      <c r="L279" s="54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80"/>
      <c r="F280" s="54"/>
      <c r="G280" s="3"/>
      <c r="H280" s="3"/>
      <c r="I280" s="3"/>
      <c r="J280" s="3"/>
      <c r="K280" s="3"/>
      <c r="L280" s="54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80"/>
      <c r="F281" s="54"/>
      <c r="G281" s="3"/>
      <c r="H281" s="3"/>
      <c r="I281" s="3"/>
      <c r="J281" s="3"/>
      <c r="K281" s="3"/>
      <c r="L281" s="54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80"/>
      <c r="F282" s="54"/>
      <c r="G282" s="3"/>
      <c r="H282" s="3"/>
      <c r="I282" s="3"/>
      <c r="J282" s="3"/>
      <c r="K282" s="3"/>
      <c r="L282" s="54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80"/>
      <c r="F283" s="54"/>
      <c r="G283" s="3"/>
      <c r="H283" s="3"/>
      <c r="I283" s="3"/>
      <c r="J283" s="3"/>
      <c r="K283" s="3"/>
      <c r="L283" s="54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80"/>
      <c r="F284" s="54"/>
      <c r="G284" s="3"/>
      <c r="H284" s="3"/>
      <c r="I284" s="3"/>
      <c r="J284" s="3"/>
      <c r="K284" s="3"/>
      <c r="L284" s="54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80"/>
      <c r="F285" s="54"/>
      <c r="G285" s="3"/>
      <c r="H285" s="3"/>
      <c r="I285" s="3"/>
      <c r="J285" s="3"/>
      <c r="K285" s="3"/>
      <c r="L285" s="54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80"/>
      <c r="F286" s="54"/>
      <c r="G286" s="3"/>
      <c r="H286" s="3"/>
      <c r="I286" s="3"/>
      <c r="J286" s="3"/>
      <c r="K286" s="3"/>
      <c r="L286" s="54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80"/>
      <c r="F287" s="54"/>
      <c r="G287" s="3"/>
      <c r="H287" s="3"/>
      <c r="I287" s="3"/>
      <c r="J287" s="3"/>
      <c r="K287" s="3"/>
      <c r="L287" s="54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80"/>
      <c r="F288" s="54"/>
      <c r="G288" s="3"/>
      <c r="H288" s="3"/>
      <c r="I288" s="3"/>
      <c r="J288" s="3"/>
      <c r="K288" s="3"/>
      <c r="L288" s="54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80"/>
      <c r="F289" s="54"/>
      <c r="G289" s="3"/>
      <c r="H289" s="3"/>
      <c r="I289" s="3"/>
      <c r="J289" s="3"/>
      <c r="K289" s="3"/>
      <c r="L289" s="54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80"/>
      <c r="F290" s="54"/>
      <c r="G290" s="3"/>
      <c r="H290" s="3"/>
      <c r="I290" s="3"/>
      <c r="J290" s="3"/>
      <c r="K290" s="3"/>
      <c r="L290" s="54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80"/>
      <c r="F291" s="54"/>
      <c r="G291" s="3"/>
      <c r="H291" s="3"/>
      <c r="I291" s="3"/>
      <c r="J291" s="3"/>
      <c r="K291" s="3"/>
      <c r="L291" s="54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80"/>
      <c r="F292" s="54"/>
      <c r="G292" s="3"/>
      <c r="H292" s="3"/>
      <c r="I292" s="3"/>
      <c r="J292" s="3"/>
      <c r="K292" s="3"/>
      <c r="L292" s="54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80"/>
      <c r="F293" s="54"/>
      <c r="G293" s="3"/>
      <c r="H293" s="3"/>
      <c r="I293" s="3"/>
      <c r="J293" s="3"/>
      <c r="K293" s="3"/>
      <c r="L293" s="54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80"/>
      <c r="F294" s="54"/>
      <c r="G294" s="3"/>
      <c r="H294" s="3"/>
      <c r="I294" s="3"/>
      <c r="J294" s="3"/>
      <c r="K294" s="3"/>
      <c r="L294" s="54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80"/>
      <c r="F295" s="54"/>
      <c r="G295" s="3"/>
      <c r="H295" s="3"/>
      <c r="I295" s="3"/>
      <c r="J295" s="3"/>
      <c r="K295" s="3"/>
      <c r="L295" s="54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80"/>
      <c r="F296" s="54"/>
      <c r="G296" s="3"/>
      <c r="H296" s="3"/>
      <c r="I296" s="3"/>
      <c r="J296" s="3"/>
      <c r="K296" s="3"/>
      <c r="L296" s="54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80"/>
      <c r="F297" s="54"/>
      <c r="G297" s="3"/>
      <c r="H297" s="3"/>
      <c r="I297" s="3"/>
      <c r="J297" s="3"/>
      <c r="K297" s="3"/>
      <c r="L297" s="54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80"/>
      <c r="F298" s="54"/>
      <c r="G298" s="3"/>
      <c r="H298" s="3"/>
      <c r="I298" s="3"/>
      <c r="J298" s="3"/>
      <c r="K298" s="3"/>
      <c r="L298" s="54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80"/>
      <c r="F299" s="54"/>
      <c r="G299" s="3"/>
      <c r="H299" s="3"/>
      <c r="I299" s="3"/>
      <c r="J299" s="3"/>
      <c r="K299" s="3"/>
      <c r="L299" s="54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80"/>
      <c r="F300" s="54"/>
      <c r="G300" s="3"/>
      <c r="H300" s="3"/>
      <c r="I300" s="3"/>
      <c r="J300" s="3"/>
      <c r="K300" s="3"/>
      <c r="L300" s="54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80"/>
      <c r="F301" s="54"/>
      <c r="G301" s="3"/>
      <c r="H301" s="3"/>
      <c r="I301" s="3"/>
      <c r="J301" s="3"/>
      <c r="K301" s="3"/>
      <c r="L301" s="54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80"/>
      <c r="F302" s="54"/>
      <c r="G302" s="3"/>
      <c r="H302" s="3"/>
      <c r="I302" s="3"/>
      <c r="J302" s="3"/>
      <c r="K302" s="3"/>
      <c r="L302" s="54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80"/>
      <c r="F303" s="54"/>
      <c r="G303" s="3"/>
      <c r="H303" s="3"/>
      <c r="I303" s="3"/>
      <c r="J303" s="3"/>
      <c r="K303" s="3"/>
      <c r="L303" s="54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80"/>
      <c r="F304" s="54"/>
      <c r="G304" s="3"/>
      <c r="H304" s="3"/>
      <c r="I304" s="3"/>
      <c r="J304" s="3"/>
      <c r="K304" s="3"/>
      <c r="L304" s="54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80"/>
      <c r="F305" s="54"/>
      <c r="G305" s="3"/>
      <c r="H305" s="3"/>
      <c r="I305" s="3"/>
      <c r="J305" s="3"/>
      <c r="K305" s="3"/>
      <c r="L305" s="54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80"/>
      <c r="F306" s="54"/>
      <c r="G306" s="3"/>
      <c r="H306" s="3"/>
      <c r="I306" s="3"/>
      <c r="J306" s="3"/>
      <c r="K306" s="3"/>
      <c r="L306" s="54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80"/>
      <c r="F307" s="54"/>
      <c r="G307" s="3"/>
      <c r="H307" s="3"/>
      <c r="I307" s="3"/>
      <c r="J307" s="3"/>
      <c r="K307" s="3"/>
      <c r="L307" s="54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80"/>
      <c r="F308" s="54"/>
      <c r="G308" s="3"/>
      <c r="H308" s="3"/>
      <c r="I308" s="3"/>
      <c r="J308" s="3"/>
      <c r="K308" s="3"/>
      <c r="L308" s="54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80"/>
      <c r="F309" s="54"/>
      <c r="G309" s="3"/>
      <c r="H309" s="3"/>
      <c r="I309" s="3"/>
      <c r="J309" s="3"/>
      <c r="K309" s="3"/>
      <c r="L309" s="54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80"/>
      <c r="F310" s="54"/>
      <c r="G310" s="3"/>
      <c r="H310" s="3"/>
      <c r="I310" s="3"/>
      <c r="J310" s="3"/>
      <c r="K310" s="3"/>
      <c r="L310" s="54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80"/>
      <c r="F311" s="54"/>
      <c r="G311" s="3"/>
      <c r="H311" s="3"/>
      <c r="I311" s="3"/>
      <c r="J311" s="3"/>
      <c r="K311" s="3"/>
      <c r="L311" s="54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80"/>
      <c r="F312" s="54"/>
      <c r="G312" s="3"/>
      <c r="H312" s="3"/>
      <c r="I312" s="3"/>
      <c r="J312" s="3"/>
      <c r="K312" s="3"/>
      <c r="L312" s="54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80"/>
      <c r="F313" s="54"/>
      <c r="G313" s="3"/>
      <c r="H313" s="3"/>
      <c r="I313" s="3"/>
      <c r="J313" s="3"/>
      <c r="K313" s="3"/>
      <c r="L313" s="54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80"/>
      <c r="F314" s="54"/>
      <c r="G314" s="3"/>
      <c r="H314" s="3"/>
      <c r="I314" s="3"/>
      <c r="J314" s="3"/>
      <c r="K314" s="3"/>
      <c r="L314" s="54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80"/>
      <c r="F315" s="54"/>
      <c r="G315" s="3"/>
      <c r="H315" s="3"/>
      <c r="I315" s="3"/>
      <c r="J315" s="3"/>
      <c r="K315" s="3"/>
      <c r="L315" s="54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80"/>
      <c r="F316" s="54"/>
      <c r="G316" s="3"/>
      <c r="H316" s="3"/>
      <c r="I316" s="3"/>
      <c r="J316" s="3"/>
      <c r="K316" s="3"/>
      <c r="L316" s="54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80"/>
      <c r="F317" s="54"/>
      <c r="G317" s="3"/>
      <c r="H317" s="3"/>
      <c r="I317" s="3"/>
      <c r="J317" s="3"/>
      <c r="K317" s="3"/>
      <c r="L317" s="54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80"/>
      <c r="F318" s="54"/>
      <c r="G318" s="3"/>
      <c r="H318" s="3"/>
      <c r="I318" s="3"/>
      <c r="J318" s="3"/>
      <c r="K318" s="3"/>
      <c r="L318" s="54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80"/>
      <c r="F319" s="54"/>
      <c r="G319" s="3"/>
      <c r="H319" s="3"/>
      <c r="I319" s="3"/>
      <c r="J319" s="3"/>
      <c r="K319" s="3"/>
      <c r="L319" s="54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80"/>
      <c r="F320" s="54"/>
      <c r="G320" s="3"/>
      <c r="H320" s="3"/>
      <c r="I320" s="3"/>
      <c r="J320" s="3"/>
      <c r="K320" s="3"/>
      <c r="L320" s="54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80"/>
      <c r="F321" s="54"/>
      <c r="G321" s="3"/>
      <c r="H321" s="3"/>
      <c r="I321" s="3"/>
      <c r="J321" s="3"/>
      <c r="K321" s="3"/>
      <c r="L321" s="54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80"/>
      <c r="F322" s="54"/>
      <c r="G322" s="3"/>
      <c r="H322" s="3"/>
      <c r="I322" s="3"/>
      <c r="J322" s="3"/>
      <c r="K322" s="3"/>
      <c r="L322" s="54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80"/>
      <c r="F323" s="54"/>
      <c r="G323" s="3"/>
      <c r="H323" s="3"/>
      <c r="I323" s="3"/>
      <c r="J323" s="3"/>
      <c r="K323" s="3"/>
      <c r="L323" s="54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80"/>
      <c r="F324" s="54"/>
      <c r="G324" s="3"/>
      <c r="H324" s="3"/>
      <c r="I324" s="3"/>
      <c r="J324" s="3"/>
      <c r="K324" s="3"/>
      <c r="L324" s="54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80"/>
      <c r="F325" s="54"/>
      <c r="G325" s="3"/>
      <c r="H325" s="3"/>
      <c r="I325" s="3"/>
      <c r="J325" s="3"/>
      <c r="K325" s="3"/>
      <c r="L325" s="54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80"/>
      <c r="F326" s="54"/>
      <c r="G326" s="3"/>
      <c r="H326" s="3"/>
      <c r="I326" s="3"/>
      <c r="J326" s="3"/>
      <c r="K326" s="3"/>
      <c r="L326" s="54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80"/>
      <c r="F327" s="54"/>
      <c r="G327" s="3"/>
      <c r="H327" s="3"/>
      <c r="I327" s="3"/>
      <c r="J327" s="3"/>
      <c r="K327" s="3"/>
      <c r="L327" s="54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80"/>
      <c r="F328" s="54"/>
      <c r="G328" s="3"/>
      <c r="H328" s="3"/>
      <c r="I328" s="3"/>
      <c r="J328" s="3"/>
      <c r="K328" s="3"/>
      <c r="L328" s="54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80"/>
      <c r="F329" s="54"/>
      <c r="G329" s="3"/>
      <c r="H329" s="3"/>
      <c r="I329" s="3"/>
      <c r="J329" s="3"/>
      <c r="K329" s="3"/>
      <c r="L329" s="54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80"/>
      <c r="F330" s="54"/>
      <c r="G330" s="3"/>
      <c r="H330" s="3"/>
      <c r="I330" s="3"/>
      <c r="J330" s="3"/>
      <c r="K330" s="3"/>
      <c r="L330" s="54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80"/>
      <c r="F331" s="54"/>
      <c r="G331" s="3"/>
      <c r="H331" s="3"/>
      <c r="I331" s="3"/>
      <c r="J331" s="3"/>
      <c r="K331" s="3"/>
      <c r="L331" s="54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80"/>
      <c r="F332" s="54"/>
      <c r="G332" s="3"/>
      <c r="H332" s="3"/>
      <c r="I332" s="3"/>
      <c r="J332" s="3"/>
      <c r="K332" s="3"/>
      <c r="L332" s="54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80"/>
      <c r="F333" s="54"/>
      <c r="G333" s="3"/>
      <c r="H333" s="3"/>
      <c r="I333" s="3"/>
      <c r="J333" s="3"/>
      <c r="K333" s="3"/>
      <c r="L333" s="54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80"/>
      <c r="F334" s="54"/>
      <c r="G334" s="3"/>
      <c r="H334" s="3"/>
      <c r="I334" s="3"/>
      <c r="J334" s="3"/>
      <c r="K334" s="3"/>
      <c r="L334" s="54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80"/>
      <c r="F335" s="54"/>
      <c r="G335" s="3"/>
      <c r="H335" s="3"/>
      <c r="I335" s="3"/>
      <c r="J335" s="3"/>
      <c r="K335" s="3"/>
      <c r="L335" s="54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80"/>
      <c r="F336" s="54"/>
      <c r="G336" s="3"/>
      <c r="H336" s="3"/>
      <c r="I336" s="3"/>
      <c r="J336" s="3"/>
      <c r="K336" s="3"/>
      <c r="L336" s="54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80"/>
      <c r="F337" s="54"/>
      <c r="G337" s="3"/>
      <c r="H337" s="3"/>
      <c r="I337" s="3"/>
      <c r="J337" s="3"/>
      <c r="K337" s="3"/>
      <c r="L337" s="54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80"/>
      <c r="F338" s="54"/>
      <c r="G338" s="3"/>
      <c r="H338" s="3"/>
      <c r="I338" s="3"/>
      <c r="J338" s="3"/>
      <c r="K338" s="3"/>
      <c r="L338" s="54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80"/>
      <c r="F339" s="54"/>
      <c r="G339" s="3"/>
      <c r="H339" s="3"/>
      <c r="I339" s="3"/>
      <c r="J339" s="3"/>
      <c r="K339" s="3"/>
      <c r="L339" s="54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80"/>
      <c r="F340" s="54"/>
      <c r="G340" s="3"/>
      <c r="H340" s="3"/>
      <c r="I340" s="3"/>
      <c r="J340" s="3"/>
      <c r="K340" s="3"/>
      <c r="L340" s="54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80"/>
      <c r="F341" s="54"/>
      <c r="G341" s="3"/>
      <c r="H341" s="3"/>
      <c r="I341" s="3"/>
      <c r="J341" s="3"/>
      <c r="K341" s="3"/>
      <c r="L341" s="54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80"/>
      <c r="F342" s="54"/>
      <c r="G342" s="3"/>
      <c r="H342" s="3"/>
      <c r="I342" s="3"/>
      <c r="J342" s="3"/>
      <c r="K342" s="3"/>
      <c r="L342" s="54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80"/>
      <c r="F343" s="54"/>
      <c r="G343" s="3"/>
      <c r="H343" s="3"/>
      <c r="I343" s="3"/>
      <c r="J343" s="3"/>
      <c r="K343" s="3"/>
      <c r="L343" s="54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80"/>
      <c r="F344" s="54"/>
      <c r="G344" s="3"/>
      <c r="H344" s="3"/>
      <c r="I344" s="3"/>
      <c r="J344" s="3"/>
      <c r="K344" s="3"/>
      <c r="L344" s="54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80"/>
      <c r="F345" s="54"/>
      <c r="G345" s="3"/>
      <c r="H345" s="3"/>
      <c r="I345" s="3"/>
      <c r="J345" s="3"/>
      <c r="K345" s="3"/>
      <c r="L345" s="54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80"/>
      <c r="F346" s="54"/>
      <c r="G346" s="3"/>
      <c r="H346" s="3"/>
      <c r="I346" s="3"/>
      <c r="J346" s="3"/>
      <c r="K346" s="3"/>
      <c r="L346" s="54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80"/>
      <c r="F347" s="54"/>
      <c r="G347" s="3"/>
      <c r="H347" s="3"/>
      <c r="I347" s="3"/>
      <c r="J347" s="3"/>
      <c r="K347" s="3"/>
      <c r="L347" s="54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80"/>
      <c r="F348" s="54"/>
      <c r="G348" s="3"/>
      <c r="H348" s="3"/>
      <c r="I348" s="3"/>
      <c r="J348" s="3"/>
      <c r="K348" s="3"/>
      <c r="L348" s="54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80"/>
      <c r="F349" s="54"/>
      <c r="G349" s="3"/>
      <c r="H349" s="3"/>
      <c r="I349" s="3"/>
      <c r="J349" s="3"/>
      <c r="K349" s="3"/>
      <c r="L349" s="54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80"/>
      <c r="F350" s="54"/>
      <c r="G350" s="3"/>
      <c r="H350" s="3"/>
      <c r="I350" s="3"/>
      <c r="J350" s="3"/>
      <c r="K350" s="3"/>
      <c r="L350" s="54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80"/>
      <c r="F351" s="54"/>
      <c r="G351" s="3"/>
      <c r="H351" s="3"/>
      <c r="I351" s="3"/>
      <c r="J351" s="3"/>
      <c r="K351" s="3"/>
      <c r="L351" s="54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80"/>
      <c r="F352" s="54"/>
      <c r="G352" s="3"/>
      <c r="H352" s="3"/>
      <c r="I352" s="3"/>
      <c r="J352" s="3"/>
      <c r="K352" s="3"/>
      <c r="L352" s="54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80"/>
      <c r="F353" s="54"/>
      <c r="G353" s="3"/>
      <c r="H353" s="3"/>
      <c r="I353" s="3"/>
      <c r="J353" s="3"/>
      <c r="K353" s="3"/>
      <c r="L353" s="54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80"/>
      <c r="F354" s="54"/>
      <c r="G354" s="3"/>
      <c r="H354" s="3"/>
      <c r="I354" s="3"/>
      <c r="J354" s="3"/>
      <c r="K354" s="3"/>
      <c r="L354" s="54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80"/>
      <c r="F355" s="54"/>
      <c r="G355" s="3"/>
      <c r="H355" s="3"/>
      <c r="I355" s="3"/>
      <c r="J355" s="3"/>
      <c r="K355" s="3"/>
      <c r="L355" s="54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80"/>
      <c r="F356" s="54"/>
      <c r="G356" s="3"/>
      <c r="H356" s="3"/>
      <c r="I356" s="3"/>
      <c r="J356" s="3"/>
      <c r="K356" s="3"/>
      <c r="L356" s="54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80"/>
      <c r="F357" s="54"/>
      <c r="G357" s="3"/>
      <c r="H357" s="3"/>
      <c r="I357" s="3"/>
      <c r="J357" s="3"/>
      <c r="K357" s="3"/>
      <c r="L357" s="54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80"/>
      <c r="F358" s="54"/>
      <c r="G358" s="3"/>
      <c r="H358" s="3"/>
      <c r="I358" s="3"/>
      <c r="J358" s="3"/>
      <c r="K358" s="3"/>
      <c r="L358" s="54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80"/>
      <c r="F359" s="54"/>
      <c r="G359" s="3"/>
      <c r="H359" s="3"/>
      <c r="I359" s="3"/>
      <c r="J359" s="3"/>
      <c r="K359" s="3"/>
      <c r="L359" s="54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80"/>
      <c r="F360" s="54"/>
      <c r="G360" s="3"/>
      <c r="H360" s="3"/>
      <c r="I360" s="3"/>
      <c r="J360" s="3"/>
      <c r="K360" s="3"/>
      <c r="L360" s="54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80"/>
      <c r="F361" s="54"/>
      <c r="G361" s="3"/>
      <c r="H361" s="3"/>
      <c r="I361" s="3"/>
      <c r="J361" s="3"/>
      <c r="K361" s="3"/>
      <c r="L361" s="54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80"/>
      <c r="F362" s="54"/>
      <c r="G362" s="3"/>
      <c r="H362" s="3"/>
      <c r="I362" s="3"/>
      <c r="J362" s="3"/>
      <c r="K362" s="3"/>
      <c r="L362" s="54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80"/>
      <c r="F363" s="54"/>
      <c r="G363" s="3"/>
      <c r="H363" s="3"/>
      <c r="I363" s="3"/>
      <c r="J363" s="3"/>
      <c r="K363" s="3"/>
      <c r="L363" s="54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80"/>
      <c r="F364" s="54"/>
      <c r="G364" s="3"/>
      <c r="H364" s="3"/>
      <c r="I364" s="3"/>
      <c r="J364" s="3"/>
      <c r="K364" s="3"/>
      <c r="L364" s="54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80"/>
      <c r="F365" s="54"/>
      <c r="G365" s="3"/>
      <c r="H365" s="3"/>
      <c r="I365" s="3"/>
      <c r="J365" s="3"/>
      <c r="K365" s="3"/>
      <c r="L365" s="54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80"/>
      <c r="F366" s="54"/>
      <c r="G366" s="3"/>
      <c r="H366" s="3"/>
      <c r="I366" s="3"/>
      <c r="J366" s="3"/>
      <c r="K366" s="3"/>
      <c r="L366" s="54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80"/>
      <c r="F367" s="54"/>
      <c r="G367" s="3"/>
      <c r="H367" s="3"/>
      <c r="I367" s="3"/>
      <c r="J367" s="3"/>
      <c r="K367" s="3"/>
      <c r="L367" s="54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80"/>
      <c r="F368" s="54"/>
      <c r="G368" s="3"/>
      <c r="H368" s="3"/>
      <c r="I368" s="3"/>
      <c r="J368" s="3"/>
      <c r="K368" s="3"/>
      <c r="L368" s="54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80"/>
      <c r="F369" s="54"/>
      <c r="G369" s="3"/>
      <c r="H369" s="3"/>
      <c r="I369" s="3"/>
      <c r="J369" s="3"/>
      <c r="K369" s="3"/>
      <c r="L369" s="54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80"/>
      <c r="F370" s="54"/>
      <c r="G370" s="3"/>
      <c r="H370" s="3"/>
      <c r="I370" s="3"/>
      <c r="J370" s="3"/>
      <c r="K370" s="3"/>
      <c r="L370" s="54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80"/>
      <c r="F371" s="54"/>
      <c r="G371" s="3"/>
      <c r="H371" s="3"/>
      <c r="I371" s="3"/>
      <c r="J371" s="3"/>
      <c r="K371" s="3"/>
      <c r="L371" s="54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80"/>
      <c r="F372" s="54"/>
      <c r="G372" s="3"/>
      <c r="H372" s="3"/>
      <c r="I372" s="3"/>
      <c r="J372" s="3"/>
      <c r="K372" s="3"/>
      <c r="L372" s="54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80"/>
      <c r="F373" s="54"/>
      <c r="G373" s="3"/>
      <c r="H373" s="3"/>
      <c r="I373" s="3"/>
      <c r="J373" s="3"/>
      <c r="K373" s="3"/>
      <c r="L373" s="54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80"/>
      <c r="F374" s="54"/>
      <c r="G374" s="3"/>
      <c r="H374" s="3"/>
      <c r="I374" s="3"/>
      <c r="J374" s="3"/>
      <c r="K374" s="3"/>
      <c r="L374" s="54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80"/>
      <c r="F375" s="54"/>
      <c r="G375" s="3"/>
      <c r="H375" s="3"/>
      <c r="I375" s="3"/>
      <c r="J375" s="3"/>
      <c r="K375" s="3"/>
      <c r="L375" s="54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80"/>
      <c r="F376" s="54"/>
      <c r="G376" s="3"/>
      <c r="H376" s="3"/>
      <c r="I376" s="3"/>
      <c r="J376" s="3"/>
      <c r="K376" s="3"/>
      <c r="L376" s="54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80"/>
      <c r="F377" s="54"/>
      <c r="G377" s="3"/>
      <c r="H377" s="3"/>
      <c r="I377" s="3"/>
      <c r="J377" s="3"/>
      <c r="K377" s="3"/>
      <c r="L377" s="54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80"/>
      <c r="F378" s="54"/>
      <c r="G378" s="3"/>
      <c r="H378" s="3"/>
      <c r="I378" s="3"/>
      <c r="J378" s="3"/>
      <c r="K378" s="3"/>
      <c r="L378" s="54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80"/>
      <c r="F379" s="54"/>
      <c r="G379" s="3"/>
      <c r="H379" s="3"/>
      <c r="I379" s="3"/>
      <c r="J379" s="3"/>
      <c r="K379" s="3"/>
      <c r="L379" s="54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80"/>
      <c r="F380" s="54"/>
      <c r="G380" s="3"/>
      <c r="H380" s="3"/>
      <c r="I380" s="3"/>
      <c r="J380" s="3"/>
      <c r="K380" s="3"/>
      <c r="L380" s="54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80"/>
      <c r="F381" s="54"/>
      <c r="G381" s="3"/>
      <c r="H381" s="3"/>
      <c r="I381" s="3"/>
      <c r="J381" s="3"/>
      <c r="K381" s="3"/>
      <c r="L381" s="54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80"/>
      <c r="F382" s="54"/>
      <c r="G382" s="3"/>
      <c r="H382" s="3"/>
      <c r="I382" s="3"/>
      <c r="J382" s="3"/>
      <c r="K382" s="3"/>
      <c r="L382" s="54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80"/>
      <c r="F383" s="54"/>
      <c r="G383" s="3"/>
      <c r="H383" s="3"/>
      <c r="I383" s="3"/>
      <c r="J383" s="3"/>
      <c r="K383" s="3"/>
      <c r="L383" s="54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80"/>
      <c r="F384" s="54"/>
      <c r="G384" s="3"/>
      <c r="H384" s="3"/>
      <c r="I384" s="3"/>
      <c r="J384" s="3"/>
      <c r="K384" s="3"/>
      <c r="L384" s="54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80"/>
      <c r="F385" s="54"/>
      <c r="G385" s="3"/>
      <c r="H385" s="3"/>
      <c r="I385" s="3"/>
      <c r="J385" s="3"/>
      <c r="K385" s="3"/>
      <c r="L385" s="54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80"/>
      <c r="F386" s="54"/>
      <c r="G386" s="3"/>
      <c r="H386" s="3"/>
      <c r="I386" s="3"/>
      <c r="J386" s="3"/>
      <c r="K386" s="3"/>
      <c r="L386" s="54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80"/>
      <c r="F387" s="54"/>
      <c r="G387" s="3"/>
      <c r="H387" s="3"/>
      <c r="I387" s="3"/>
      <c r="J387" s="3"/>
      <c r="K387" s="3"/>
      <c r="L387" s="54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80"/>
      <c r="F388" s="54"/>
      <c r="G388" s="3"/>
      <c r="H388" s="3"/>
      <c r="I388" s="3"/>
      <c r="J388" s="3"/>
      <c r="K388" s="3"/>
      <c r="L388" s="54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80"/>
      <c r="F389" s="54"/>
      <c r="G389" s="3"/>
      <c r="H389" s="3"/>
      <c r="I389" s="3"/>
      <c r="J389" s="3"/>
      <c r="K389" s="3"/>
      <c r="L389" s="54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80"/>
      <c r="F390" s="54"/>
      <c r="G390" s="3"/>
      <c r="H390" s="3"/>
      <c r="I390" s="3"/>
      <c r="J390" s="3"/>
      <c r="K390" s="3"/>
      <c r="L390" s="54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80"/>
      <c r="F391" s="54"/>
      <c r="G391" s="3"/>
      <c r="H391" s="3"/>
      <c r="I391" s="3"/>
      <c r="J391" s="3"/>
      <c r="K391" s="3"/>
      <c r="L391" s="54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80"/>
      <c r="F392" s="54"/>
      <c r="G392" s="3"/>
      <c r="H392" s="3"/>
      <c r="I392" s="3"/>
      <c r="J392" s="3"/>
      <c r="K392" s="3"/>
      <c r="L392" s="54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80"/>
      <c r="F393" s="54"/>
      <c r="G393" s="3"/>
      <c r="H393" s="3"/>
      <c r="I393" s="3"/>
      <c r="J393" s="3"/>
      <c r="K393" s="3"/>
      <c r="L393" s="54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80"/>
      <c r="F394" s="54"/>
      <c r="G394" s="3"/>
      <c r="H394" s="3"/>
      <c r="I394" s="3"/>
      <c r="J394" s="3"/>
      <c r="K394" s="3"/>
      <c r="L394" s="54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80"/>
      <c r="F395" s="54"/>
      <c r="G395" s="3"/>
      <c r="H395" s="3"/>
      <c r="I395" s="3"/>
      <c r="J395" s="3"/>
      <c r="K395" s="3"/>
      <c r="L395" s="54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80"/>
      <c r="F396" s="54"/>
      <c r="G396" s="3"/>
      <c r="H396" s="3"/>
      <c r="I396" s="3"/>
      <c r="J396" s="3"/>
      <c r="K396" s="3"/>
      <c r="L396" s="54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80"/>
      <c r="F397" s="54"/>
      <c r="G397" s="3"/>
      <c r="H397" s="3"/>
      <c r="I397" s="3"/>
      <c r="J397" s="3"/>
      <c r="K397" s="3"/>
      <c r="L397" s="54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80"/>
      <c r="F398" s="54"/>
      <c r="G398" s="3"/>
      <c r="H398" s="3"/>
      <c r="I398" s="3"/>
      <c r="J398" s="3"/>
      <c r="K398" s="3"/>
      <c r="L398" s="54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80"/>
      <c r="F399" s="54"/>
      <c r="G399" s="3"/>
      <c r="H399" s="3"/>
      <c r="I399" s="3"/>
      <c r="J399" s="3"/>
      <c r="K399" s="3"/>
      <c r="L399" s="54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80"/>
      <c r="F400" s="54"/>
      <c r="G400" s="3"/>
      <c r="H400" s="3"/>
      <c r="I400" s="3"/>
      <c r="J400" s="3"/>
      <c r="K400" s="3"/>
      <c r="L400" s="54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80"/>
      <c r="F401" s="54"/>
      <c r="G401" s="3"/>
      <c r="H401" s="3"/>
      <c r="I401" s="3"/>
      <c r="J401" s="3"/>
      <c r="K401" s="3"/>
      <c r="L401" s="54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80"/>
      <c r="F402" s="54"/>
      <c r="G402" s="3"/>
      <c r="H402" s="3"/>
      <c r="I402" s="3"/>
      <c r="J402" s="3"/>
      <c r="K402" s="3"/>
      <c r="L402" s="54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80"/>
      <c r="F403" s="54"/>
      <c r="G403" s="3"/>
      <c r="H403" s="3"/>
      <c r="I403" s="3"/>
      <c r="J403" s="3"/>
      <c r="K403" s="3"/>
      <c r="L403" s="54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80"/>
      <c r="F404" s="54"/>
      <c r="G404" s="3"/>
      <c r="H404" s="3"/>
      <c r="I404" s="3"/>
      <c r="J404" s="3"/>
      <c r="K404" s="3"/>
      <c r="L404" s="54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80"/>
      <c r="F405" s="54"/>
      <c r="G405" s="3"/>
      <c r="H405" s="3"/>
      <c r="I405" s="3"/>
      <c r="J405" s="3"/>
      <c r="K405" s="3"/>
      <c r="L405" s="54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80"/>
      <c r="F406" s="54"/>
      <c r="G406" s="3"/>
      <c r="H406" s="3"/>
      <c r="I406" s="3"/>
      <c r="J406" s="3"/>
      <c r="K406" s="3"/>
      <c r="L406" s="54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80"/>
      <c r="F407" s="54"/>
      <c r="G407" s="3"/>
      <c r="H407" s="3"/>
      <c r="I407" s="3"/>
      <c r="J407" s="3"/>
      <c r="K407" s="3"/>
      <c r="L407" s="54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80"/>
      <c r="F408" s="54"/>
      <c r="G408" s="3"/>
      <c r="H408" s="3"/>
      <c r="I408" s="3"/>
      <c r="J408" s="3"/>
      <c r="K408" s="3"/>
      <c r="L408" s="54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80"/>
      <c r="F409" s="54"/>
      <c r="G409" s="3"/>
      <c r="H409" s="3"/>
      <c r="I409" s="3"/>
      <c r="J409" s="3"/>
      <c r="K409" s="3"/>
      <c r="L409" s="54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80"/>
      <c r="F410" s="54"/>
      <c r="G410" s="3"/>
      <c r="H410" s="3"/>
      <c r="I410" s="3"/>
      <c r="J410" s="3"/>
      <c r="K410" s="3"/>
      <c r="L410" s="54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80"/>
      <c r="F411" s="54"/>
      <c r="G411" s="3"/>
      <c r="H411" s="3"/>
      <c r="I411" s="3"/>
      <c r="J411" s="3"/>
      <c r="K411" s="3"/>
      <c r="L411" s="54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80"/>
      <c r="F412" s="54"/>
      <c r="G412" s="3"/>
      <c r="H412" s="3"/>
      <c r="I412" s="3"/>
      <c r="J412" s="3"/>
      <c r="K412" s="3"/>
      <c r="L412" s="54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80"/>
      <c r="F413" s="54"/>
      <c r="G413" s="3"/>
      <c r="H413" s="3"/>
      <c r="I413" s="3"/>
      <c r="J413" s="3"/>
      <c r="K413" s="3"/>
      <c r="L413" s="54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80"/>
      <c r="F414" s="54"/>
      <c r="G414" s="3"/>
      <c r="H414" s="3"/>
      <c r="I414" s="3"/>
      <c r="J414" s="3"/>
      <c r="K414" s="3"/>
      <c r="L414" s="54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80"/>
      <c r="F415" s="54"/>
      <c r="G415" s="3"/>
      <c r="H415" s="3"/>
      <c r="I415" s="3"/>
      <c r="J415" s="3"/>
      <c r="K415" s="3"/>
      <c r="L415" s="54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80"/>
      <c r="F416" s="54"/>
      <c r="G416" s="3"/>
      <c r="H416" s="3"/>
      <c r="I416" s="3"/>
      <c r="J416" s="3"/>
      <c r="K416" s="3"/>
      <c r="L416" s="54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80"/>
      <c r="F417" s="54"/>
      <c r="G417" s="3"/>
      <c r="H417" s="3"/>
      <c r="I417" s="3"/>
      <c r="J417" s="3"/>
      <c r="K417" s="3"/>
      <c r="L417" s="54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80"/>
      <c r="F418" s="54"/>
      <c r="G418" s="3"/>
      <c r="H418" s="3"/>
      <c r="I418" s="3"/>
      <c r="J418" s="3"/>
      <c r="K418" s="3"/>
      <c r="L418" s="54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80"/>
      <c r="F419" s="54"/>
      <c r="G419" s="3"/>
      <c r="H419" s="3"/>
      <c r="I419" s="3"/>
      <c r="J419" s="3"/>
      <c r="K419" s="3"/>
      <c r="L419" s="54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80"/>
      <c r="F420" s="54"/>
      <c r="G420" s="3"/>
      <c r="H420" s="3"/>
      <c r="I420" s="3"/>
      <c r="J420" s="3"/>
      <c r="K420" s="3"/>
      <c r="L420" s="54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80"/>
      <c r="F421" s="54"/>
      <c r="G421" s="3"/>
      <c r="H421" s="3"/>
      <c r="I421" s="3"/>
      <c r="J421" s="3"/>
      <c r="K421" s="3"/>
      <c r="L421" s="54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80"/>
      <c r="F422" s="54"/>
      <c r="G422" s="3"/>
      <c r="H422" s="3"/>
      <c r="I422" s="3"/>
      <c r="J422" s="3"/>
      <c r="K422" s="3"/>
      <c r="L422" s="54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80"/>
      <c r="F423" s="54"/>
      <c r="G423" s="3"/>
      <c r="H423" s="3"/>
      <c r="I423" s="3"/>
      <c r="J423" s="3"/>
      <c r="K423" s="3"/>
      <c r="L423" s="54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80"/>
      <c r="F424" s="54"/>
      <c r="G424" s="3"/>
      <c r="H424" s="3"/>
      <c r="I424" s="3"/>
      <c r="J424" s="3"/>
      <c r="K424" s="3"/>
      <c r="L424" s="54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80"/>
      <c r="F425" s="54"/>
      <c r="G425" s="3"/>
      <c r="H425" s="3"/>
      <c r="I425" s="3"/>
      <c r="J425" s="3"/>
      <c r="K425" s="3"/>
      <c r="L425" s="54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80"/>
      <c r="F426" s="54"/>
      <c r="G426" s="3"/>
      <c r="H426" s="3"/>
      <c r="I426" s="3"/>
      <c r="J426" s="3"/>
      <c r="K426" s="3"/>
      <c r="L426" s="54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80"/>
      <c r="F427" s="54"/>
      <c r="G427" s="3"/>
      <c r="H427" s="3"/>
      <c r="I427" s="3"/>
      <c r="J427" s="3"/>
      <c r="K427" s="3"/>
      <c r="L427" s="54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80"/>
      <c r="F428" s="54"/>
      <c r="G428" s="3"/>
      <c r="H428" s="3"/>
      <c r="I428" s="3"/>
      <c r="J428" s="3"/>
      <c r="K428" s="3"/>
      <c r="L428" s="54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80"/>
      <c r="F429" s="54"/>
      <c r="G429" s="3"/>
      <c r="H429" s="3"/>
      <c r="I429" s="3"/>
      <c r="J429" s="3"/>
      <c r="K429" s="3"/>
      <c r="L429" s="54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80"/>
      <c r="F430" s="54"/>
      <c r="G430" s="3"/>
      <c r="H430" s="3"/>
      <c r="I430" s="3"/>
      <c r="J430" s="3"/>
      <c r="K430" s="3"/>
      <c r="L430" s="54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80"/>
      <c r="F431" s="54"/>
      <c r="G431" s="3"/>
      <c r="H431" s="3"/>
      <c r="I431" s="3"/>
      <c r="J431" s="3"/>
      <c r="K431" s="3"/>
      <c r="L431" s="54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80"/>
      <c r="F432" s="54"/>
      <c r="G432" s="3"/>
      <c r="H432" s="3"/>
      <c r="I432" s="3"/>
      <c r="J432" s="3"/>
      <c r="K432" s="3"/>
      <c r="L432" s="54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80"/>
      <c r="F433" s="54"/>
      <c r="G433" s="3"/>
      <c r="H433" s="3"/>
      <c r="I433" s="3"/>
      <c r="J433" s="3"/>
      <c r="K433" s="3"/>
      <c r="L433" s="54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80"/>
      <c r="F434" s="54"/>
      <c r="G434" s="3"/>
      <c r="H434" s="3"/>
      <c r="I434" s="3"/>
      <c r="J434" s="3"/>
      <c r="K434" s="3"/>
      <c r="L434" s="54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80"/>
      <c r="F435" s="54"/>
      <c r="G435" s="3"/>
      <c r="H435" s="3"/>
      <c r="I435" s="3"/>
      <c r="J435" s="3"/>
      <c r="K435" s="3"/>
      <c r="L435" s="54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80"/>
      <c r="F436" s="54"/>
      <c r="G436" s="3"/>
      <c r="H436" s="3"/>
      <c r="I436" s="3"/>
      <c r="J436" s="3"/>
      <c r="K436" s="3"/>
      <c r="L436" s="54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80"/>
      <c r="F437" s="54"/>
      <c r="G437" s="3"/>
      <c r="H437" s="3"/>
      <c r="I437" s="3"/>
      <c r="J437" s="3"/>
      <c r="K437" s="3"/>
      <c r="L437" s="54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80"/>
      <c r="F438" s="54"/>
      <c r="G438" s="3"/>
      <c r="H438" s="3"/>
      <c r="I438" s="3"/>
      <c r="J438" s="3"/>
      <c r="K438" s="3"/>
      <c r="L438" s="54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80"/>
      <c r="F439" s="54"/>
      <c r="G439" s="3"/>
      <c r="H439" s="3"/>
      <c r="I439" s="3"/>
      <c r="J439" s="3"/>
      <c r="K439" s="3"/>
      <c r="L439" s="54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80"/>
      <c r="F440" s="54"/>
      <c r="G440" s="3"/>
      <c r="H440" s="3"/>
      <c r="I440" s="3"/>
      <c r="J440" s="3"/>
      <c r="K440" s="3"/>
      <c r="L440" s="54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80"/>
      <c r="F441" s="54"/>
      <c r="G441" s="3"/>
      <c r="H441" s="3"/>
      <c r="I441" s="3"/>
      <c r="J441" s="3"/>
      <c r="K441" s="3"/>
      <c r="L441" s="54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80"/>
      <c r="F442" s="54"/>
      <c r="G442" s="3"/>
      <c r="H442" s="3"/>
      <c r="I442" s="3"/>
      <c r="J442" s="3"/>
      <c r="K442" s="3"/>
      <c r="L442" s="54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80"/>
      <c r="F443" s="54"/>
      <c r="G443" s="3"/>
      <c r="H443" s="3"/>
      <c r="I443" s="3"/>
      <c r="J443" s="3"/>
      <c r="K443" s="3"/>
      <c r="L443" s="54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80"/>
      <c r="F444" s="54"/>
      <c r="G444" s="3"/>
      <c r="H444" s="3"/>
      <c r="I444" s="3"/>
      <c r="J444" s="3"/>
      <c r="K444" s="3"/>
      <c r="L444" s="54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80"/>
      <c r="F445" s="54"/>
      <c r="G445" s="3"/>
      <c r="H445" s="3"/>
      <c r="I445" s="3"/>
      <c r="J445" s="3"/>
      <c r="K445" s="3"/>
      <c r="L445" s="54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80"/>
      <c r="F446" s="54"/>
      <c r="G446" s="3"/>
      <c r="H446" s="3"/>
      <c r="I446" s="3"/>
      <c r="J446" s="3"/>
      <c r="K446" s="3"/>
      <c r="L446" s="54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80"/>
      <c r="F447" s="54"/>
      <c r="G447" s="3"/>
      <c r="H447" s="3"/>
      <c r="I447" s="3"/>
      <c r="J447" s="3"/>
      <c r="K447" s="3"/>
      <c r="L447" s="54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80"/>
      <c r="F448" s="54"/>
      <c r="G448" s="3"/>
      <c r="H448" s="3"/>
      <c r="I448" s="3"/>
      <c r="J448" s="3"/>
      <c r="K448" s="3"/>
      <c r="L448" s="54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80"/>
      <c r="F449" s="54"/>
      <c r="G449" s="3"/>
      <c r="H449" s="3"/>
      <c r="I449" s="3"/>
      <c r="J449" s="3"/>
      <c r="K449" s="3"/>
      <c r="L449" s="54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80"/>
      <c r="F450" s="54"/>
      <c r="G450" s="3"/>
      <c r="H450" s="3"/>
      <c r="I450" s="3"/>
      <c r="J450" s="3"/>
      <c r="K450" s="3"/>
      <c r="L450" s="54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80"/>
      <c r="F451" s="54"/>
      <c r="G451" s="3"/>
      <c r="H451" s="3"/>
      <c r="I451" s="3"/>
      <c r="J451" s="3"/>
      <c r="K451" s="3"/>
      <c r="L451" s="54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80"/>
      <c r="F452" s="54"/>
      <c r="G452" s="3"/>
      <c r="H452" s="3"/>
      <c r="I452" s="3"/>
      <c r="J452" s="3"/>
      <c r="K452" s="3"/>
      <c r="L452" s="54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80"/>
      <c r="F453" s="54"/>
      <c r="G453" s="3"/>
      <c r="H453" s="3"/>
      <c r="I453" s="3"/>
      <c r="J453" s="3"/>
      <c r="K453" s="3"/>
      <c r="L453" s="54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80"/>
      <c r="F454" s="54"/>
      <c r="G454" s="3"/>
      <c r="H454" s="3"/>
      <c r="I454" s="3"/>
      <c r="J454" s="3"/>
      <c r="K454" s="3"/>
      <c r="L454" s="54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80"/>
      <c r="F455" s="54"/>
      <c r="G455" s="3"/>
      <c r="H455" s="3"/>
      <c r="I455" s="3"/>
      <c r="J455" s="3"/>
      <c r="K455" s="3"/>
      <c r="L455" s="54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80"/>
      <c r="F456" s="54"/>
      <c r="G456" s="3"/>
      <c r="H456" s="3"/>
      <c r="I456" s="3"/>
      <c r="J456" s="3"/>
      <c r="K456" s="3"/>
      <c r="L456" s="54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80"/>
      <c r="F457" s="54"/>
      <c r="G457" s="3"/>
      <c r="H457" s="3"/>
      <c r="I457" s="3"/>
      <c r="J457" s="3"/>
      <c r="K457" s="3"/>
      <c r="L457" s="54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80"/>
      <c r="F458" s="54"/>
      <c r="G458" s="3"/>
      <c r="H458" s="3"/>
      <c r="I458" s="3"/>
      <c r="J458" s="3"/>
      <c r="K458" s="3"/>
      <c r="L458" s="54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80"/>
      <c r="F459" s="54"/>
      <c r="G459" s="3"/>
      <c r="H459" s="3"/>
      <c r="I459" s="3"/>
      <c r="J459" s="3"/>
      <c r="K459" s="3"/>
      <c r="L459" s="54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80"/>
      <c r="F460" s="54"/>
      <c r="G460" s="3"/>
      <c r="H460" s="3"/>
      <c r="I460" s="3"/>
      <c r="J460" s="3"/>
      <c r="K460" s="3"/>
      <c r="L460" s="54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80"/>
      <c r="F461" s="54"/>
      <c r="G461" s="3"/>
      <c r="H461" s="3"/>
      <c r="I461" s="3"/>
      <c r="J461" s="3"/>
      <c r="K461" s="3"/>
      <c r="L461" s="54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80"/>
      <c r="F462" s="54"/>
      <c r="G462" s="3"/>
      <c r="H462" s="3"/>
      <c r="I462" s="3"/>
      <c r="J462" s="3"/>
      <c r="K462" s="3"/>
      <c r="L462" s="54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80"/>
      <c r="F463" s="54"/>
      <c r="G463" s="3"/>
      <c r="H463" s="3"/>
      <c r="I463" s="3"/>
      <c r="J463" s="3"/>
      <c r="K463" s="3"/>
      <c r="L463" s="54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80"/>
      <c r="F464" s="54"/>
      <c r="G464" s="3"/>
      <c r="H464" s="3"/>
      <c r="I464" s="3"/>
      <c r="J464" s="3"/>
      <c r="K464" s="3"/>
      <c r="L464" s="54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80"/>
      <c r="F465" s="54"/>
      <c r="G465" s="3"/>
      <c r="H465" s="3"/>
      <c r="I465" s="3"/>
      <c r="J465" s="3"/>
      <c r="K465" s="3"/>
      <c r="L465" s="54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80"/>
      <c r="F466" s="54"/>
      <c r="G466" s="3"/>
      <c r="H466" s="3"/>
      <c r="I466" s="3"/>
      <c r="J466" s="3"/>
      <c r="K466" s="3"/>
      <c r="L466" s="54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80"/>
      <c r="F467" s="54"/>
      <c r="G467" s="3"/>
      <c r="H467" s="3"/>
      <c r="I467" s="3"/>
      <c r="J467" s="3"/>
      <c r="K467" s="3"/>
      <c r="L467" s="54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80"/>
      <c r="F468" s="54"/>
      <c r="G468" s="3"/>
      <c r="H468" s="3"/>
      <c r="I468" s="3"/>
      <c r="J468" s="3"/>
      <c r="K468" s="3"/>
      <c r="L468" s="54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80"/>
      <c r="F469" s="54"/>
      <c r="G469" s="3"/>
      <c r="H469" s="3"/>
      <c r="I469" s="3"/>
      <c r="J469" s="3"/>
      <c r="K469" s="3"/>
      <c r="L469" s="54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80"/>
      <c r="F470" s="54"/>
      <c r="G470" s="3"/>
      <c r="H470" s="3"/>
      <c r="I470" s="3"/>
      <c r="J470" s="3"/>
      <c r="K470" s="3"/>
      <c r="L470" s="54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80"/>
      <c r="F471" s="54"/>
      <c r="G471" s="3"/>
      <c r="H471" s="3"/>
      <c r="I471" s="3"/>
      <c r="J471" s="3"/>
      <c r="K471" s="3"/>
      <c r="L471" s="54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80"/>
      <c r="F472" s="54"/>
      <c r="G472" s="3"/>
      <c r="H472" s="3"/>
      <c r="I472" s="3"/>
      <c r="J472" s="3"/>
      <c r="K472" s="3"/>
      <c r="L472" s="54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80"/>
      <c r="F473" s="54"/>
      <c r="G473" s="3"/>
      <c r="H473" s="3"/>
      <c r="I473" s="3"/>
      <c r="J473" s="3"/>
      <c r="K473" s="3"/>
      <c r="L473" s="54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80"/>
      <c r="F474" s="54"/>
      <c r="G474" s="3"/>
      <c r="H474" s="3"/>
      <c r="I474" s="3"/>
      <c r="J474" s="3"/>
      <c r="K474" s="3"/>
      <c r="L474" s="54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80"/>
      <c r="F475" s="54"/>
      <c r="G475" s="3"/>
      <c r="H475" s="3"/>
      <c r="I475" s="3"/>
      <c r="J475" s="3"/>
      <c r="K475" s="3"/>
      <c r="L475" s="54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80"/>
      <c r="F476" s="54"/>
      <c r="G476" s="3"/>
      <c r="H476" s="3"/>
      <c r="I476" s="3"/>
      <c r="J476" s="3"/>
      <c r="K476" s="3"/>
      <c r="L476" s="54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80"/>
      <c r="F477" s="54"/>
      <c r="G477" s="3"/>
      <c r="H477" s="3"/>
      <c r="I477" s="3"/>
      <c r="J477" s="3"/>
      <c r="K477" s="3"/>
      <c r="L477" s="54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80"/>
      <c r="F478" s="54"/>
      <c r="G478" s="3"/>
      <c r="H478" s="3"/>
      <c r="I478" s="3"/>
      <c r="J478" s="3"/>
      <c r="K478" s="3"/>
      <c r="L478" s="54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80"/>
      <c r="F479" s="54"/>
      <c r="G479" s="3"/>
      <c r="H479" s="3"/>
      <c r="I479" s="3"/>
      <c r="J479" s="3"/>
      <c r="K479" s="3"/>
      <c r="L479" s="54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80"/>
      <c r="F480" s="54"/>
      <c r="G480" s="3"/>
      <c r="H480" s="3"/>
      <c r="I480" s="3"/>
      <c r="J480" s="3"/>
      <c r="K480" s="3"/>
      <c r="L480" s="54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80"/>
      <c r="F481" s="54"/>
      <c r="G481" s="3"/>
      <c r="H481" s="3"/>
      <c r="I481" s="3"/>
      <c r="J481" s="3"/>
      <c r="K481" s="3"/>
      <c r="L481" s="54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80"/>
      <c r="F482" s="54"/>
      <c r="G482" s="3"/>
      <c r="H482" s="3"/>
      <c r="I482" s="3"/>
      <c r="J482" s="3"/>
      <c r="K482" s="3"/>
      <c r="L482" s="54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80"/>
      <c r="F483" s="54"/>
      <c r="G483" s="3"/>
      <c r="H483" s="3"/>
      <c r="I483" s="3"/>
      <c r="J483" s="3"/>
      <c r="K483" s="3"/>
      <c r="L483" s="54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80"/>
      <c r="F484" s="54"/>
      <c r="G484" s="3"/>
      <c r="H484" s="3"/>
      <c r="I484" s="3"/>
      <c r="J484" s="3"/>
      <c r="K484" s="3"/>
      <c r="L484" s="54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80"/>
      <c r="F485" s="54"/>
      <c r="G485" s="3"/>
      <c r="H485" s="3"/>
      <c r="I485" s="3"/>
      <c r="J485" s="3"/>
      <c r="K485" s="3"/>
      <c r="L485" s="54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80"/>
      <c r="F486" s="54"/>
      <c r="G486" s="3"/>
      <c r="H486" s="3"/>
      <c r="I486" s="3"/>
      <c r="J486" s="3"/>
      <c r="K486" s="3"/>
      <c r="L486" s="54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80"/>
      <c r="F487" s="54"/>
      <c r="G487" s="3"/>
      <c r="H487" s="3"/>
      <c r="I487" s="3"/>
      <c r="J487" s="3"/>
      <c r="K487" s="3"/>
      <c r="L487" s="54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80"/>
      <c r="F488" s="54"/>
      <c r="G488" s="3"/>
      <c r="H488" s="3"/>
      <c r="I488" s="3"/>
      <c r="J488" s="3"/>
      <c r="K488" s="3"/>
      <c r="L488" s="54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80"/>
      <c r="F489" s="54"/>
      <c r="G489" s="3"/>
      <c r="H489" s="3"/>
      <c r="I489" s="3"/>
      <c r="J489" s="3"/>
      <c r="K489" s="3"/>
      <c r="L489" s="54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80"/>
      <c r="F490" s="54"/>
      <c r="G490" s="3"/>
      <c r="H490" s="3"/>
      <c r="I490" s="3"/>
      <c r="J490" s="3"/>
      <c r="K490" s="3"/>
      <c r="L490" s="54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80"/>
      <c r="F491" s="54"/>
      <c r="G491" s="3"/>
      <c r="H491" s="3"/>
      <c r="I491" s="3"/>
      <c r="J491" s="3"/>
      <c r="K491" s="3"/>
      <c r="L491" s="54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80"/>
      <c r="F492" s="54"/>
      <c r="G492" s="3"/>
      <c r="H492" s="3"/>
      <c r="I492" s="3"/>
      <c r="J492" s="3"/>
      <c r="K492" s="3"/>
      <c r="L492" s="54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80"/>
      <c r="F493" s="54"/>
      <c r="G493" s="3"/>
      <c r="H493" s="3"/>
      <c r="I493" s="3"/>
      <c r="J493" s="3"/>
      <c r="K493" s="3"/>
      <c r="L493" s="54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80"/>
      <c r="F494" s="54"/>
      <c r="G494" s="3"/>
      <c r="H494" s="3"/>
      <c r="I494" s="3"/>
      <c r="J494" s="3"/>
      <c r="K494" s="3"/>
      <c r="L494" s="54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80"/>
      <c r="F495" s="54"/>
      <c r="G495" s="3"/>
      <c r="H495" s="3"/>
      <c r="I495" s="3"/>
      <c r="J495" s="3"/>
      <c r="K495" s="3"/>
      <c r="L495" s="54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80"/>
      <c r="F496" s="54"/>
      <c r="G496" s="3"/>
      <c r="H496" s="3"/>
      <c r="I496" s="3"/>
      <c r="J496" s="3"/>
      <c r="K496" s="3"/>
      <c r="L496" s="54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80"/>
      <c r="F497" s="54"/>
      <c r="G497" s="3"/>
      <c r="H497" s="3"/>
      <c r="I497" s="3"/>
      <c r="J497" s="3"/>
      <c r="K497" s="3"/>
      <c r="L497" s="54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80"/>
      <c r="F498" s="54"/>
      <c r="G498" s="3"/>
      <c r="H498" s="3"/>
      <c r="I498" s="3"/>
      <c r="J498" s="3"/>
      <c r="K498" s="3"/>
      <c r="L498" s="54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80"/>
      <c r="F499" s="54"/>
      <c r="G499" s="3"/>
      <c r="H499" s="3"/>
      <c r="I499" s="3"/>
      <c r="J499" s="3"/>
      <c r="K499" s="3"/>
      <c r="L499" s="54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80"/>
      <c r="F500" s="54"/>
      <c r="G500" s="3"/>
      <c r="H500" s="3"/>
      <c r="I500" s="3"/>
      <c r="J500" s="3"/>
      <c r="K500" s="3"/>
      <c r="L500" s="54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80"/>
      <c r="F501" s="54"/>
      <c r="G501" s="3"/>
      <c r="H501" s="3"/>
      <c r="I501" s="3"/>
      <c r="J501" s="3"/>
      <c r="K501" s="3"/>
      <c r="L501" s="54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80"/>
      <c r="F502" s="54"/>
      <c r="G502" s="3"/>
      <c r="H502" s="3"/>
      <c r="I502" s="3"/>
      <c r="J502" s="3"/>
      <c r="K502" s="3"/>
      <c r="L502" s="54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80"/>
      <c r="F503" s="54"/>
      <c r="G503" s="3"/>
      <c r="H503" s="3"/>
      <c r="I503" s="3"/>
      <c r="J503" s="3"/>
      <c r="K503" s="3"/>
      <c r="L503" s="54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80"/>
      <c r="F504" s="54"/>
      <c r="G504" s="3"/>
      <c r="H504" s="3"/>
      <c r="I504" s="3"/>
      <c r="J504" s="3"/>
      <c r="K504" s="3"/>
      <c r="L504" s="54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80"/>
      <c r="F505" s="54"/>
      <c r="G505" s="3"/>
      <c r="H505" s="3"/>
      <c r="I505" s="3"/>
      <c r="J505" s="3"/>
      <c r="K505" s="3"/>
      <c r="L505" s="54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80"/>
      <c r="F506" s="54"/>
      <c r="G506" s="3"/>
      <c r="H506" s="3"/>
      <c r="I506" s="3"/>
      <c r="J506" s="3"/>
      <c r="K506" s="3"/>
      <c r="L506" s="54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80"/>
      <c r="F507" s="54"/>
      <c r="G507" s="3"/>
      <c r="H507" s="3"/>
      <c r="I507" s="3"/>
      <c r="J507" s="3"/>
      <c r="K507" s="3"/>
      <c r="L507" s="54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80"/>
      <c r="F508" s="54"/>
      <c r="G508" s="3"/>
      <c r="H508" s="3"/>
      <c r="I508" s="3"/>
      <c r="J508" s="3"/>
      <c r="K508" s="3"/>
      <c r="L508" s="54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80"/>
      <c r="F509" s="54"/>
      <c r="G509" s="3"/>
      <c r="H509" s="3"/>
      <c r="I509" s="3"/>
      <c r="J509" s="3"/>
      <c r="K509" s="3"/>
      <c r="L509" s="54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80"/>
      <c r="F510" s="54"/>
      <c r="G510" s="3"/>
      <c r="H510" s="3"/>
      <c r="I510" s="3"/>
      <c r="J510" s="3"/>
      <c r="K510" s="3"/>
      <c r="L510" s="54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80"/>
      <c r="F511" s="54"/>
      <c r="G511" s="3"/>
      <c r="H511" s="3"/>
      <c r="I511" s="3"/>
      <c r="J511" s="3"/>
      <c r="K511" s="3"/>
      <c r="L511" s="54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80"/>
      <c r="F512" s="54"/>
      <c r="G512" s="3"/>
      <c r="H512" s="3"/>
      <c r="I512" s="3"/>
      <c r="J512" s="3"/>
      <c r="K512" s="3"/>
      <c r="L512" s="54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80"/>
      <c r="F513" s="54"/>
      <c r="G513" s="3"/>
      <c r="H513" s="3"/>
      <c r="I513" s="3"/>
      <c r="J513" s="3"/>
      <c r="K513" s="3"/>
      <c r="L513" s="54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80"/>
      <c r="F514" s="54"/>
      <c r="G514" s="3"/>
      <c r="H514" s="3"/>
      <c r="I514" s="3"/>
      <c r="J514" s="3"/>
      <c r="K514" s="3"/>
      <c r="L514" s="54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80"/>
      <c r="F515" s="54"/>
      <c r="G515" s="3"/>
      <c r="H515" s="3"/>
      <c r="I515" s="3"/>
      <c r="J515" s="3"/>
      <c r="K515" s="3"/>
      <c r="L515" s="54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80"/>
      <c r="F516" s="54"/>
      <c r="G516" s="3"/>
      <c r="H516" s="3"/>
      <c r="I516" s="3"/>
      <c r="J516" s="3"/>
      <c r="K516" s="3"/>
      <c r="L516" s="54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80"/>
      <c r="F517" s="54"/>
      <c r="G517" s="3"/>
      <c r="H517" s="3"/>
      <c r="I517" s="3"/>
      <c r="J517" s="3"/>
      <c r="K517" s="3"/>
      <c r="L517" s="54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80"/>
      <c r="F518" s="54"/>
      <c r="G518" s="3"/>
      <c r="H518" s="3"/>
      <c r="I518" s="3"/>
      <c r="J518" s="3"/>
      <c r="K518" s="3"/>
      <c r="L518" s="54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80"/>
      <c r="F519" s="54"/>
      <c r="G519" s="3"/>
      <c r="H519" s="3"/>
      <c r="I519" s="3"/>
      <c r="J519" s="3"/>
      <c r="K519" s="3"/>
      <c r="L519" s="54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80"/>
      <c r="F520" s="54"/>
      <c r="G520" s="3"/>
      <c r="H520" s="3"/>
      <c r="I520" s="3"/>
      <c r="J520" s="3"/>
      <c r="K520" s="3"/>
      <c r="L520" s="54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80"/>
      <c r="F521" s="54"/>
      <c r="G521" s="3"/>
      <c r="H521" s="3"/>
      <c r="I521" s="3"/>
      <c r="J521" s="3"/>
      <c r="K521" s="3"/>
      <c r="L521" s="54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80"/>
      <c r="F522" s="54"/>
      <c r="G522" s="3"/>
      <c r="H522" s="3"/>
      <c r="I522" s="3"/>
      <c r="J522" s="3"/>
      <c r="K522" s="3"/>
      <c r="L522" s="54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80"/>
      <c r="F523" s="54"/>
      <c r="G523" s="3"/>
      <c r="H523" s="3"/>
      <c r="I523" s="3"/>
      <c r="J523" s="3"/>
      <c r="K523" s="3"/>
      <c r="L523" s="54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80"/>
      <c r="F524" s="54"/>
      <c r="G524" s="3"/>
      <c r="H524" s="3"/>
      <c r="I524" s="3"/>
      <c r="J524" s="3"/>
      <c r="K524" s="3"/>
      <c r="L524" s="54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80"/>
      <c r="F525" s="54"/>
      <c r="G525" s="3"/>
      <c r="H525" s="3"/>
      <c r="I525" s="3"/>
      <c r="J525" s="3"/>
      <c r="K525" s="3"/>
      <c r="L525" s="54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80"/>
      <c r="F526" s="54"/>
      <c r="G526" s="3"/>
      <c r="H526" s="3"/>
      <c r="I526" s="3"/>
      <c r="J526" s="3"/>
      <c r="K526" s="3"/>
      <c r="L526" s="54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80"/>
      <c r="F527" s="54"/>
      <c r="G527" s="3"/>
      <c r="H527" s="3"/>
      <c r="I527" s="3"/>
      <c r="J527" s="3"/>
      <c r="K527" s="3"/>
      <c r="L527" s="54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80"/>
      <c r="F528" s="54"/>
      <c r="G528" s="3"/>
      <c r="H528" s="3"/>
      <c r="I528" s="3"/>
      <c r="J528" s="3"/>
      <c r="K528" s="3"/>
      <c r="L528" s="54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80"/>
      <c r="F529" s="54"/>
      <c r="G529" s="3"/>
      <c r="H529" s="3"/>
      <c r="I529" s="3"/>
      <c r="J529" s="3"/>
      <c r="K529" s="3"/>
      <c r="L529" s="54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80"/>
      <c r="F530" s="54"/>
      <c r="G530" s="3"/>
      <c r="H530" s="3"/>
      <c r="I530" s="3"/>
      <c r="J530" s="3"/>
      <c r="K530" s="3"/>
      <c r="L530" s="54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80"/>
      <c r="F531" s="54"/>
      <c r="G531" s="3"/>
      <c r="H531" s="3"/>
      <c r="I531" s="3"/>
      <c r="J531" s="3"/>
      <c r="K531" s="3"/>
      <c r="L531" s="54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80"/>
      <c r="F532" s="54"/>
      <c r="G532" s="3"/>
      <c r="H532" s="3"/>
      <c r="I532" s="3"/>
      <c r="J532" s="3"/>
      <c r="K532" s="3"/>
      <c r="L532" s="54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80"/>
      <c r="F533" s="54"/>
      <c r="G533" s="3"/>
      <c r="H533" s="3"/>
      <c r="I533" s="3"/>
      <c r="J533" s="3"/>
      <c r="K533" s="3"/>
      <c r="L533" s="54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80"/>
      <c r="F534" s="54"/>
      <c r="G534" s="3"/>
      <c r="H534" s="3"/>
      <c r="I534" s="3"/>
      <c r="J534" s="3"/>
      <c r="K534" s="3"/>
      <c r="L534" s="54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80"/>
      <c r="F535" s="54"/>
      <c r="G535" s="3"/>
      <c r="H535" s="3"/>
      <c r="I535" s="3"/>
      <c r="J535" s="3"/>
      <c r="K535" s="3"/>
      <c r="L535" s="54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80"/>
      <c r="F536" s="54"/>
      <c r="G536" s="3"/>
      <c r="H536" s="3"/>
      <c r="I536" s="3"/>
      <c r="J536" s="3"/>
      <c r="K536" s="3"/>
      <c r="L536" s="54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80"/>
      <c r="F537" s="54"/>
      <c r="G537" s="3"/>
      <c r="H537" s="3"/>
      <c r="I537" s="3"/>
      <c r="J537" s="3"/>
      <c r="K537" s="3"/>
      <c r="L537" s="54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80"/>
      <c r="F538" s="54"/>
      <c r="G538" s="3"/>
      <c r="H538" s="3"/>
      <c r="I538" s="3"/>
      <c r="J538" s="3"/>
      <c r="K538" s="3"/>
      <c r="L538" s="54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80"/>
      <c r="F539" s="54"/>
      <c r="G539" s="3"/>
      <c r="H539" s="3"/>
      <c r="I539" s="3"/>
      <c r="J539" s="3"/>
      <c r="K539" s="3"/>
      <c r="L539" s="54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80"/>
      <c r="F540" s="54"/>
      <c r="G540" s="3"/>
      <c r="H540" s="3"/>
      <c r="I540" s="3"/>
      <c r="J540" s="3"/>
      <c r="K540" s="3"/>
      <c r="L540" s="54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80"/>
      <c r="F541" s="54"/>
      <c r="G541" s="3"/>
      <c r="H541" s="3"/>
      <c r="I541" s="3"/>
      <c r="J541" s="3"/>
      <c r="K541" s="3"/>
      <c r="L541" s="54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80"/>
      <c r="F542" s="54"/>
      <c r="G542" s="3"/>
      <c r="H542" s="3"/>
      <c r="I542" s="3"/>
      <c r="J542" s="3"/>
      <c r="K542" s="3"/>
      <c r="L542" s="54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80"/>
      <c r="F543" s="54"/>
      <c r="G543" s="3"/>
      <c r="H543" s="3"/>
      <c r="I543" s="3"/>
      <c r="J543" s="3"/>
      <c r="K543" s="3"/>
      <c r="L543" s="54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80"/>
      <c r="F544" s="54"/>
      <c r="G544" s="3"/>
      <c r="H544" s="3"/>
      <c r="I544" s="3"/>
      <c r="J544" s="3"/>
      <c r="K544" s="3"/>
      <c r="L544" s="54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80"/>
      <c r="F545" s="54"/>
      <c r="G545" s="3"/>
      <c r="H545" s="3"/>
      <c r="I545" s="3"/>
      <c r="J545" s="3"/>
      <c r="K545" s="3"/>
      <c r="L545" s="54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80"/>
      <c r="F546" s="54"/>
      <c r="G546" s="3"/>
      <c r="H546" s="3"/>
      <c r="I546" s="3"/>
      <c r="J546" s="3"/>
      <c r="K546" s="3"/>
      <c r="L546" s="54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80"/>
      <c r="F547" s="54"/>
      <c r="G547" s="3"/>
      <c r="H547" s="3"/>
      <c r="I547" s="3"/>
      <c r="J547" s="3"/>
      <c r="K547" s="3"/>
      <c r="L547" s="54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80"/>
      <c r="F548" s="54"/>
      <c r="G548" s="3"/>
      <c r="H548" s="3"/>
      <c r="I548" s="3"/>
      <c r="J548" s="3"/>
      <c r="K548" s="3"/>
      <c r="L548" s="54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80"/>
      <c r="F549" s="54"/>
      <c r="G549" s="3"/>
      <c r="H549" s="3"/>
      <c r="I549" s="3"/>
      <c r="J549" s="3"/>
      <c r="K549" s="3"/>
      <c r="L549" s="54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80"/>
      <c r="F550" s="54"/>
      <c r="G550" s="3"/>
      <c r="H550" s="3"/>
      <c r="I550" s="3"/>
      <c r="J550" s="3"/>
      <c r="K550" s="3"/>
      <c r="L550" s="54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80"/>
      <c r="F551" s="54"/>
      <c r="G551" s="3"/>
      <c r="H551" s="3"/>
      <c r="I551" s="3"/>
      <c r="J551" s="3"/>
      <c r="K551" s="3"/>
      <c r="L551" s="54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80"/>
      <c r="F552" s="54"/>
      <c r="G552" s="3"/>
      <c r="H552" s="3"/>
      <c r="I552" s="3"/>
      <c r="J552" s="3"/>
      <c r="K552" s="3"/>
      <c r="L552" s="54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80"/>
      <c r="F553" s="54"/>
      <c r="G553" s="3"/>
      <c r="H553" s="3"/>
      <c r="I553" s="3"/>
      <c r="J553" s="3"/>
      <c r="K553" s="3"/>
      <c r="L553" s="54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80"/>
      <c r="F554" s="54"/>
      <c r="G554" s="3"/>
      <c r="H554" s="3"/>
      <c r="I554" s="3"/>
      <c r="J554" s="3"/>
      <c r="K554" s="3"/>
      <c r="L554" s="54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80"/>
      <c r="F555" s="54"/>
      <c r="G555" s="3"/>
      <c r="H555" s="3"/>
      <c r="I555" s="3"/>
      <c r="J555" s="3"/>
      <c r="K555" s="3"/>
      <c r="L555" s="54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80"/>
      <c r="F556" s="54"/>
      <c r="G556" s="3"/>
      <c r="H556" s="3"/>
      <c r="I556" s="3"/>
      <c r="J556" s="3"/>
      <c r="K556" s="3"/>
      <c r="L556" s="54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80"/>
      <c r="F557" s="54"/>
      <c r="G557" s="3"/>
      <c r="H557" s="3"/>
      <c r="I557" s="3"/>
      <c r="J557" s="3"/>
      <c r="K557" s="3"/>
      <c r="L557" s="54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80"/>
      <c r="F558" s="54"/>
      <c r="G558" s="3"/>
      <c r="H558" s="3"/>
      <c r="I558" s="3"/>
      <c r="J558" s="3"/>
      <c r="K558" s="3"/>
      <c r="L558" s="54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80"/>
      <c r="F559" s="54"/>
      <c r="G559" s="3"/>
      <c r="H559" s="3"/>
      <c r="I559" s="3"/>
      <c r="J559" s="3"/>
      <c r="K559" s="3"/>
      <c r="L559" s="54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80"/>
      <c r="F560" s="54"/>
      <c r="G560" s="3"/>
      <c r="H560" s="3"/>
      <c r="I560" s="3"/>
      <c r="J560" s="3"/>
      <c r="K560" s="3"/>
      <c r="L560" s="54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80"/>
      <c r="F561" s="54"/>
      <c r="G561" s="3"/>
      <c r="H561" s="3"/>
      <c r="I561" s="3"/>
      <c r="J561" s="3"/>
      <c r="K561" s="3"/>
      <c r="L561" s="54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80"/>
      <c r="F562" s="54"/>
      <c r="G562" s="3"/>
      <c r="H562" s="3"/>
      <c r="I562" s="3"/>
      <c r="J562" s="3"/>
      <c r="K562" s="3"/>
      <c r="L562" s="54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80"/>
      <c r="F563" s="54"/>
      <c r="G563" s="3"/>
      <c r="H563" s="3"/>
      <c r="I563" s="3"/>
      <c r="J563" s="3"/>
      <c r="K563" s="3"/>
      <c r="L563" s="54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80"/>
      <c r="F564" s="54"/>
      <c r="G564" s="3"/>
      <c r="H564" s="3"/>
      <c r="I564" s="3"/>
      <c r="J564" s="3"/>
      <c r="K564" s="3"/>
      <c r="L564" s="54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80"/>
      <c r="F565" s="54"/>
      <c r="G565" s="3"/>
      <c r="H565" s="3"/>
      <c r="I565" s="3"/>
      <c r="J565" s="3"/>
      <c r="K565" s="3"/>
      <c r="L565" s="54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80"/>
      <c r="F566" s="54"/>
      <c r="G566" s="3"/>
      <c r="H566" s="3"/>
      <c r="I566" s="3"/>
      <c r="J566" s="3"/>
      <c r="K566" s="3"/>
      <c r="L566" s="54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80"/>
      <c r="F567" s="54"/>
      <c r="G567" s="3"/>
      <c r="H567" s="3"/>
      <c r="I567" s="3"/>
      <c r="J567" s="3"/>
      <c r="K567" s="3"/>
      <c r="L567" s="54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80"/>
      <c r="F568" s="54"/>
      <c r="G568" s="3"/>
      <c r="H568" s="3"/>
      <c r="I568" s="3"/>
      <c r="J568" s="3"/>
      <c r="K568" s="3"/>
      <c r="L568" s="54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80"/>
      <c r="F569" s="54"/>
      <c r="G569" s="3"/>
      <c r="H569" s="3"/>
      <c r="I569" s="3"/>
      <c r="J569" s="3"/>
      <c r="K569" s="3"/>
      <c r="L569" s="54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80"/>
      <c r="F570" s="54"/>
      <c r="G570" s="3"/>
      <c r="H570" s="3"/>
      <c r="I570" s="3"/>
      <c r="J570" s="3"/>
      <c r="K570" s="3"/>
      <c r="L570" s="54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80"/>
      <c r="F571" s="54"/>
      <c r="G571" s="3"/>
      <c r="H571" s="3"/>
      <c r="I571" s="3"/>
      <c r="J571" s="3"/>
      <c r="K571" s="3"/>
      <c r="L571" s="54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80"/>
      <c r="F572" s="54"/>
      <c r="G572" s="3"/>
      <c r="H572" s="3"/>
      <c r="I572" s="3"/>
      <c r="J572" s="3"/>
      <c r="K572" s="3"/>
      <c r="L572" s="54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80"/>
      <c r="F573" s="54"/>
      <c r="G573" s="3"/>
      <c r="H573" s="3"/>
      <c r="I573" s="3"/>
      <c r="J573" s="3"/>
      <c r="K573" s="3"/>
      <c r="L573" s="54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80"/>
      <c r="F574" s="54"/>
      <c r="G574" s="3"/>
      <c r="H574" s="3"/>
      <c r="I574" s="3"/>
      <c r="J574" s="3"/>
      <c r="K574" s="3"/>
      <c r="L574" s="54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80"/>
      <c r="F575" s="54"/>
      <c r="G575" s="3"/>
      <c r="H575" s="3"/>
      <c r="I575" s="3"/>
      <c r="J575" s="3"/>
      <c r="K575" s="3"/>
      <c r="L575" s="54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80"/>
      <c r="F576" s="54"/>
      <c r="G576" s="3"/>
      <c r="H576" s="3"/>
      <c r="I576" s="3"/>
      <c r="J576" s="3"/>
      <c r="K576" s="3"/>
      <c r="L576" s="54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80"/>
      <c r="F577" s="54"/>
      <c r="G577" s="3"/>
      <c r="H577" s="3"/>
      <c r="I577" s="3"/>
      <c r="J577" s="3"/>
      <c r="K577" s="3"/>
      <c r="L577" s="54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80"/>
      <c r="F578" s="54"/>
      <c r="G578" s="3"/>
      <c r="H578" s="3"/>
      <c r="I578" s="3"/>
      <c r="J578" s="3"/>
      <c r="K578" s="3"/>
      <c r="L578" s="54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80"/>
      <c r="F579" s="54"/>
      <c r="G579" s="3"/>
      <c r="H579" s="3"/>
      <c r="I579" s="3"/>
      <c r="J579" s="3"/>
      <c r="K579" s="3"/>
      <c r="L579" s="54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80"/>
      <c r="F580" s="54"/>
      <c r="G580" s="3"/>
      <c r="H580" s="3"/>
      <c r="I580" s="3"/>
      <c r="J580" s="3"/>
      <c r="K580" s="3"/>
      <c r="L580" s="54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80"/>
      <c r="F581" s="54"/>
      <c r="G581" s="3"/>
      <c r="H581" s="3"/>
      <c r="I581" s="3"/>
      <c r="J581" s="3"/>
      <c r="K581" s="3"/>
      <c r="L581" s="54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80"/>
      <c r="F582" s="54"/>
      <c r="G582" s="3"/>
      <c r="H582" s="3"/>
      <c r="I582" s="3"/>
      <c r="J582" s="3"/>
      <c r="K582" s="3"/>
      <c r="L582" s="54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80"/>
      <c r="F583" s="54"/>
      <c r="G583" s="3"/>
      <c r="H583" s="3"/>
      <c r="I583" s="3"/>
      <c r="J583" s="3"/>
      <c r="K583" s="3"/>
      <c r="L583" s="54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80"/>
      <c r="F584" s="54"/>
      <c r="G584" s="3"/>
      <c r="H584" s="3"/>
      <c r="I584" s="3"/>
      <c r="J584" s="3"/>
      <c r="K584" s="3"/>
      <c r="L584" s="54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80"/>
      <c r="F585" s="54"/>
      <c r="G585" s="3"/>
      <c r="H585" s="3"/>
      <c r="I585" s="3"/>
      <c r="J585" s="3"/>
      <c r="K585" s="3"/>
      <c r="L585" s="54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80"/>
      <c r="F586" s="54"/>
      <c r="G586" s="3"/>
      <c r="H586" s="3"/>
      <c r="I586" s="3"/>
      <c r="J586" s="3"/>
      <c r="K586" s="3"/>
      <c r="L586" s="54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80"/>
      <c r="F587" s="54"/>
      <c r="G587" s="3"/>
      <c r="H587" s="3"/>
      <c r="I587" s="3"/>
      <c r="J587" s="3"/>
      <c r="K587" s="3"/>
      <c r="L587" s="54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80"/>
      <c r="F588" s="54"/>
      <c r="G588" s="3"/>
      <c r="H588" s="3"/>
      <c r="I588" s="3"/>
      <c r="J588" s="3"/>
      <c r="K588" s="3"/>
      <c r="L588" s="54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80"/>
      <c r="F589" s="54"/>
      <c r="G589" s="3"/>
      <c r="H589" s="3"/>
      <c r="I589" s="3"/>
      <c r="J589" s="3"/>
      <c r="K589" s="3"/>
      <c r="L589" s="54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80"/>
      <c r="F590" s="54"/>
      <c r="G590" s="3"/>
      <c r="H590" s="3"/>
      <c r="I590" s="3"/>
      <c r="J590" s="3"/>
      <c r="K590" s="3"/>
      <c r="L590" s="54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80"/>
      <c r="F591" s="54"/>
      <c r="G591" s="3"/>
      <c r="H591" s="3"/>
      <c r="I591" s="3"/>
      <c r="J591" s="3"/>
      <c r="K591" s="3"/>
      <c r="L591" s="54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80"/>
      <c r="F592" s="54"/>
      <c r="G592" s="3"/>
      <c r="H592" s="3"/>
      <c r="I592" s="3"/>
      <c r="J592" s="3"/>
      <c r="K592" s="3"/>
      <c r="L592" s="54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80"/>
      <c r="F593" s="54"/>
      <c r="G593" s="3"/>
      <c r="H593" s="3"/>
      <c r="I593" s="3"/>
      <c r="J593" s="3"/>
      <c r="K593" s="3"/>
      <c r="L593" s="54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80"/>
      <c r="F594" s="54"/>
      <c r="G594" s="3"/>
      <c r="H594" s="3"/>
      <c r="I594" s="3"/>
      <c r="J594" s="3"/>
      <c r="K594" s="3"/>
      <c r="L594" s="54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80"/>
      <c r="F595" s="54"/>
      <c r="G595" s="3"/>
      <c r="H595" s="3"/>
      <c r="I595" s="3"/>
      <c r="J595" s="3"/>
      <c r="K595" s="3"/>
      <c r="L595" s="54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80"/>
      <c r="F596" s="54"/>
      <c r="G596" s="3"/>
      <c r="H596" s="3"/>
      <c r="I596" s="3"/>
      <c r="J596" s="3"/>
      <c r="K596" s="3"/>
      <c r="L596" s="54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80"/>
      <c r="F597" s="54"/>
      <c r="G597" s="3"/>
      <c r="H597" s="3"/>
      <c r="I597" s="3"/>
      <c r="J597" s="3"/>
      <c r="K597" s="3"/>
      <c r="L597" s="54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80"/>
      <c r="F598" s="54"/>
      <c r="G598" s="3"/>
      <c r="H598" s="3"/>
      <c r="I598" s="3"/>
      <c r="J598" s="3"/>
      <c r="K598" s="3"/>
      <c r="L598" s="54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80"/>
      <c r="F599" s="54"/>
      <c r="G599" s="3"/>
      <c r="H599" s="3"/>
      <c r="I599" s="3"/>
      <c r="J599" s="3"/>
      <c r="K599" s="3"/>
      <c r="L599" s="54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80"/>
      <c r="F600" s="54"/>
      <c r="G600" s="3"/>
      <c r="H600" s="3"/>
      <c r="I600" s="3"/>
      <c r="J600" s="3"/>
      <c r="K600" s="3"/>
      <c r="L600" s="54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80"/>
      <c r="F601" s="54"/>
      <c r="G601" s="3"/>
      <c r="H601" s="3"/>
      <c r="I601" s="3"/>
      <c r="J601" s="3"/>
      <c r="K601" s="3"/>
      <c r="L601" s="54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80"/>
      <c r="F602" s="54"/>
      <c r="G602" s="3"/>
      <c r="H602" s="3"/>
      <c r="I602" s="3"/>
      <c r="J602" s="3"/>
      <c r="K602" s="3"/>
      <c r="L602" s="54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80"/>
      <c r="F603" s="54"/>
      <c r="G603" s="3"/>
      <c r="H603" s="3"/>
      <c r="I603" s="3"/>
      <c r="J603" s="3"/>
      <c r="K603" s="3"/>
      <c r="L603" s="54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80"/>
      <c r="F604" s="54"/>
      <c r="G604" s="3"/>
      <c r="H604" s="3"/>
      <c r="I604" s="3"/>
      <c r="J604" s="3"/>
      <c r="K604" s="3"/>
      <c r="L604" s="54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80"/>
      <c r="F605" s="54"/>
      <c r="G605" s="3"/>
      <c r="H605" s="3"/>
      <c r="I605" s="3"/>
      <c r="J605" s="3"/>
      <c r="K605" s="3"/>
      <c r="L605" s="54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80"/>
      <c r="F606" s="54"/>
      <c r="G606" s="3"/>
      <c r="H606" s="3"/>
      <c r="I606" s="3"/>
      <c r="J606" s="3"/>
      <c r="K606" s="3"/>
      <c r="L606" s="54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80"/>
      <c r="F607" s="54"/>
      <c r="G607" s="3"/>
      <c r="H607" s="3"/>
      <c r="I607" s="3"/>
      <c r="J607" s="3"/>
      <c r="K607" s="3"/>
      <c r="L607" s="54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80"/>
      <c r="F608" s="54"/>
      <c r="G608" s="3"/>
      <c r="H608" s="3"/>
      <c r="I608" s="3"/>
      <c r="J608" s="3"/>
      <c r="K608" s="3"/>
      <c r="L608" s="54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80"/>
      <c r="F609" s="54"/>
      <c r="G609" s="3"/>
      <c r="H609" s="3"/>
      <c r="I609" s="3"/>
      <c r="J609" s="3"/>
      <c r="K609" s="3"/>
      <c r="L609" s="54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80"/>
      <c r="F610" s="54"/>
      <c r="G610" s="3"/>
      <c r="H610" s="3"/>
      <c r="I610" s="3"/>
      <c r="J610" s="3"/>
      <c r="K610" s="3"/>
      <c r="L610" s="54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80"/>
      <c r="F611" s="54"/>
      <c r="G611" s="3"/>
      <c r="H611" s="3"/>
      <c r="I611" s="3"/>
      <c r="J611" s="3"/>
      <c r="K611" s="3"/>
      <c r="L611" s="54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80"/>
      <c r="F612" s="54"/>
      <c r="G612" s="3"/>
      <c r="H612" s="3"/>
      <c r="I612" s="3"/>
      <c r="J612" s="3"/>
      <c r="K612" s="3"/>
      <c r="L612" s="54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80"/>
      <c r="F613" s="54"/>
      <c r="G613" s="3"/>
      <c r="H613" s="3"/>
      <c r="I613" s="3"/>
      <c r="J613" s="3"/>
      <c r="K613" s="3"/>
      <c r="L613" s="54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80"/>
      <c r="F614" s="54"/>
      <c r="G614" s="3"/>
      <c r="H614" s="3"/>
      <c r="I614" s="3"/>
      <c r="J614" s="3"/>
      <c r="K614" s="3"/>
      <c r="L614" s="54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80"/>
      <c r="F615" s="54"/>
      <c r="G615" s="3"/>
      <c r="H615" s="3"/>
      <c r="I615" s="3"/>
      <c r="J615" s="3"/>
      <c r="K615" s="3"/>
      <c r="L615" s="54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80"/>
      <c r="F616" s="54"/>
      <c r="G616" s="3"/>
      <c r="H616" s="3"/>
      <c r="I616" s="3"/>
      <c r="J616" s="3"/>
      <c r="K616" s="3"/>
      <c r="L616" s="54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80"/>
      <c r="F617" s="54"/>
      <c r="G617" s="3"/>
      <c r="H617" s="3"/>
      <c r="I617" s="3"/>
      <c r="J617" s="3"/>
      <c r="K617" s="3"/>
      <c r="L617" s="54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80"/>
      <c r="F618" s="54"/>
      <c r="G618" s="3"/>
      <c r="H618" s="3"/>
      <c r="I618" s="3"/>
      <c r="J618" s="3"/>
      <c r="K618" s="3"/>
      <c r="L618" s="54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80"/>
      <c r="F619" s="54"/>
      <c r="G619" s="3"/>
      <c r="H619" s="3"/>
      <c r="I619" s="3"/>
      <c r="J619" s="3"/>
      <c r="K619" s="3"/>
      <c r="L619" s="54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80"/>
      <c r="F620" s="54"/>
      <c r="G620" s="3"/>
      <c r="H620" s="3"/>
      <c r="I620" s="3"/>
      <c r="J620" s="3"/>
      <c r="K620" s="3"/>
      <c r="L620" s="54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80"/>
      <c r="F621" s="54"/>
      <c r="G621" s="3"/>
      <c r="H621" s="3"/>
      <c r="I621" s="3"/>
      <c r="J621" s="3"/>
      <c r="K621" s="3"/>
      <c r="L621" s="54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80"/>
      <c r="F622" s="54"/>
      <c r="G622" s="3"/>
      <c r="H622" s="3"/>
      <c r="I622" s="3"/>
      <c r="J622" s="3"/>
      <c r="K622" s="3"/>
      <c r="L622" s="54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80"/>
      <c r="F623" s="54"/>
      <c r="G623" s="3"/>
      <c r="H623" s="3"/>
      <c r="I623" s="3"/>
      <c r="J623" s="3"/>
      <c r="K623" s="3"/>
      <c r="L623" s="54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80"/>
      <c r="F624" s="54"/>
      <c r="G624" s="3"/>
      <c r="H624" s="3"/>
      <c r="I624" s="3"/>
      <c r="J624" s="3"/>
      <c r="K624" s="3"/>
      <c r="L624" s="54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80"/>
      <c r="F625" s="54"/>
      <c r="G625" s="3"/>
      <c r="H625" s="3"/>
      <c r="I625" s="3"/>
      <c r="J625" s="3"/>
      <c r="K625" s="3"/>
      <c r="L625" s="54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80"/>
      <c r="F626" s="54"/>
      <c r="G626" s="3"/>
      <c r="H626" s="3"/>
      <c r="I626" s="3"/>
      <c r="J626" s="3"/>
      <c r="K626" s="3"/>
      <c r="L626" s="54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80"/>
      <c r="F627" s="54"/>
      <c r="G627" s="3"/>
      <c r="H627" s="3"/>
      <c r="I627" s="3"/>
      <c r="J627" s="3"/>
      <c r="K627" s="3"/>
      <c r="L627" s="54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80"/>
      <c r="F628" s="54"/>
      <c r="G628" s="3"/>
      <c r="H628" s="3"/>
      <c r="I628" s="3"/>
      <c r="J628" s="3"/>
      <c r="K628" s="3"/>
      <c r="L628" s="54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80"/>
      <c r="F629" s="54"/>
      <c r="G629" s="3"/>
      <c r="H629" s="3"/>
      <c r="I629" s="3"/>
      <c r="J629" s="3"/>
      <c r="K629" s="3"/>
      <c r="L629" s="54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80"/>
      <c r="F630" s="54"/>
      <c r="G630" s="3"/>
      <c r="H630" s="3"/>
      <c r="I630" s="3"/>
      <c r="J630" s="3"/>
      <c r="K630" s="3"/>
      <c r="L630" s="54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80"/>
      <c r="F631" s="54"/>
      <c r="G631" s="3"/>
      <c r="H631" s="3"/>
      <c r="I631" s="3"/>
      <c r="J631" s="3"/>
      <c r="K631" s="3"/>
      <c r="L631" s="54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80"/>
      <c r="F632" s="54"/>
      <c r="G632" s="3"/>
      <c r="H632" s="3"/>
      <c r="I632" s="3"/>
      <c r="J632" s="3"/>
      <c r="K632" s="3"/>
      <c r="L632" s="54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80"/>
      <c r="F633" s="54"/>
      <c r="G633" s="3"/>
      <c r="H633" s="3"/>
      <c r="I633" s="3"/>
      <c r="J633" s="3"/>
      <c r="K633" s="3"/>
      <c r="L633" s="54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80"/>
      <c r="F634" s="54"/>
      <c r="G634" s="3"/>
      <c r="H634" s="3"/>
      <c r="I634" s="3"/>
      <c r="J634" s="3"/>
      <c r="K634" s="3"/>
      <c r="L634" s="54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80"/>
      <c r="F635" s="54"/>
      <c r="G635" s="3"/>
      <c r="H635" s="3"/>
      <c r="I635" s="3"/>
      <c r="J635" s="3"/>
      <c r="K635" s="3"/>
      <c r="L635" s="54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80"/>
      <c r="F636" s="54"/>
      <c r="G636" s="3"/>
      <c r="H636" s="3"/>
      <c r="I636" s="3"/>
      <c r="J636" s="3"/>
      <c r="K636" s="3"/>
      <c r="L636" s="54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80"/>
      <c r="F637" s="54"/>
      <c r="G637" s="3"/>
      <c r="H637" s="3"/>
      <c r="I637" s="3"/>
      <c r="J637" s="3"/>
      <c r="K637" s="3"/>
      <c r="L637" s="54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80"/>
      <c r="F638" s="54"/>
      <c r="G638" s="3"/>
      <c r="H638" s="3"/>
      <c r="I638" s="3"/>
      <c r="J638" s="3"/>
      <c r="K638" s="3"/>
      <c r="L638" s="54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80"/>
      <c r="F639" s="54"/>
      <c r="G639" s="3"/>
      <c r="H639" s="3"/>
      <c r="I639" s="3"/>
      <c r="J639" s="3"/>
      <c r="K639" s="3"/>
      <c r="L639" s="54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80"/>
      <c r="F640" s="54"/>
      <c r="G640" s="3"/>
      <c r="H640" s="3"/>
      <c r="I640" s="3"/>
      <c r="J640" s="3"/>
      <c r="K640" s="3"/>
      <c r="L640" s="54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80"/>
      <c r="F641" s="54"/>
      <c r="G641" s="3"/>
      <c r="H641" s="3"/>
      <c r="I641" s="3"/>
      <c r="J641" s="3"/>
      <c r="K641" s="3"/>
      <c r="L641" s="54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80"/>
      <c r="F642" s="54"/>
      <c r="G642" s="3"/>
      <c r="H642" s="3"/>
      <c r="I642" s="3"/>
      <c r="J642" s="3"/>
      <c r="K642" s="3"/>
      <c r="L642" s="54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80"/>
      <c r="F643" s="54"/>
      <c r="G643" s="3"/>
      <c r="H643" s="3"/>
      <c r="I643" s="3"/>
      <c r="J643" s="3"/>
      <c r="K643" s="3"/>
      <c r="L643" s="54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80"/>
      <c r="F644" s="54"/>
      <c r="G644" s="3"/>
      <c r="H644" s="3"/>
      <c r="I644" s="3"/>
      <c r="J644" s="3"/>
      <c r="K644" s="3"/>
      <c r="L644" s="54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80"/>
      <c r="F645" s="54"/>
      <c r="G645" s="3"/>
      <c r="H645" s="3"/>
      <c r="I645" s="3"/>
      <c r="J645" s="3"/>
      <c r="K645" s="3"/>
      <c r="L645" s="54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80"/>
      <c r="F646" s="54"/>
      <c r="G646" s="3"/>
      <c r="H646" s="3"/>
      <c r="I646" s="3"/>
      <c r="J646" s="3"/>
      <c r="K646" s="3"/>
      <c r="L646" s="54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80"/>
      <c r="F647" s="54"/>
      <c r="G647" s="3"/>
      <c r="H647" s="3"/>
      <c r="I647" s="3"/>
      <c r="J647" s="3"/>
      <c r="K647" s="3"/>
      <c r="L647" s="54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80"/>
      <c r="F648" s="54"/>
      <c r="G648" s="3"/>
      <c r="H648" s="3"/>
      <c r="I648" s="3"/>
      <c r="J648" s="3"/>
      <c r="K648" s="3"/>
      <c r="L648" s="54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80"/>
      <c r="F649" s="54"/>
      <c r="G649" s="3"/>
      <c r="H649" s="3"/>
      <c r="I649" s="3"/>
      <c r="J649" s="3"/>
      <c r="K649" s="3"/>
      <c r="L649" s="54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80"/>
      <c r="F650" s="54"/>
      <c r="G650" s="3"/>
      <c r="H650" s="3"/>
      <c r="I650" s="3"/>
      <c r="J650" s="3"/>
      <c r="K650" s="3"/>
      <c r="L650" s="54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80"/>
      <c r="F651" s="54"/>
      <c r="G651" s="3"/>
      <c r="H651" s="3"/>
      <c r="I651" s="3"/>
      <c r="J651" s="3"/>
      <c r="K651" s="3"/>
      <c r="L651" s="54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80"/>
      <c r="F652" s="54"/>
      <c r="G652" s="3"/>
      <c r="H652" s="3"/>
      <c r="I652" s="3"/>
      <c r="J652" s="3"/>
      <c r="K652" s="3"/>
      <c r="L652" s="54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80"/>
      <c r="F653" s="54"/>
      <c r="G653" s="3"/>
      <c r="H653" s="3"/>
      <c r="I653" s="3"/>
      <c r="J653" s="3"/>
      <c r="K653" s="3"/>
      <c r="L653" s="54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80"/>
      <c r="F654" s="54"/>
      <c r="G654" s="3"/>
      <c r="H654" s="3"/>
      <c r="I654" s="3"/>
      <c r="J654" s="3"/>
      <c r="K654" s="3"/>
      <c r="L654" s="54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80"/>
      <c r="F655" s="54"/>
      <c r="G655" s="3"/>
      <c r="H655" s="3"/>
      <c r="I655" s="3"/>
      <c r="J655" s="3"/>
      <c r="K655" s="3"/>
      <c r="L655" s="54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80"/>
      <c r="F656" s="54"/>
      <c r="G656" s="3"/>
      <c r="H656" s="3"/>
      <c r="I656" s="3"/>
      <c r="J656" s="3"/>
      <c r="K656" s="3"/>
      <c r="L656" s="54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80"/>
      <c r="F657" s="54"/>
      <c r="G657" s="3"/>
      <c r="H657" s="3"/>
      <c r="I657" s="3"/>
      <c r="J657" s="3"/>
      <c r="K657" s="3"/>
      <c r="L657" s="54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80"/>
      <c r="F658" s="54"/>
      <c r="G658" s="3"/>
      <c r="H658" s="3"/>
      <c r="I658" s="3"/>
      <c r="J658" s="3"/>
      <c r="K658" s="3"/>
      <c r="L658" s="54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80"/>
      <c r="F659" s="54"/>
      <c r="G659" s="3"/>
      <c r="H659" s="3"/>
      <c r="I659" s="3"/>
      <c r="J659" s="3"/>
      <c r="K659" s="3"/>
      <c r="L659" s="54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80"/>
      <c r="F660" s="54"/>
      <c r="G660" s="3"/>
      <c r="H660" s="3"/>
      <c r="I660" s="3"/>
      <c r="J660" s="3"/>
      <c r="K660" s="3"/>
      <c r="L660" s="54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80"/>
      <c r="F661" s="54"/>
      <c r="G661" s="3"/>
      <c r="H661" s="3"/>
      <c r="I661" s="3"/>
      <c r="J661" s="3"/>
      <c r="K661" s="3"/>
      <c r="L661" s="54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80"/>
      <c r="F662" s="54"/>
      <c r="G662" s="3"/>
      <c r="H662" s="3"/>
      <c r="I662" s="3"/>
      <c r="J662" s="3"/>
      <c r="K662" s="3"/>
      <c r="L662" s="54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80"/>
      <c r="F663" s="54"/>
      <c r="G663" s="3"/>
      <c r="H663" s="3"/>
      <c r="I663" s="3"/>
      <c r="J663" s="3"/>
      <c r="K663" s="3"/>
      <c r="L663" s="54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80"/>
      <c r="F664" s="54"/>
      <c r="G664" s="3"/>
      <c r="H664" s="3"/>
      <c r="I664" s="3"/>
      <c r="J664" s="3"/>
      <c r="K664" s="3"/>
      <c r="L664" s="54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80"/>
      <c r="F665" s="54"/>
      <c r="G665" s="3"/>
      <c r="H665" s="3"/>
      <c r="I665" s="3"/>
      <c r="J665" s="3"/>
      <c r="K665" s="3"/>
      <c r="L665" s="54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80"/>
      <c r="F666" s="54"/>
      <c r="G666" s="3"/>
      <c r="H666" s="3"/>
      <c r="I666" s="3"/>
      <c r="J666" s="3"/>
      <c r="K666" s="3"/>
      <c r="L666" s="54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80"/>
      <c r="F667" s="54"/>
      <c r="G667" s="3"/>
      <c r="H667" s="3"/>
      <c r="I667" s="3"/>
      <c r="J667" s="3"/>
      <c r="K667" s="3"/>
      <c r="L667" s="54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80"/>
      <c r="F668" s="54"/>
      <c r="G668" s="3"/>
      <c r="H668" s="3"/>
      <c r="I668" s="3"/>
      <c r="J668" s="3"/>
      <c r="K668" s="3"/>
      <c r="L668" s="54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80"/>
      <c r="F669" s="54"/>
      <c r="G669" s="3"/>
      <c r="H669" s="3"/>
      <c r="I669" s="3"/>
      <c r="J669" s="3"/>
      <c r="K669" s="3"/>
      <c r="L669" s="54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80"/>
      <c r="F670" s="54"/>
      <c r="G670" s="3"/>
      <c r="H670" s="3"/>
      <c r="I670" s="3"/>
      <c r="J670" s="3"/>
      <c r="K670" s="3"/>
      <c r="L670" s="54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80"/>
      <c r="F671" s="54"/>
      <c r="G671" s="3"/>
      <c r="H671" s="3"/>
      <c r="I671" s="3"/>
      <c r="J671" s="3"/>
      <c r="K671" s="3"/>
      <c r="L671" s="54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80"/>
      <c r="F672" s="54"/>
      <c r="G672" s="3"/>
      <c r="H672" s="3"/>
      <c r="I672" s="3"/>
      <c r="J672" s="3"/>
      <c r="K672" s="3"/>
      <c r="L672" s="54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80"/>
      <c r="F673" s="54"/>
      <c r="G673" s="3"/>
      <c r="H673" s="3"/>
      <c r="I673" s="3"/>
      <c r="J673" s="3"/>
      <c r="K673" s="3"/>
      <c r="L673" s="54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80"/>
      <c r="F674" s="54"/>
      <c r="G674" s="3"/>
      <c r="H674" s="3"/>
      <c r="I674" s="3"/>
      <c r="J674" s="3"/>
      <c r="K674" s="3"/>
      <c r="L674" s="54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80"/>
      <c r="F675" s="54"/>
      <c r="G675" s="3"/>
      <c r="H675" s="3"/>
      <c r="I675" s="3"/>
      <c r="J675" s="3"/>
      <c r="K675" s="3"/>
      <c r="L675" s="54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80"/>
      <c r="F676" s="54"/>
      <c r="G676" s="3"/>
      <c r="H676" s="3"/>
      <c r="I676" s="3"/>
      <c r="J676" s="3"/>
      <c r="K676" s="3"/>
      <c r="L676" s="54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80"/>
      <c r="F677" s="54"/>
      <c r="G677" s="3"/>
      <c r="H677" s="3"/>
      <c r="I677" s="3"/>
      <c r="J677" s="3"/>
      <c r="K677" s="3"/>
      <c r="L677" s="54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80"/>
      <c r="F678" s="54"/>
      <c r="G678" s="3"/>
      <c r="H678" s="3"/>
      <c r="I678" s="3"/>
      <c r="J678" s="3"/>
      <c r="K678" s="3"/>
      <c r="L678" s="54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80"/>
      <c r="F679" s="54"/>
      <c r="G679" s="3"/>
      <c r="H679" s="3"/>
      <c r="I679" s="3"/>
      <c r="J679" s="3"/>
      <c r="K679" s="3"/>
      <c r="L679" s="54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80"/>
      <c r="F680" s="54"/>
      <c r="G680" s="3"/>
      <c r="H680" s="3"/>
      <c r="I680" s="3"/>
      <c r="J680" s="3"/>
      <c r="K680" s="3"/>
      <c r="L680" s="54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80"/>
      <c r="F681" s="54"/>
      <c r="G681" s="3"/>
      <c r="H681" s="3"/>
      <c r="I681" s="3"/>
      <c r="J681" s="3"/>
      <c r="K681" s="3"/>
      <c r="L681" s="54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80"/>
      <c r="F682" s="54"/>
      <c r="G682" s="3"/>
      <c r="H682" s="3"/>
      <c r="I682" s="3"/>
      <c r="J682" s="3"/>
      <c r="K682" s="3"/>
      <c r="L682" s="54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80"/>
      <c r="F683" s="54"/>
      <c r="G683" s="3"/>
      <c r="H683" s="3"/>
      <c r="I683" s="3"/>
      <c r="J683" s="3"/>
      <c r="K683" s="3"/>
      <c r="L683" s="54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80"/>
      <c r="F684" s="54"/>
      <c r="G684" s="3"/>
      <c r="H684" s="3"/>
      <c r="I684" s="3"/>
      <c r="J684" s="3"/>
      <c r="K684" s="3"/>
      <c r="L684" s="54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80"/>
      <c r="F685" s="54"/>
      <c r="G685" s="3"/>
      <c r="H685" s="3"/>
      <c r="I685" s="3"/>
      <c r="J685" s="3"/>
      <c r="K685" s="3"/>
      <c r="L685" s="54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80"/>
      <c r="F686" s="54"/>
      <c r="G686" s="3"/>
      <c r="H686" s="3"/>
      <c r="I686" s="3"/>
      <c r="J686" s="3"/>
      <c r="K686" s="3"/>
      <c r="L686" s="54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80"/>
      <c r="F687" s="54"/>
      <c r="G687" s="3"/>
      <c r="H687" s="3"/>
      <c r="I687" s="3"/>
      <c r="J687" s="3"/>
      <c r="K687" s="3"/>
      <c r="L687" s="54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80"/>
      <c r="F688" s="54"/>
      <c r="G688" s="3"/>
      <c r="H688" s="3"/>
      <c r="I688" s="3"/>
      <c r="J688" s="3"/>
      <c r="K688" s="3"/>
      <c r="L688" s="54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80"/>
      <c r="F689" s="54"/>
      <c r="G689" s="3"/>
      <c r="H689" s="3"/>
      <c r="I689" s="3"/>
      <c r="J689" s="3"/>
      <c r="K689" s="3"/>
      <c r="L689" s="54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80"/>
      <c r="F690" s="54"/>
      <c r="G690" s="3"/>
      <c r="H690" s="3"/>
      <c r="I690" s="3"/>
      <c r="J690" s="3"/>
      <c r="K690" s="3"/>
      <c r="L690" s="54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80"/>
      <c r="F691" s="54"/>
      <c r="G691" s="3"/>
      <c r="H691" s="3"/>
      <c r="I691" s="3"/>
      <c r="J691" s="3"/>
      <c r="K691" s="3"/>
      <c r="L691" s="54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80"/>
      <c r="F692" s="54"/>
      <c r="G692" s="3"/>
      <c r="H692" s="3"/>
      <c r="I692" s="3"/>
      <c r="J692" s="3"/>
      <c r="K692" s="3"/>
      <c r="L692" s="54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80"/>
      <c r="F693" s="54"/>
      <c r="G693" s="3"/>
      <c r="H693" s="3"/>
      <c r="I693" s="3"/>
      <c r="J693" s="3"/>
      <c r="K693" s="3"/>
      <c r="L693" s="54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80"/>
      <c r="F694" s="54"/>
      <c r="G694" s="3"/>
      <c r="H694" s="3"/>
      <c r="I694" s="3"/>
      <c r="J694" s="3"/>
      <c r="K694" s="3"/>
      <c r="L694" s="54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80"/>
      <c r="F695" s="54"/>
      <c r="G695" s="3"/>
      <c r="H695" s="3"/>
      <c r="I695" s="3"/>
      <c r="J695" s="3"/>
      <c r="K695" s="3"/>
      <c r="L695" s="54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80"/>
      <c r="F696" s="54"/>
      <c r="G696" s="3"/>
      <c r="H696" s="3"/>
      <c r="I696" s="3"/>
      <c r="J696" s="3"/>
      <c r="K696" s="3"/>
      <c r="L696" s="54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80"/>
      <c r="F697" s="54"/>
      <c r="G697" s="3"/>
      <c r="H697" s="3"/>
      <c r="I697" s="3"/>
      <c r="J697" s="3"/>
      <c r="K697" s="3"/>
      <c r="L697" s="54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80"/>
      <c r="F698" s="54"/>
      <c r="G698" s="3"/>
      <c r="H698" s="3"/>
      <c r="I698" s="3"/>
      <c r="J698" s="3"/>
      <c r="K698" s="3"/>
      <c r="L698" s="54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80"/>
      <c r="F699" s="54"/>
      <c r="G699" s="3"/>
      <c r="H699" s="3"/>
      <c r="I699" s="3"/>
      <c r="J699" s="3"/>
      <c r="K699" s="3"/>
      <c r="L699" s="54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80"/>
      <c r="F700" s="54"/>
      <c r="G700" s="3"/>
      <c r="H700" s="3"/>
      <c r="I700" s="3"/>
      <c r="J700" s="3"/>
      <c r="K700" s="3"/>
      <c r="L700" s="54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80"/>
      <c r="F701" s="54"/>
      <c r="G701" s="3"/>
      <c r="H701" s="3"/>
      <c r="I701" s="3"/>
      <c r="J701" s="3"/>
      <c r="K701" s="3"/>
      <c r="L701" s="54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80"/>
      <c r="F702" s="54"/>
      <c r="G702" s="3"/>
      <c r="H702" s="3"/>
      <c r="I702" s="3"/>
      <c r="J702" s="3"/>
      <c r="K702" s="3"/>
      <c r="L702" s="54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80"/>
      <c r="F703" s="54"/>
      <c r="G703" s="3"/>
      <c r="H703" s="3"/>
      <c r="I703" s="3"/>
      <c r="J703" s="3"/>
      <c r="K703" s="3"/>
      <c r="L703" s="54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80"/>
      <c r="F704" s="54"/>
      <c r="G704" s="3"/>
      <c r="H704" s="3"/>
      <c r="I704" s="3"/>
      <c r="J704" s="3"/>
      <c r="K704" s="3"/>
      <c r="L704" s="54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80"/>
      <c r="F705" s="54"/>
      <c r="G705" s="3"/>
      <c r="H705" s="3"/>
      <c r="I705" s="3"/>
      <c r="J705" s="3"/>
      <c r="K705" s="3"/>
      <c r="L705" s="54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80"/>
      <c r="F706" s="54"/>
      <c r="G706" s="3"/>
      <c r="H706" s="3"/>
      <c r="I706" s="3"/>
      <c r="J706" s="3"/>
      <c r="K706" s="3"/>
      <c r="L706" s="54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80"/>
      <c r="F707" s="54"/>
      <c r="G707" s="3"/>
      <c r="H707" s="3"/>
      <c r="I707" s="3"/>
      <c r="J707" s="3"/>
      <c r="K707" s="3"/>
      <c r="L707" s="54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80"/>
      <c r="F708" s="54"/>
      <c r="G708" s="3"/>
      <c r="H708" s="3"/>
      <c r="I708" s="3"/>
      <c r="J708" s="3"/>
      <c r="K708" s="3"/>
      <c r="L708" s="54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80"/>
      <c r="F709" s="54"/>
      <c r="G709" s="3"/>
      <c r="H709" s="3"/>
      <c r="I709" s="3"/>
      <c r="J709" s="3"/>
      <c r="K709" s="3"/>
      <c r="L709" s="54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80"/>
      <c r="F710" s="54"/>
      <c r="G710" s="3"/>
      <c r="H710" s="3"/>
      <c r="I710" s="3"/>
      <c r="J710" s="3"/>
      <c r="K710" s="3"/>
      <c r="L710" s="54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80"/>
      <c r="F711" s="54"/>
      <c r="G711" s="3"/>
      <c r="H711" s="3"/>
      <c r="I711" s="3"/>
      <c r="J711" s="3"/>
      <c r="K711" s="3"/>
      <c r="L711" s="54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80"/>
      <c r="F712" s="54"/>
      <c r="G712" s="3"/>
      <c r="H712" s="3"/>
      <c r="I712" s="3"/>
      <c r="J712" s="3"/>
      <c r="K712" s="3"/>
      <c r="L712" s="54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80"/>
      <c r="F713" s="54"/>
      <c r="G713" s="3"/>
      <c r="H713" s="3"/>
      <c r="I713" s="3"/>
      <c r="J713" s="3"/>
      <c r="K713" s="3"/>
      <c r="L713" s="54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80"/>
      <c r="F714" s="54"/>
      <c r="G714" s="3"/>
      <c r="H714" s="3"/>
      <c r="I714" s="3"/>
      <c r="J714" s="3"/>
      <c r="K714" s="3"/>
      <c r="L714" s="54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80"/>
      <c r="F715" s="54"/>
      <c r="G715" s="3"/>
      <c r="H715" s="3"/>
      <c r="I715" s="3"/>
      <c r="J715" s="3"/>
      <c r="K715" s="3"/>
      <c r="L715" s="54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80"/>
      <c r="F716" s="54"/>
      <c r="G716" s="3"/>
      <c r="H716" s="3"/>
      <c r="I716" s="3"/>
      <c r="J716" s="3"/>
      <c r="K716" s="3"/>
      <c r="L716" s="54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80"/>
      <c r="F717" s="54"/>
      <c r="G717" s="3"/>
      <c r="H717" s="3"/>
      <c r="I717" s="3"/>
      <c r="J717" s="3"/>
      <c r="K717" s="3"/>
      <c r="L717" s="54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80"/>
      <c r="F718" s="54"/>
      <c r="G718" s="3"/>
      <c r="H718" s="3"/>
      <c r="I718" s="3"/>
      <c r="J718" s="3"/>
      <c r="K718" s="3"/>
      <c r="L718" s="54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80"/>
      <c r="F719" s="54"/>
      <c r="G719" s="3"/>
      <c r="H719" s="3"/>
      <c r="I719" s="3"/>
      <c r="J719" s="3"/>
      <c r="K719" s="3"/>
      <c r="L719" s="54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80"/>
      <c r="F720" s="54"/>
      <c r="G720" s="3"/>
      <c r="H720" s="3"/>
      <c r="I720" s="3"/>
      <c r="J720" s="3"/>
      <c r="K720" s="3"/>
      <c r="L720" s="54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80"/>
      <c r="F721" s="54"/>
      <c r="G721" s="3"/>
      <c r="H721" s="3"/>
      <c r="I721" s="3"/>
      <c r="J721" s="3"/>
      <c r="K721" s="3"/>
      <c r="L721" s="54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80"/>
      <c r="F722" s="54"/>
      <c r="G722" s="3"/>
      <c r="H722" s="3"/>
      <c r="I722" s="3"/>
      <c r="J722" s="3"/>
      <c r="K722" s="3"/>
      <c r="L722" s="54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80"/>
      <c r="F723" s="54"/>
      <c r="G723" s="3"/>
      <c r="H723" s="3"/>
      <c r="I723" s="3"/>
      <c r="J723" s="3"/>
      <c r="K723" s="3"/>
      <c r="L723" s="54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80"/>
      <c r="F724" s="54"/>
      <c r="G724" s="3"/>
      <c r="H724" s="3"/>
      <c r="I724" s="3"/>
      <c r="J724" s="3"/>
      <c r="K724" s="3"/>
      <c r="L724" s="54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80"/>
      <c r="F725" s="54"/>
      <c r="G725" s="3"/>
      <c r="H725" s="3"/>
      <c r="I725" s="3"/>
      <c r="J725" s="3"/>
      <c r="K725" s="3"/>
      <c r="L725" s="54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80"/>
      <c r="F726" s="54"/>
      <c r="G726" s="3"/>
      <c r="H726" s="3"/>
      <c r="I726" s="3"/>
      <c r="J726" s="3"/>
      <c r="K726" s="3"/>
      <c r="L726" s="54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80"/>
      <c r="F727" s="54"/>
      <c r="G727" s="3"/>
      <c r="H727" s="3"/>
      <c r="I727" s="3"/>
      <c r="J727" s="3"/>
      <c r="K727" s="3"/>
      <c r="L727" s="54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80"/>
      <c r="F728" s="54"/>
      <c r="G728" s="3"/>
      <c r="H728" s="3"/>
      <c r="I728" s="3"/>
      <c r="J728" s="3"/>
      <c r="K728" s="3"/>
      <c r="L728" s="54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80"/>
      <c r="F729" s="54"/>
      <c r="G729" s="3"/>
      <c r="H729" s="3"/>
      <c r="I729" s="3"/>
      <c r="J729" s="3"/>
      <c r="K729" s="3"/>
      <c r="L729" s="54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80"/>
      <c r="F730" s="54"/>
      <c r="G730" s="3"/>
      <c r="H730" s="3"/>
      <c r="I730" s="3"/>
      <c r="J730" s="3"/>
      <c r="K730" s="3"/>
      <c r="L730" s="54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80"/>
      <c r="F731" s="54"/>
      <c r="G731" s="3"/>
      <c r="H731" s="3"/>
      <c r="I731" s="3"/>
      <c r="J731" s="3"/>
      <c r="K731" s="3"/>
      <c r="L731" s="54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80"/>
      <c r="F732" s="54"/>
      <c r="G732" s="3"/>
      <c r="H732" s="3"/>
      <c r="I732" s="3"/>
      <c r="J732" s="3"/>
      <c r="K732" s="3"/>
      <c r="L732" s="54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80"/>
      <c r="F733" s="54"/>
      <c r="G733" s="3"/>
      <c r="H733" s="3"/>
      <c r="I733" s="3"/>
      <c r="J733" s="3"/>
      <c r="K733" s="3"/>
      <c r="L733" s="54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80"/>
      <c r="F734" s="54"/>
      <c r="G734" s="3"/>
      <c r="H734" s="3"/>
      <c r="I734" s="3"/>
      <c r="J734" s="3"/>
      <c r="K734" s="3"/>
      <c r="L734" s="54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80"/>
      <c r="F735" s="54"/>
      <c r="G735" s="3"/>
      <c r="H735" s="3"/>
      <c r="I735" s="3"/>
      <c r="J735" s="3"/>
      <c r="K735" s="3"/>
      <c r="L735" s="54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80"/>
      <c r="F736" s="54"/>
      <c r="G736" s="3"/>
      <c r="H736" s="3"/>
      <c r="I736" s="3"/>
      <c r="J736" s="3"/>
      <c r="K736" s="3"/>
      <c r="L736" s="54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80"/>
      <c r="F737" s="54"/>
      <c r="G737" s="3"/>
      <c r="H737" s="3"/>
      <c r="I737" s="3"/>
      <c r="J737" s="3"/>
      <c r="K737" s="3"/>
      <c r="L737" s="54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80"/>
      <c r="F738" s="54"/>
      <c r="G738" s="3"/>
      <c r="H738" s="3"/>
      <c r="I738" s="3"/>
      <c r="J738" s="3"/>
      <c r="K738" s="3"/>
      <c r="L738" s="54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80"/>
      <c r="F739" s="54"/>
      <c r="G739" s="3"/>
      <c r="H739" s="3"/>
      <c r="I739" s="3"/>
      <c r="J739" s="3"/>
      <c r="K739" s="3"/>
      <c r="L739" s="54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80"/>
      <c r="F740" s="54"/>
      <c r="G740" s="3"/>
      <c r="H740" s="3"/>
      <c r="I740" s="3"/>
      <c r="J740" s="3"/>
      <c r="K740" s="3"/>
      <c r="L740" s="54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80"/>
      <c r="F741" s="54"/>
      <c r="G741" s="3"/>
      <c r="H741" s="3"/>
      <c r="I741" s="3"/>
      <c r="J741" s="3"/>
      <c r="K741" s="3"/>
      <c r="L741" s="54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80"/>
      <c r="F742" s="54"/>
      <c r="G742" s="3"/>
      <c r="H742" s="3"/>
      <c r="I742" s="3"/>
      <c r="J742" s="3"/>
      <c r="K742" s="3"/>
      <c r="L742" s="54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80"/>
      <c r="F743" s="54"/>
      <c r="G743" s="3"/>
      <c r="H743" s="3"/>
      <c r="I743" s="3"/>
      <c r="J743" s="3"/>
      <c r="K743" s="3"/>
      <c r="L743" s="54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80"/>
      <c r="F744" s="54"/>
      <c r="G744" s="3"/>
      <c r="H744" s="3"/>
      <c r="I744" s="3"/>
      <c r="J744" s="3"/>
      <c r="K744" s="3"/>
      <c r="L744" s="54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80"/>
      <c r="F745" s="54"/>
      <c r="G745" s="3"/>
      <c r="H745" s="3"/>
      <c r="I745" s="3"/>
      <c r="J745" s="3"/>
      <c r="K745" s="3"/>
      <c r="L745" s="54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80"/>
      <c r="F746" s="54"/>
      <c r="G746" s="3"/>
      <c r="H746" s="3"/>
      <c r="I746" s="3"/>
      <c r="J746" s="3"/>
      <c r="K746" s="3"/>
      <c r="L746" s="54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80"/>
      <c r="F747" s="54"/>
      <c r="G747" s="3"/>
      <c r="H747" s="3"/>
      <c r="I747" s="3"/>
      <c r="J747" s="3"/>
      <c r="K747" s="3"/>
      <c r="L747" s="54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80"/>
      <c r="F748" s="54"/>
      <c r="G748" s="3"/>
      <c r="H748" s="3"/>
      <c r="I748" s="3"/>
      <c r="J748" s="3"/>
      <c r="K748" s="3"/>
      <c r="L748" s="54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80"/>
      <c r="F749" s="54"/>
      <c r="G749" s="3"/>
      <c r="H749" s="3"/>
      <c r="I749" s="3"/>
      <c r="J749" s="3"/>
      <c r="K749" s="3"/>
      <c r="L749" s="54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80"/>
      <c r="F750" s="54"/>
      <c r="G750" s="3"/>
      <c r="H750" s="3"/>
      <c r="I750" s="3"/>
      <c r="J750" s="3"/>
      <c r="K750" s="3"/>
      <c r="L750" s="54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80"/>
      <c r="F751" s="54"/>
      <c r="G751" s="3"/>
      <c r="H751" s="3"/>
      <c r="I751" s="3"/>
      <c r="J751" s="3"/>
      <c r="K751" s="3"/>
      <c r="L751" s="54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80"/>
      <c r="F752" s="54"/>
      <c r="G752" s="3"/>
      <c r="H752" s="3"/>
      <c r="I752" s="3"/>
      <c r="J752" s="3"/>
      <c r="K752" s="3"/>
      <c r="L752" s="54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80"/>
      <c r="F753" s="54"/>
      <c r="G753" s="3"/>
      <c r="H753" s="3"/>
      <c r="I753" s="3"/>
      <c r="J753" s="3"/>
      <c r="K753" s="3"/>
      <c r="L753" s="54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80"/>
      <c r="F754" s="54"/>
      <c r="G754" s="3"/>
      <c r="H754" s="3"/>
      <c r="I754" s="3"/>
      <c r="J754" s="3"/>
      <c r="K754" s="3"/>
      <c r="L754" s="54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80"/>
      <c r="F755" s="54"/>
      <c r="G755" s="3"/>
      <c r="H755" s="3"/>
      <c r="I755" s="3"/>
      <c r="J755" s="3"/>
      <c r="K755" s="3"/>
      <c r="L755" s="54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80"/>
      <c r="F756" s="54"/>
      <c r="G756" s="3"/>
      <c r="H756" s="3"/>
      <c r="I756" s="3"/>
      <c r="J756" s="3"/>
      <c r="K756" s="3"/>
      <c r="L756" s="54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80"/>
      <c r="F757" s="54"/>
      <c r="G757" s="3"/>
      <c r="H757" s="3"/>
      <c r="I757" s="3"/>
      <c r="J757" s="3"/>
      <c r="K757" s="3"/>
      <c r="L757" s="54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80"/>
      <c r="F758" s="54"/>
      <c r="G758" s="3"/>
      <c r="H758" s="3"/>
      <c r="I758" s="3"/>
      <c r="J758" s="3"/>
      <c r="K758" s="3"/>
      <c r="L758" s="54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80"/>
      <c r="F759" s="54"/>
      <c r="G759" s="3"/>
      <c r="H759" s="3"/>
      <c r="I759" s="3"/>
      <c r="J759" s="3"/>
      <c r="K759" s="3"/>
      <c r="L759" s="54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80"/>
      <c r="F760" s="54"/>
      <c r="G760" s="3"/>
      <c r="H760" s="3"/>
      <c r="I760" s="3"/>
      <c r="J760" s="3"/>
      <c r="K760" s="3"/>
      <c r="L760" s="54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80"/>
      <c r="F761" s="54"/>
      <c r="G761" s="3"/>
      <c r="H761" s="3"/>
      <c r="I761" s="3"/>
      <c r="J761" s="3"/>
      <c r="K761" s="3"/>
      <c r="L761" s="54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80"/>
      <c r="F762" s="54"/>
      <c r="G762" s="3"/>
      <c r="H762" s="3"/>
      <c r="I762" s="3"/>
      <c r="J762" s="3"/>
      <c r="K762" s="3"/>
      <c r="L762" s="54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80"/>
      <c r="F763" s="54"/>
      <c r="G763" s="3"/>
      <c r="H763" s="3"/>
      <c r="I763" s="3"/>
      <c r="J763" s="3"/>
      <c r="K763" s="3"/>
      <c r="L763" s="54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80"/>
      <c r="F764" s="54"/>
      <c r="G764" s="3"/>
      <c r="H764" s="3"/>
      <c r="I764" s="3"/>
      <c r="J764" s="3"/>
      <c r="K764" s="3"/>
      <c r="L764" s="54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80"/>
      <c r="F765" s="54"/>
      <c r="G765" s="3"/>
      <c r="H765" s="3"/>
      <c r="I765" s="3"/>
      <c r="J765" s="3"/>
      <c r="K765" s="3"/>
      <c r="L765" s="54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80"/>
      <c r="F766" s="54"/>
      <c r="G766" s="3"/>
      <c r="H766" s="3"/>
      <c r="I766" s="3"/>
      <c r="J766" s="3"/>
      <c r="K766" s="3"/>
      <c r="L766" s="54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80"/>
      <c r="F767" s="54"/>
      <c r="G767" s="3"/>
      <c r="H767" s="3"/>
      <c r="I767" s="3"/>
      <c r="J767" s="3"/>
      <c r="K767" s="3"/>
      <c r="L767" s="54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80"/>
      <c r="F768" s="54"/>
      <c r="G768" s="3"/>
      <c r="H768" s="3"/>
      <c r="I768" s="3"/>
      <c r="J768" s="3"/>
      <c r="K768" s="3"/>
      <c r="L768" s="54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80"/>
      <c r="F769" s="54"/>
      <c r="G769" s="3"/>
      <c r="H769" s="3"/>
      <c r="I769" s="3"/>
      <c r="J769" s="3"/>
      <c r="K769" s="3"/>
      <c r="L769" s="54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80"/>
      <c r="F770" s="54"/>
      <c r="G770" s="3"/>
      <c r="H770" s="3"/>
      <c r="I770" s="3"/>
      <c r="J770" s="3"/>
      <c r="K770" s="3"/>
      <c r="L770" s="54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80"/>
      <c r="F771" s="54"/>
      <c r="G771" s="3"/>
      <c r="H771" s="3"/>
      <c r="I771" s="3"/>
      <c r="J771" s="3"/>
      <c r="K771" s="3"/>
      <c r="L771" s="54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80"/>
      <c r="F772" s="54"/>
      <c r="G772" s="3"/>
      <c r="H772" s="3"/>
      <c r="I772" s="3"/>
      <c r="J772" s="3"/>
      <c r="K772" s="3"/>
      <c r="L772" s="54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80"/>
      <c r="F773" s="54"/>
      <c r="G773" s="3"/>
      <c r="H773" s="3"/>
      <c r="I773" s="3"/>
      <c r="J773" s="3"/>
      <c r="K773" s="3"/>
      <c r="L773" s="54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80"/>
      <c r="F774" s="54"/>
      <c r="G774" s="3"/>
      <c r="H774" s="3"/>
      <c r="I774" s="3"/>
      <c r="J774" s="3"/>
      <c r="K774" s="3"/>
      <c r="L774" s="54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80"/>
      <c r="F775" s="54"/>
      <c r="G775" s="3"/>
      <c r="H775" s="3"/>
      <c r="I775" s="3"/>
      <c r="J775" s="3"/>
      <c r="K775" s="3"/>
      <c r="L775" s="54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80"/>
      <c r="F776" s="54"/>
      <c r="G776" s="3"/>
      <c r="H776" s="3"/>
      <c r="I776" s="3"/>
      <c r="J776" s="3"/>
      <c r="K776" s="3"/>
      <c r="L776" s="54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80"/>
      <c r="F777" s="54"/>
      <c r="G777" s="3"/>
      <c r="H777" s="3"/>
      <c r="I777" s="3"/>
      <c r="J777" s="3"/>
      <c r="K777" s="3"/>
      <c r="L777" s="54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80"/>
      <c r="F778" s="54"/>
      <c r="G778" s="3"/>
      <c r="H778" s="3"/>
      <c r="I778" s="3"/>
      <c r="J778" s="3"/>
      <c r="K778" s="3"/>
      <c r="L778" s="54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80"/>
      <c r="F779" s="54"/>
      <c r="G779" s="3"/>
      <c r="H779" s="3"/>
      <c r="I779" s="3"/>
      <c r="J779" s="3"/>
      <c r="K779" s="3"/>
      <c r="L779" s="54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80"/>
      <c r="F780" s="54"/>
      <c r="G780" s="3"/>
      <c r="H780" s="3"/>
      <c r="I780" s="3"/>
      <c r="J780" s="3"/>
      <c r="K780" s="3"/>
      <c r="L780" s="54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80"/>
      <c r="F781" s="54"/>
      <c r="G781" s="3"/>
      <c r="H781" s="3"/>
      <c r="I781" s="3"/>
      <c r="J781" s="3"/>
      <c r="K781" s="3"/>
      <c r="L781" s="54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80"/>
      <c r="F782" s="54"/>
      <c r="G782" s="3"/>
      <c r="H782" s="3"/>
      <c r="I782" s="3"/>
      <c r="J782" s="3"/>
      <c r="K782" s="3"/>
      <c r="L782" s="54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80"/>
      <c r="F783" s="54"/>
      <c r="G783" s="3"/>
      <c r="H783" s="3"/>
      <c r="I783" s="3"/>
      <c r="J783" s="3"/>
      <c r="K783" s="3"/>
      <c r="L783" s="54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80"/>
      <c r="F784" s="54"/>
      <c r="G784" s="3"/>
      <c r="H784" s="3"/>
      <c r="I784" s="3"/>
      <c r="J784" s="3"/>
      <c r="K784" s="3"/>
      <c r="L784" s="54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80"/>
      <c r="F785" s="54"/>
      <c r="G785" s="3"/>
      <c r="H785" s="3"/>
      <c r="I785" s="3"/>
      <c r="J785" s="3"/>
      <c r="K785" s="3"/>
      <c r="L785" s="54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80"/>
      <c r="F786" s="54"/>
      <c r="G786" s="3"/>
      <c r="H786" s="3"/>
      <c r="I786" s="3"/>
      <c r="J786" s="3"/>
      <c r="K786" s="3"/>
      <c r="L786" s="54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80"/>
      <c r="F787" s="54"/>
      <c r="G787" s="3"/>
      <c r="H787" s="3"/>
      <c r="I787" s="3"/>
      <c r="J787" s="3"/>
      <c r="K787" s="3"/>
      <c r="L787" s="54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80"/>
      <c r="F788" s="54"/>
      <c r="G788" s="3"/>
      <c r="H788" s="3"/>
      <c r="I788" s="3"/>
      <c r="J788" s="3"/>
      <c r="K788" s="3"/>
      <c r="L788" s="54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80"/>
      <c r="F789" s="54"/>
      <c r="G789" s="3"/>
      <c r="H789" s="3"/>
      <c r="I789" s="3"/>
      <c r="J789" s="3"/>
      <c r="K789" s="3"/>
      <c r="L789" s="54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80"/>
      <c r="F790" s="54"/>
      <c r="G790" s="3"/>
      <c r="H790" s="3"/>
      <c r="I790" s="3"/>
      <c r="J790" s="3"/>
      <c r="K790" s="3"/>
      <c r="L790" s="54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80"/>
      <c r="F791" s="54"/>
      <c r="G791" s="3"/>
      <c r="H791" s="3"/>
      <c r="I791" s="3"/>
      <c r="J791" s="3"/>
      <c r="K791" s="3"/>
      <c r="L791" s="54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80"/>
      <c r="F792" s="54"/>
      <c r="G792" s="3"/>
      <c r="H792" s="3"/>
      <c r="I792" s="3"/>
      <c r="J792" s="3"/>
      <c r="K792" s="3"/>
      <c r="L792" s="54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80"/>
      <c r="F793" s="54"/>
      <c r="G793" s="3"/>
      <c r="H793" s="3"/>
      <c r="I793" s="3"/>
      <c r="J793" s="3"/>
      <c r="K793" s="3"/>
      <c r="L793" s="54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80"/>
      <c r="F794" s="54"/>
      <c r="G794" s="3"/>
      <c r="H794" s="3"/>
      <c r="I794" s="3"/>
      <c r="J794" s="3"/>
      <c r="K794" s="3"/>
      <c r="L794" s="54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80"/>
      <c r="F795" s="54"/>
      <c r="G795" s="3"/>
      <c r="H795" s="3"/>
      <c r="I795" s="3"/>
      <c r="J795" s="3"/>
      <c r="K795" s="3"/>
      <c r="L795" s="54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80"/>
      <c r="F796" s="54"/>
      <c r="G796" s="3"/>
      <c r="H796" s="3"/>
      <c r="I796" s="3"/>
      <c r="J796" s="3"/>
      <c r="K796" s="3"/>
      <c r="L796" s="54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80"/>
      <c r="F797" s="54"/>
      <c r="G797" s="3"/>
      <c r="H797" s="3"/>
      <c r="I797" s="3"/>
      <c r="J797" s="3"/>
      <c r="K797" s="3"/>
      <c r="L797" s="54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80"/>
      <c r="F798" s="54"/>
      <c r="G798" s="3"/>
      <c r="H798" s="3"/>
      <c r="I798" s="3"/>
      <c r="J798" s="3"/>
      <c r="K798" s="3"/>
      <c r="L798" s="54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80"/>
      <c r="F799" s="54"/>
      <c r="G799" s="3"/>
      <c r="H799" s="3"/>
      <c r="I799" s="3"/>
      <c r="J799" s="3"/>
      <c r="K799" s="3"/>
      <c r="L799" s="54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80"/>
      <c r="F800" s="54"/>
      <c r="G800" s="3"/>
      <c r="H800" s="3"/>
      <c r="I800" s="3"/>
      <c r="J800" s="3"/>
      <c r="K800" s="3"/>
      <c r="L800" s="54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80"/>
      <c r="F801" s="54"/>
      <c r="G801" s="3"/>
      <c r="H801" s="3"/>
      <c r="I801" s="3"/>
      <c r="J801" s="3"/>
      <c r="K801" s="3"/>
      <c r="L801" s="54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80"/>
      <c r="F802" s="54"/>
      <c r="G802" s="3"/>
      <c r="H802" s="3"/>
      <c r="I802" s="3"/>
      <c r="J802" s="3"/>
      <c r="K802" s="3"/>
      <c r="L802" s="54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80"/>
      <c r="F803" s="54"/>
      <c r="G803" s="3"/>
      <c r="H803" s="3"/>
      <c r="I803" s="3"/>
      <c r="J803" s="3"/>
      <c r="K803" s="3"/>
      <c r="L803" s="54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80"/>
      <c r="F804" s="54"/>
      <c r="G804" s="3"/>
      <c r="H804" s="3"/>
      <c r="I804" s="3"/>
      <c r="J804" s="3"/>
      <c r="K804" s="3"/>
      <c r="L804" s="54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80"/>
      <c r="F805" s="54"/>
      <c r="G805" s="3"/>
      <c r="H805" s="3"/>
      <c r="I805" s="3"/>
      <c r="J805" s="3"/>
      <c r="K805" s="3"/>
      <c r="L805" s="54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80"/>
      <c r="F806" s="54"/>
      <c r="G806" s="3"/>
      <c r="H806" s="3"/>
      <c r="I806" s="3"/>
      <c r="J806" s="3"/>
      <c r="K806" s="3"/>
      <c r="L806" s="54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80"/>
      <c r="F807" s="54"/>
      <c r="G807" s="3"/>
      <c r="H807" s="3"/>
      <c r="I807" s="3"/>
      <c r="J807" s="3"/>
      <c r="K807" s="3"/>
      <c r="L807" s="54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80"/>
      <c r="F808" s="54"/>
      <c r="G808" s="3"/>
      <c r="H808" s="3"/>
      <c r="I808" s="3"/>
      <c r="J808" s="3"/>
      <c r="K808" s="3"/>
      <c r="L808" s="54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80"/>
      <c r="F809" s="54"/>
      <c r="G809" s="3"/>
      <c r="H809" s="3"/>
      <c r="I809" s="3"/>
      <c r="J809" s="3"/>
      <c r="K809" s="3"/>
      <c r="L809" s="54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80"/>
      <c r="F810" s="54"/>
      <c r="G810" s="3"/>
      <c r="H810" s="3"/>
      <c r="I810" s="3"/>
      <c r="J810" s="3"/>
      <c r="K810" s="3"/>
      <c r="L810" s="54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80"/>
      <c r="F811" s="54"/>
      <c r="G811" s="3"/>
      <c r="H811" s="3"/>
      <c r="I811" s="3"/>
      <c r="J811" s="3"/>
      <c r="K811" s="3"/>
      <c r="L811" s="54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80"/>
      <c r="F812" s="54"/>
      <c r="G812" s="3"/>
      <c r="H812" s="3"/>
      <c r="I812" s="3"/>
      <c r="J812" s="3"/>
      <c r="K812" s="3"/>
      <c r="L812" s="54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80"/>
      <c r="F813" s="54"/>
      <c r="G813" s="3"/>
      <c r="H813" s="3"/>
      <c r="I813" s="3"/>
      <c r="J813" s="3"/>
      <c r="K813" s="3"/>
      <c r="L813" s="54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80"/>
      <c r="F814" s="54"/>
      <c r="G814" s="3"/>
      <c r="H814" s="3"/>
      <c r="I814" s="3"/>
      <c r="J814" s="3"/>
      <c r="K814" s="3"/>
      <c r="L814" s="54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80"/>
      <c r="F815" s="54"/>
      <c r="G815" s="3"/>
      <c r="H815" s="3"/>
      <c r="I815" s="3"/>
      <c r="J815" s="3"/>
      <c r="K815" s="3"/>
      <c r="L815" s="54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80"/>
      <c r="F816" s="54"/>
      <c r="G816" s="3"/>
      <c r="H816" s="3"/>
      <c r="I816" s="3"/>
      <c r="J816" s="3"/>
      <c r="K816" s="3"/>
      <c r="L816" s="54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80"/>
      <c r="F817" s="54"/>
      <c r="G817" s="3"/>
      <c r="H817" s="3"/>
      <c r="I817" s="3"/>
      <c r="J817" s="3"/>
      <c r="K817" s="3"/>
      <c r="L817" s="54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80"/>
      <c r="F818" s="54"/>
      <c r="G818" s="3"/>
      <c r="H818" s="3"/>
      <c r="I818" s="3"/>
      <c r="J818" s="3"/>
      <c r="K818" s="3"/>
      <c r="L818" s="54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80"/>
      <c r="F819" s="54"/>
      <c r="G819" s="3"/>
      <c r="H819" s="3"/>
      <c r="I819" s="3"/>
      <c r="J819" s="3"/>
      <c r="K819" s="3"/>
      <c r="L819" s="54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80"/>
      <c r="F820" s="54"/>
      <c r="G820" s="3"/>
      <c r="H820" s="3"/>
      <c r="I820" s="3"/>
      <c r="J820" s="3"/>
      <c r="K820" s="3"/>
      <c r="L820" s="54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80"/>
      <c r="F821" s="54"/>
      <c r="G821" s="3"/>
      <c r="H821" s="3"/>
      <c r="I821" s="3"/>
      <c r="J821" s="3"/>
      <c r="K821" s="3"/>
      <c r="L821" s="54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80"/>
      <c r="F822" s="54"/>
      <c r="G822" s="3"/>
      <c r="H822" s="3"/>
      <c r="I822" s="3"/>
      <c r="J822" s="3"/>
      <c r="K822" s="3"/>
      <c r="L822" s="54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80"/>
      <c r="F823" s="54"/>
      <c r="G823" s="3"/>
      <c r="H823" s="3"/>
      <c r="I823" s="3"/>
      <c r="J823" s="3"/>
      <c r="K823" s="3"/>
      <c r="L823" s="54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80"/>
      <c r="F824" s="54"/>
      <c r="G824" s="3"/>
      <c r="H824" s="3"/>
      <c r="I824" s="3"/>
      <c r="J824" s="3"/>
      <c r="K824" s="3"/>
      <c r="L824" s="54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80"/>
      <c r="F825" s="54"/>
      <c r="G825" s="3"/>
      <c r="H825" s="3"/>
      <c r="I825" s="3"/>
      <c r="J825" s="3"/>
      <c r="K825" s="3"/>
      <c r="L825" s="54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80"/>
      <c r="F826" s="54"/>
      <c r="G826" s="3"/>
      <c r="H826" s="3"/>
      <c r="I826" s="3"/>
      <c r="J826" s="3"/>
      <c r="K826" s="3"/>
      <c r="L826" s="54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80"/>
      <c r="F827" s="54"/>
      <c r="G827" s="3"/>
      <c r="H827" s="3"/>
      <c r="I827" s="3"/>
      <c r="J827" s="3"/>
      <c r="K827" s="3"/>
      <c r="L827" s="54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80"/>
      <c r="F828" s="54"/>
      <c r="G828" s="3"/>
      <c r="H828" s="3"/>
      <c r="I828" s="3"/>
      <c r="J828" s="3"/>
      <c r="K828" s="3"/>
      <c r="L828" s="54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80"/>
      <c r="F829" s="54"/>
      <c r="G829" s="3"/>
      <c r="H829" s="3"/>
      <c r="I829" s="3"/>
      <c r="J829" s="3"/>
      <c r="K829" s="3"/>
      <c r="L829" s="54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80"/>
      <c r="F830" s="54"/>
      <c r="G830" s="3"/>
      <c r="H830" s="3"/>
      <c r="I830" s="3"/>
      <c r="J830" s="3"/>
      <c r="K830" s="3"/>
      <c r="L830" s="54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80"/>
      <c r="F831" s="54"/>
      <c r="G831" s="3"/>
      <c r="H831" s="3"/>
      <c r="I831" s="3"/>
      <c r="J831" s="3"/>
      <c r="K831" s="3"/>
      <c r="L831" s="54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80"/>
      <c r="F832" s="54"/>
      <c r="G832" s="3"/>
      <c r="H832" s="3"/>
      <c r="I832" s="3"/>
      <c r="J832" s="3"/>
      <c r="K832" s="3"/>
      <c r="L832" s="54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80"/>
      <c r="F833" s="54"/>
      <c r="G833" s="3"/>
      <c r="H833" s="3"/>
      <c r="I833" s="3"/>
      <c r="J833" s="3"/>
      <c r="K833" s="3"/>
      <c r="L833" s="54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80"/>
      <c r="F834" s="54"/>
      <c r="G834" s="3"/>
      <c r="H834" s="3"/>
      <c r="I834" s="3"/>
      <c r="J834" s="3"/>
      <c r="K834" s="3"/>
      <c r="L834" s="54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80"/>
      <c r="F835" s="54"/>
      <c r="G835" s="3"/>
      <c r="H835" s="3"/>
      <c r="I835" s="3"/>
      <c r="J835" s="3"/>
      <c r="K835" s="3"/>
      <c r="L835" s="54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80"/>
      <c r="F836" s="54"/>
      <c r="G836" s="3"/>
      <c r="H836" s="3"/>
      <c r="I836" s="3"/>
      <c r="J836" s="3"/>
      <c r="K836" s="3"/>
      <c r="L836" s="54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80"/>
      <c r="F837" s="54"/>
      <c r="G837" s="3"/>
      <c r="H837" s="3"/>
      <c r="I837" s="3"/>
      <c r="J837" s="3"/>
      <c r="K837" s="3"/>
      <c r="L837" s="54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80"/>
      <c r="F838" s="54"/>
      <c r="G838" s="3"/>
      <c r="H838" s="3"/>
      <c r="I838" s="3"/>
      <c r="J838" s="3"/>
      <c r="K838" s="3"/>
      <c r="L838" s="54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80"/>
      <c r="F839" s="54"/>
      <c r="G839" s="3"/>
      <c r="H839" s="3"/>
      <c r="I839" s="3"/>
      <c r="J839" s="3"/>
      <c r="K839" s="3"/>
      <c r="L839" s="54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80"/>
      <c r="F840" s="54"/>
      <c r="G840" s="3"/>
      <c r="H840" s="3"/>
      <c r="I840" s="3"/>
      <c r="J840" s="3"/>
      <c r="K840" s="3"/>
      <c r="L840" s="54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80"/>
      <c r="F841" s="54"/>
      <c r="G841" s="3"/>
      <c r="H841" s="3"/>
      <c r="I841" s="3"/>
      <c r="J841" s="3"/>
      <c r="K841" s="3"/>
      <c r="L841" s="54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80"/>
      <c r="F842" s="54"/>
      <c r="G842" s="3"/>
      <c r="H842" s="3"/>
      <c r="I842" s="3"/>
      <c r="J842" s="3"/>
      <c r="K842" s="3"/>
      <c r="L842" s="54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80"/>
      <c r="F843" s="54"/>
      <c r="G843" s="3"/>
      <c r="H843" s="3"/>
      <c r="I843" s="3"/>
      <c r="J843" s="3"/>
      <c r="K843" s="3"/>
      <c r="L843" s="54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80"/>
      <c r="F844" s="54"/>
      <c r="G844" s="3"/>
      <c r="H844" s="3"/>
      <c r="I844" s="3"/>
      <c r="J844" s="3"/>
      <c r="K844" s="3"/>
      <c r="L844" s="54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80"/>
      <c r="F845" s="54"/>
      <c r="G845" s="3"/>
      <c r="H845" s="3"/>
      <c r="I845" s="3"/>
      <c r="J845" s="3"/>
      <c r="K845" s="3"/>
      <c r="L845" s="54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80"/>
      <c r="F846" s="54"/>
      <c r="G846" s="3"/>
      <c r="H846" s="3"/>
      <c r="I846" s="3"/>
      <c r="J846" s="3"/>
      <c r="K846" s="3"/>
      <c r="L846" s="54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80"/>
      <c r="F847" s="54"/>
      <c r="G847" s="3"/>
      <c r="H847" s="3"/>
      <c r="I847" s="3"/>
      <c r="J847" s="3"/>
      <c r="K847" s="3"/>
      <c r="L847" s="54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80"/>
      <c r="F848" s="54"/>
      <c r="G848" s="3"/>
      <c r="H848" s="3"/>
      <c r="I848" s="3"/>
      <c r="J848" s="3"/>
      <c r="K848" s="3"/>
      <c r="L848" s="54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80"/>
      <c r="F849" s="54"/>
      <c r="G849" s="3"/>
      <c r="H849" s="3"/>
      <c r="I849" s="3"/>
      <c r="J849" s="3"/>
      <c r="K849" s="3"/>
      <c r="L849" s="54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80"/>
      <c r="F850" s="54"/>
      <c r="G850" s="3"/>
      <c r="H850" s="3"/>
      <c r="I850" s="3"/>
      <c r="J850" s="3"/>
      <c r="K850" s="3"/>
      <c r="L850" s="54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80"/>
      <c r="F851" s="54"/>
      <c r="G851" s="3"/>
      <c r="H851" s="3"/>
      <c r="I851" s="3"/>
      <c r="J851" s="3"/>
      <c r="K851" s="3"/>
      <c r="L851" s="54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80"/>
      <c r="F852" s="54"/>
      <c r="G852" s="3"/>
      <c r="H852" s="3"/>
      <c r="I852" s="3"/>
      <c r="J852" s="3"/>
      <c r="K852" s="3"/>
      <c r="L852" s="54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80"/>
      <c r="F853" s="54"/>
      <c r="G853" s="3"/>
      <c r="H853" s="3"/>
      <c r="I853" s="3"/>
      <c r="J853" s="3"/>
      <c r="K853" s="3"/>
      <c r="L853" s="54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80"/>
      <c r="F854" s="54"/>
      <c r="G854" s="3"/>
      <c r="H854" s="3"/>
      <c r="I854" s="3"/>
      <c r="J854" s="3"/>
      <c r="K854" s="3"/>
      <c r="L854" s="54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80"/>
      <c r="F855" s="54"/>
      <c r="G855" s="3"/>
      <c r="H855" s="3"/>
      <c r="I855" s="3"/>
      <c r="J855" s="3"/>
      <c r="K855" s="3"/>
      <c r="L855" s="54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80"/>
      <c r="F856" s="54"/>
      <c r="G856" s="3"/>
      <c r="H856" s="3"/>
      <c r="I856" s="3"/>
      <c r="J856" s="3"/>
      <c r="K856" s="3"/>
      <c r="L856" s="54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80"/>
      <c r="F857" s="54"/>
      <c r="G857" s="3"/>
      <c r="H857" s="3"/>
      <c r="I857" s="3"/>
      <c r="J857" s="3"/>
      <c r="K857" s="3"/>
      <c r="L857" s="54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80"/>
      <c r="F858" s="54"/>
      <c r="G858" s="3"/>
      <c r="H858" s="3"/>
      <c r="I858" s="3"/>
      <c r="J858" s="3"/>
      <c r="K858" s="3"/>
      <c r="L858" s="54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80"/>
      <c r="F859" s="54"/>
      <c r="G859" s="3"/>
      <c r="H859" s="3"/>
      <c r="I859" s="3"/>
      <c r="J859" s="3"/>
      <c r="K859" s="3"/>
      <c r="L859" s="54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80"/>
      <c r="F860" s="54"/>
      <c r="G860" s="3"/>
      <c r="H860" s="3"/>
      <c r="I860" s="3"/>
      <c r="J860" s="3"/>
      <c r="K860" s="3"/>
      <c r="L860" s="54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80"/>
      <c r="F861" s="54"/>
      <c r="G861" s="3"/>
      <c r="H861" s="3"/>
      <c r="I861" s="3"/>
      <c r="J861" s="3"/>
      <c r="K861" s="3"/>
      <c r="L861" s="54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80"/>
      <c r="F862" s="54"/>
      <c r="G862" s="3"/>
      <c r="H862" s="3"/>
      <c r="I862" s="3"/>
      <c r="J862" s="3"/>
      <c r="K862" s="3"/>
      <c r="L862" s="54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80"/>
      <c r="F863" s="54"/>
      <c r="G863" s="3"/>
      <c r="H863" s="3"/>
      <c r="I863" s="3"/>
      <c r="J863" s="3"/>
      <c r="K863" s="3"/>
      <c r="L863" s="54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80"/>
      <c r="F864" s="54"/>
      <c r="G864" s="3"/>
      <c r="H864" s="3"/>
      <c r="I864" s="3"/>
      <c r="J864" s="3"/>
      <c r="K864" s="3"/>
      <c r="L864" s="54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80"/>
      <c r="F865" s="54"/>
      <c r="G865" s="3"/>
      <c r="H865" s="3"/>
      <c r="I865" s="3"/>
      <c r="J865" s="3"/>
      <c r="K865" s="3"/>
      <c r="L865" s="54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80"/>
      <c r="F866" s="54"/>
      <c r="G866" s="3"/>
      <c r="H866" s="3"/>
      <c r="I866" s="3"/>
      <c r="J866" s="3"/>
      <c r="K866" s="3"/>
      <c r="L866" s="54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80"/>
      <c r="F867" s="54"/>
      <c r="G867" s="3"/>
      <c r="H867" s="3"/>
      <c r="I867" s="3"/>
      <c r="J867" s="3"/>
      <c r="K867" s="3"/>
      <c r="L867" s="54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80"/>
      <c r="F868" s="54"/>
      <c r="G868" s="3"/>
      <c r="H868" s="3"/>
      <c r="I868" s="3"/>
      <c r="J868" s="3"/>
      <c r="K868" s="3"/>
      <c r="L868" s="54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80"/>
      <c r="F869" s="54"/>
      <c r="G869" s="3"/>
      <c r="H869" s="3"/>
      <c r="I869" s="3"/>
      <c r="J869" s="3"/>
      <c r="K869" s="3"/>
      <c r="L869" s="54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80"/>
      <c r="F870" s="54"/>
      <c r="G870" s="3"/>
      <c r="H870" s="3"/>
      <c r="I870" s="3"/>
      <c r="J870" s="3"/>
      <c r="K870" s="3"/>
      <c r="L870" s="54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80"/>
      <c r="F871" s="54"/>
      <c r="G871" s="3"/>
      <c r="H871" s="3"/>
      <c r="I871" s="3"/>
      <c r="J871" s="3"/>
      <c r="K871" s="3"/>
      <c r="L871" s="54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80"/>
      <c r="F872" s="54"/>
      <c r="G872" s="3"/>
      <c r="H872" s="3"/>
      <c r="I872" s="3"/>
      <c r="J872" s="3"/>
      <c r="K872" s="3"/>
      <c r="L872" s="54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80"/>
      <c r="F873" s="54"/>
      <c r="G873" s="3"/>
      <c r="H873" s="3"/>
      <c r="I873" s="3"/>
      <c r="J873" s="3"/>
      <c r="K873" s="3"/>
      <c r="L873" s="54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80"/>
      <c r="F874" s="54"/>
      <c r="G874" s="3"/>
      <c r="H874" s="3"/>
      <c r="I874" s="3"/>
      <c r="J874" s="3"/>
      <c r="K874" s="3"/>
      <c r="L874" s="54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80"/>
      <c r="F875" s="54"/>
      <c r="G875" s="3"/>
      <c r="H875" s="3"/>
      <c r="I875" s="3"/>
      <c r="J875" s="3"/>
      <c r="K875" s="3"/>
      <c r="L875" s="54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80"/>
      <c r="F876" s="54"/>
      <c r="G876" s="3"/>
      <c r="H876" s="3"/>
      <c r="I876" s="3"/>
      <c r="J876" s="3"/>
      <c r="K876" s="3"/>
      <c r="L876" s="54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80"/>
      <c r="F877" s="54"/>
      <c r="G877" s="3"/>
      <c r="H877" s="3"/>
      <c r="I877" s="3"/>
      <c r="J877" s="3"/>
      <c r="K877" s="3"/>
      <c r="L877" s="54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80"/>
      <c r="F878" s="54"/>
      <c r="G878" s="3"/>
      <c r="H878" s="3"/>
      <c r="I878" s="3"/>
      <c r="J878" s="3"/>
      <c r="K878" s="3"/>
      <c r="L878" s="54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80"/>
      <c r="F879" s="54"/>
      <c r="G879" s="3"/>
      <c r="H879" s="3"/>
      <c r="I879" s="3"/>
      <c r="J879" s="3"/>
      <c r="K879" s="3"/>
      <c r="L879" s="54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80"/>
      <c r="F880" s="54"/>
      <c r="G880" s="3"/>
      <c r="H880" s="3"/>
      <c r="I880" s="3"/>
      <c r="J880" s="3"/>
      <c r="K880" s="3"/>
      <c r="L880" s="54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80"/>
      <c r="F881" s="54"/>
      <c r="G881" s="3"/>
      <c r="H881" s="3"/>
      <c r="I881" s="3"/>
      <c r="J881" s="3"/>
      <c r="K881" s="3"/>
      <c r="L881" s="54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80"/>
      <c r="F882" s="54"/>
      <c r="G882" s="3"/>
      <c r="H882" s="3"/>
      <c r="I882" s="3"/>
      <c r="J882" s="3"/>
      <c r="K882" s="3"/>
      <c r="L882" s="54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80"/>
      <c r="F883" s="54"/>
      <c r="G883" s="3"/>
      <c r="H883" s="3"/>
      <c r="I883" s="3"/>
      <c r="J883" s="3"/>
      <c r="K883" s="3"/>
      <c r="L883" s="54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80"/>
      <c r="F884" s="54"/>
      <c r="G884" s="3"/>
      <c r="H884" s="3"/>
      <c r="I884" s="3"/>
      <c r="J884" s="3"/>
      <c r="K884" s="3"/>
      <c r="L884" s="54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80"/>
      <c r="F885" s="54"/>
      <c r="G885" s="3"/>
      <c r="H885" s="3"/>
      <c r="I885" s="3"/>
      <c r="J885" s="3"/>
      <c r="K885" s="3"/>
      <c r="L885" s="54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80"/>
      <c r="F886" s="54"/>
      <c r="G886" s="3"/>
      <c r="H886" s="3"/>
      <c r="I886" s="3"/>
      <c r="J886" s="3"/>
      <c r="K886" s="3"/>
      <c r="L886" s="54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80"/>
      <c r="F887" s="54"/>
      <c r="G887" s="3"/>
      <c r="H887" s="3"/>
      <c r="I887" s="3"/>
      <c r="J887" s="3"/>
      <c r="K887" s="3"/>
      <c r="L887" s="54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80"/>
      <c r="F888" s="54"/>
      <c r="G888" s="3"/>
      <c r="H888" s="3"/>
      <c r="I888" s="3"/>
      <c r="J888" s="3"/>
      <c r="K888" s="3"/>
      <c r="L888" s="54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80"/>
      <c r="F889" s="54"/>
      <c r="G889" s="3"/>
      <c r="H889" s="3"/>
      <c r="I889" s="3"/>
      <c r="J889" s="3"/>
      <c r="K889" s="3"/>
      <c r="L889" s="54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80"/>
      <c r="F890" s="54"/>
      <c r="G890" s="3"/>
      <c r="H890" s="3"/>
      <c r="I890" s="3"/>
      <c r="J890" s="3"/>
      <c r="K890" s="3"/>
      <c r="L890" s="54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80"/>
      <c r="F891" s="54"/>
      <c r="G891" s="3"/>
      <c r="H891" s="3"/>
      <c r="I891" s="3"/>
      <c r="J891" s="3"/>
      <c r="K891" s="3"/>
      <c r="L891" s="54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80"/>
      <c r="F892" s="54"/>
      <c r="G892" s="3"/>
      <c r="H892" s="3"/>
      <c r="I892" s="3"/>
      <c r="J892" s="3"/>
      <c r="K892" s="3"/>
      <c r="L892" s="54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80"/>
      <c r="F893" s="54"/>
      <c r="G893" s="3"/>
      <c r="H893" s="3"/>
      <c r="I893" s="3"/>
      <c r="J893" s="3"/>
      <c r="K893" s="3"/>
      <c r="L893" s="54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80"/>
      <c r="F894" s="54"/>
      <c r="G894" s="3"/>
      <c r="H894" s="3"/>
      <c r="I894" s="3"/>
      <c r="J894" s="3"/>
      <c r="K894" s="3"/>
      <c r="L894" s="54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80"/>
      <c r="F895" s="54"/>
      <c r="G895" s="3"/>
      <c r="H895" s="3"/>
      <c r="I895" s="3"/>
      <c r="J895" s="3"/>
      <c r="K895" s="3"/>
      <c r="L895" s="54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80"/>
      <c r="F896" s="54"/>
      <c r="G896" s="3"/>
      <c r="H896" s="3"/>
      <c r="I896" s="3"/>
      <c r="J896" s="3"/>
      <c r="K896" s="3"/>
      <c r="L896" s="54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80"/>
      <c r="F897" s="54"/>
      <c r="G897" s="3"/>
      <c r="H897" s="3"/>
      <c r="I897" s="3"/>
      <c r="J897" s="3"/>
      <c r="K897" s="3"/>
      <c r="L897" s="54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80"/>
      <c r="F898" s="54"/>
      <c r="G898" s="3"/>
      <c r="H898" s="3"/>
      <c r="I898" s="3"/>
      <c r="J898" s="3"/>
      <c r="K898" s="3"/>
      <c r="L898" s="54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80"/>
      <c r="F899" s="54"/>
      <c r="G899" s="3"/>
      <c r="H899" s="3"/>
      <c r="I899" s="3"/>
      <c r="J899" s="3"/>
      <c r="K899" s="3"/>
      <c r="L899" s="54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80"/>
      <c r="F900" s="54"/>
      <c r="G900" s="3"/>
      <c r="H900" s="3"/>
      <c r="I900" s="3"/>
      <c r="J900" s="3"/>
      <c r="K900" s="3"/>
      <c r="L900" s="54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80"/>
      <c r="F901" s="54"/>
      <c r="G901" s="3"/>
      <c r="H901" s="3"/>
      <c r="I901" s="3"/>
      <c r="J901" s="3"/>
      <c r="K901" s="3"/>
      <c r="L901" s="54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80"/>
      <c r="F902" s="54"/>
      <c r="G902" s="3"/>
      <c r="H902" s="3"/>
      <c r="I902" s="3"/>
      <c r="J902" s="3"/>
      <c r="K902" s="3"/>
      <c r="L902" s="54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80"/>
      <c r="F903" s="54"/>
      <c r="G903" s="3"/>
      <c r="H903" s="3"/>
      <c r="I903" s="3"/>
      <c r="J903" s="3"/>
      <c r="K903" s="3"/>
      <c r="L903" s="54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80"/>
      <c r="F904" s="54"/>
      <c r="G904" s="3"/>
      <c r="H904" s="3"/>
      <c r="I904" s="3"/>
      <c r="J904" s="3"/>
      <c r="K904" s="3"/>
      <c r="L904" s="54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80"/>
      <c r="F905" s="54"/>
      <c r="G905" s="3"/>
      <c r="H905" s="3"/>
      <c r="I905" s="3"/>
      <c r="J905" s="3"/>
      <c r="K905" s="3"/>
      <c r="L905" s="54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80"/>
      <c r="F906" s="54"/>
      <c r="G906" s="3"/>
      <c r="H906" s="3"/>
      <c r="I906" s="3"/>
      <c r="J906" s="3"/>
      <c r="K906" s="3"/>
      <c r="L906" s="54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80"/>
      <c r="F907" s="54"/>
      <c r="G907" s="3"/>
      <c r="H907" s="3"/>
      <c r="I907" s="3"/>
      <c r="J907" s="3"/>
      <c r="K907" s="3"/>
      <c r="L907" s="54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80"/>
      <c r="F908" s="54"/>
      <c r="G908" s="3"/>
      <c r="H908" s="3"/>
      <c r="I908" s="3"/>
      <c r="J908" s="3"/>
      <c r="K908" s="3"/>
      <c r="L908" s="54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80"/>
      <c r="F909" s="54"/>
      <c r="G909" s="3"/>
      <c r="H909" s="3"/>
      <c r="I909" s="3"/>
      <c r="J909" s="3"/>
      <c r="K909" s="3"/>
      <c r="L909" s="54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80"/>
      <c r="F910" s="54"/>
      <c r="G910" s="3"/>
      <c r="H910" s="3"/>
      <c r="I910" s="3"/>
      <c r="J910" s="3"/>
      <c r="K910" s="3"/>
      <c r="L910" s="54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80"/>
      <c r="F911" s="54"/>
      <c r="G911" s="3"/>
      <c r="H911" s="3"/>
      <c r="I911" s="3"/>
      <c r="J911" s="3"/>
      <c r="K911" s="3"/>
      <c r="L911" s="54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80"/>
      <c r="F912" s="54"/>
      <c r="G912" s="3"/>
      <c r="H912" s="3"/>
      <c r="I912" s="3"/>
      <c r="J912" s="3"/>
      <c r="K912" s="3"/>
      <c r="L912" s="54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80"/>
      <c r="F913" s="54"/>
      <c r="G913" s="3"/>
      <c r="H913" s="3"/>
      <c r="I913" s="3"/>
      <c r="J913" s="3"/>
      <c r="K913" s="3"/>
      <c r="L913" s="54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80"/>
      <c r="F914" s="54"/>
      <c r="G914" s="3"/>
      <c r="H914" s="3"/>
      <c r="I914" s="3"/>
      <c r="J914" s="3"/>
      <c r="K914" s="3"/>
      <c r="L914" s="54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80"/>
      <c r="F915" s="54"/>
      <c r="G915" s="3"/>
      <c r="H915" s="3"/>
      <c r="I915" s="3"/>
      <c r="J915" s="3"/>
      <c r="K915" s="3"/>
      <c r="L915" s="54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80"/>
      <c r="F916" s="54"/>
      <c r="G916" s="3"/>
      <c r="H916" s="3"/>
      <c r="I916" s="3"/>
      <c r="J916" s="3"/>
      <c r="K916" s="3"/>
      <c r="L916" s="54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80"/>
      <c r="F917" s="54"/>
      <c r="G917" s="3"/>
      <c r="H917" s="3"/>
      <c r="I917" s="3"/>
      <c r="J917" s="3"/>
      <c r="K917" s="3"/>
      <c r="L917" s="54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80"/>
      <c r="F918" s="54"/>
      <c r="G918" s="3"/>
      <c r="H918" s="3"/>
      <c r="I918" s="3"/>
      <c r="J918" s="3"/>
      <c r="K918" s="3"/>
      <c r="L918" s="54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80"/>
      <c r="F919" s="54"/>
      <c r="G919" s="3"/>
      <c r="H919" s="3"/>
      <c r="I919" s="3"/>
      <c r="J919" s="3"/>
      <c r="K919" s="3"/>
      <c r="L919" s="54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80"/>
      <c r="F920" s="54"/>
      <c r="G920" s="3"/>
      <c r="H920" s="3"/>
      <c r="I920" s="3"/>
      <c r="J920" s="3"/>
      <c r="K920" s="3"/>
      <c r="L920" s="54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80"/>
      <c r="F921" s="54"/>
      <c r="G921" s="3"/>
      <c r="H921" s="3"/>
      <c r="I921" s="3"/>
      <c r="J921" s="3"/>
      <c r="K921" s="3"/>
      <c r="L921" s="54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80"/>
      <c r="F922" s="54"/>
      <c r="G922" s="3"/>
      <c r="H922" s="3"/>
      <c r="I922" s="3"/>
      <c r="J922" s="3"/>
      <c r="K922" s="3"/>
      <c r="L922" s="54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80"/>
      <c r="F923" s="54"/>
      <c r="G923" s="3"/>
      <c r="H923" s="3"/>
      <c r="I923" s="3"/>
      <c r="J923" s="3"/>
      <c r="K923" s="3"/>
      <c r="L923" s="54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80"/>
      <c r="F924" s="54"/>
      <c r="G924" s="3"/>
      <c r="H924" s="3"/>
      <c r="I924" s="3"/>
      <c r="J924" s="3"/>
      <c r="K924" s="3"/>
      <c r="L924" s="54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80"/>
      <c r="F925" s="54"/>
      <c r="G925" s="3"/>
      <c r="H925" s="3"/>
      <c r="I925" s="3"/>
      <c r="J925" s="3"/>
      <c r="K925" s="3"/>
      <c r="L925" s="54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80"/>
      <c r="F926" s="54"/>
      <c r="G926" s="3"/>
      <c r="H926" s="3"/>
      <c r="I926" s="3"/>
      <c r="J926" s="3"/>
      <c r="K926" s="3"/>
      <c r="L926" s="54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80"/>
      <c r="F927" s="54"/>
      <c r="G927" s="3"/>
      <c r="H927" s="3"/>
      <c r="I927" s="3"/>
      <c r="J927" s="3"/>
      <c r="K927" s="3"/>
      <c r="L927" s="54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80"/>
      <c r="F928" s="54"/>
      <c r="G928" s="3"/>
      <c r="H928" s="3"/>
      <c r="I928" s="3"/>
      <c r="J928" s="3"/>
      <c r="K928" s="3"/>
      <c r="L928" s="54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80"/>
      <c r="F929" s="54"/>
      <c r="G929" s="3"/>
      <c r="H929" s="3"/>
      <c r="I929" s="3"/>
      <c r="J929" s="3"/>
      <c r="K929" s="3"/>
      <c r="L929" s="54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80"/>
      <c r="F930" s="54"/>
      <c r="G930" s="3"/>
      <c r="H930" s="3"/>
      <c r="I930" s="3"/>
      <c r="J930" s="3"/>
      <c r="K930" s="3"/>
      <c r="L930" s="54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80"/>
      <c r="F931" s="54"/>
      <c r="G931" s="3"/>
      <c r="H931" s="3"/>
      <c r="I931" s="3"/>
      <c r="J931" s="3"/>
      <c r="K931" s="3"/>
      <c r="L931" s="54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80"/>
      <c r="F932" s="54"/>
      <c r="G932" s="3"/>
      <c r="H932" s="3"/>
      <c r="I932" s="3"/>
      <c r="J932" s="3"/>
      <c r="K932" s="3"/>
      <c r="L932" s="54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80"/>
      <c r="F933" s="54"/>
      <c r="G933" s="3"/>
      <c r="H933" s="3"/>
      <c r="I933" s="3"/>
      <c r="J933" s="3"/>
      <c r="K933" s="3"/>
      <c r="L933" s="54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80"/>
      <c r="F934" s="54"/>
      <c r="G934" s="3"/>
      <c r="H934" s="3"/>
      <c r="I934" s="3"/>
      <c r="J934" s="3"/>
      <c r="K934" s="3"/>
      <c r="L934" s="54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80"/>
      <c r="F935" s="54"/>
      <c r="G935" s="3"/>
      <c r="H935" s="3"/>
      <c r="I935" s="3"/>
      <c r="J935" s="3"/>
      <c r="K935" s="3"/>
      <c r="L935" s="54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80"/>
      <c r="F936" s="54"/>
      <c r="G936" s="3"/>
      <c r="H936" s="3"/>
      <c r="I936" s="3"/>
      <c r="J936" s="3"/>
      <c r="K936" s="3"/>
      <c r="L936" s="54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80"/>
      <c r="F937" s="54"/>
      <c r="G937" s="3"/>
      <c r="H937" s="3"/>
      <c r="I937" s="3"/>
      <c r="J937" s="3"/>
      <c r="K937" s="3"/>
      <c r="L937" s="54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80"/>
      <c r="F938" s="54"/>
      <c r="G938" s="3"/>
      <c r="H938" s="3"/>
      <c r="I938" s="3"/>
      <c r="J938" s="3"/>
      <c r="K938" s="3"/>
      <c r="L938" s="54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80"/>
      <c r="F939" s="54"/>
      <c r="G939" s="3"/>
      <c r="H939" s="3"/>
      <c r="I939" s="3"/>
      <c r="J939" s="3"/>
      <c r="K939" s="3"/>
      <c r="L939" s="54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80"/>
      <c r="F940" s="54"/>
      <c r="G940" s="3"/>
      <c r="H940" s="3"/>
      <c r="I940" s="3"/>
      <c r="J940" s="3"/>
      <c r="K940" s="3"/>
      <c r="L940" s="54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80"/>
      <c r="F941" s="54"/>
      <c r="G941" s="3"/>
      <c r="H941" s="3"/>
      <c r="I941" s="3"/>
      <c r="J941" s="3"/>
      <c r="K941" s="3"/>
      <c r="L941" s="54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80"/>
      <c r="F942" s="54"/>
      <c r="G942" s="3"/>
      <c r="H942" s="3"/>
      <c r="I942" s="3"/>
      <c r="J942" s="3"/>
      <c r="K942" s="3"/>
      <c r="L942" s="54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80"/>
      <c r="F943" s="54"/>
      <c r="G943" s="3"/>
      <c r="H943" s="3"/>
      <c r="I943" s="3"/>
      <c r="J943" s="3"/>
      <c r="K943" s="3"/>
      <c r="L943" s="54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3"/>
      <c r="C944" s="3"/>
      <c r="D944" s="3"/>
      <c r="E944" s="80"/>
      <c r="F944" s="54"/>
      <c r="G944" s="3"/>
      <c r="H944" s="3"/>
      <c r="I944" s="3"/>
      <c r="J944" s="3"/>
      <c r="K944" s="3"/>
      <c r="L944" s="54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3"/>
      <c r="C945" s="3"/>
      <c r="D945" s="3"/>
      <c r="E945" s="80"/>
      <c r="F945" s="54"/>
      <c r="G945" s="3"/>
      <c r="H945" s="3"/>
      <c r="I945" s="3"/>
      <c r="J945" s="3"/>
      <c r="K945" s="3"/>
      <c r="L945" s="54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3"/>
      <c r="C946" s="3"/>
      <c r="D946" s="3"/>
      <c r="E946" s="80"/>
      <c r="F946" s="54"/>
      <c r="G946" s="3"/>
      <c r="H946" s="3"/>
      <c r="I946" s="3"/>
      <c r="J946" s="3"/>
      <c r="K946" s="3"/>
      <c r="L946" s="54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3"/>
      <c r="C947" s="3"/>
      <c r="D947" s="3"/>
      <c r="E947" s="80"/>
      <c r="F947" s="54"/>
      <c r="G947" s="3"/>
      <c r="H947" s="3"/>
      <c r="I947" s="3"/>
      <c r="J947" s="3"/>
      <c r="K947" s="3"/>
      <c r="L947" s="54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3"/>
      <c r="C948" s="3"/>
      <c r="D948" s="3"/>
      <c r="E948" s="80"/>
      <c r="F948" s="54"/>
      <c r="G948" s="3"/>
      <c r="H948" s="3"/>
      <c r="I948" s="3"/>
      <c r="J948" s="3"/>
      <c r="K948" s="3"/>
      <c r="L948" s="54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3"/>
      <c r="C949" s="3"/>
      <c r="D949" s="3"/>
      <c r="E949" s="80"/>
      <c r="F949" s="54"/>
      <c r="G949" s="3"/>
      <c r="H949" s="3"/>
      <c r="I949" s="3"/>
      <c r="J949" s="3"/>
      <c r="K949" s="3"/>
      <c r="L949" s="54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3"/>
      <c r="C950" s="3"/>
      <c r="D950" s="3"/>
      <c r="E950" s="80"/>
      <c r="F950" s="54"/>
      <c r="G950" s="3"/>
      <c r="H950" s="3"/>
      <c r="I950" s="3"/>
      <c r="J950" s="3"/>
      <c r="K950" s="3"/>
      <c r="L950" s="54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3"/>
      <c r="C951" s="3"/>
      <c r="D951" s="3"/>
      <c r="E951" s="80"/>
      <c r="F951" s="54"/>
      <c r="G951" s="3"/>
      <c r="H951" s="3"/>
      <c r="I951" s="3"/>
      <c r="J951" s="3"/>
      <c r="K951" s="3"/>
      <c r="L951" s="54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3"/>
      <c r="C952" s="3"/>
      <c r="D952" s="3"/>
      <c r="E952" s="80"/>
      <c r="F952" s="54"/>
      <c r="G952" s="3"/>
      <c r="H952" s="3"/>
      <c r="I952" s="3"/>
      <c r="J952" s="3"/>
      <c r="K952" s="3"/>
      <c r="L952" s="54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3"/>
      <c r="C953" s="3"/>
      <c r="D953" s="3"/>
      <c r="E953" s="80"/>
      <c r="F953" s="54"/>
      <c r="G953" s="3"/>
      <c r="H953" s="3"/>
      <c r="I953" s="3"/>
      <c r="J953" s="3"/>
      <c r="K953" s="3"/>
      <c r="L953" s="54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3"/>
      <c r="C954" s="3"/>
      <c r="D954" s="3"/>
      <c r="E954" s="80"/>
      <c r="F954" s="54"/>
      <c r="G954" s="3"/>
      <c r="H954" s="3"/>
      <c r="I954" s="3"/>
      <c r="J954" s="3"/>
      <c r="K954" s="3"/>
      <c r="L954" s="54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3"/>
      <c r="C955" s="3"/>
      <c r="D955" s="3"/>
      <c r="E955" s="80"/>
      <c r="F955" s="54"/>
      <c r="G955" s="3"/>
      <c r="H955" s="3"/>
      <c r="I955" s="3"/>
      <c r="J955" s="3"/>
      <c r="K955" s="3"/>
      <c r="L955" s="54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3"/>
      <c r="C956" s="3"/>
      <c r="D956" s="3"/>
      <c r="E956" s="80"/>
      <c r="F956" s="54"/>
      <c r="G956" s="3"/>
      <c r="H956" s="3"/>
      <c r="I956" s="3"/>
      <c r="J956" s="3"/>
      <c r="K956" s="3"/>
      <c r="L956" s="54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3"/>
      <c r="C957" s="3"/>
      <c r="D957" s="3"/>
      <c r="E957" s="80"/>
      <c r="F957" s="54"/>
      <c r="G957" s="3"/>
      <c r="H957" s="3"/>
      <c r="I957" s="3"/>
      <c r="J957" s="3"/>
      <c r="K957" s="3"/>
      <c r="L957" s="54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3"/>
      <c r="C958" s="3"/>
      <c r="D958" s="3"/>
      <c r="E958" s="80"/>
      <c r="F958" s="54"/>
      <c r="G958" s="3"/>
      <c r="H958" s="3"/>
      <c r="I958" s="3"/>
      <c r="J958" s="3"/>
      <c r="K958" s="3"/>
      <c r="L958" s="54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3"/>
      <c r="C959" s="3"/>
      <c r="D959" s="3"/>
      <c r="E959" s="80"/>
      <c r="F959" s="54"/>
      <c r="G959" s="3"/>
      <c r="H959" s="3"/>
      <c r="I959" s="3"/>
      <c r="J959" s="3"/>
      <c r="K959" s="3"/>
      <c r="L959" s="54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3"/>
      <c r="C960" s="3"/>
      <c r="D960" s="3"/>
      <c r="E960" s="80"/>
      <c r="F960" s="54"/>
      <c r="G960" s="3"/>
      <c r="H960" s="3"/>
      <c r="I960" s="3"/>
      <c r="J960" s="3"/>
      <c r="K960" s="3"/>
      <c r="L960" s="54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3"/>
      <c r="C961" s="3"/>
      <c r="D961" s="3"/>
      <c r="E961" s="80"/>
      <c r="F961" s="54"/>
      <c r="G961" s="3"/>
      <c r="H961" s="3"/>
      <c r="I961" s="3"/>
      <c r="J961" s="3"/>
      <c r="K961" s="3"/>
      <c r="L961" s="54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3"/>
      <c r="C962" s="3"/>
      <c r="D962" s="3"/>
      <c r="E962" s="80"/>
      <c r="F962" s="54"/>
      <c r="G962" s="3"/>
      <c r="H962" s="3"/>
      <c r="I962" s="3"/>
      <c r="J962" s="3"/>
      <c r="K962" s="3"/>
      <c r="L962" s="54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3"/>
      <c r="C963" s="3"/>
      <c r="D963" s="3"/>
      <c r="E963" s="80"/>
      <c r="F963" s="54"/>
      <c r="G963" s="3"/>
      <c r="H963" s="3"/>
      <c r="I963" s="3"/>
      <c r="J963" s="3"/>
      <c r="K963" s="3"/>
      <c r="L963" s="54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3"/>
      <c r="C964" s="3"/>
      <c r="D964" s="3"/>
      <c r="E964" s="80"/>
      <c r="F964" s="54"/>
      <c r="G964" s="3"/>
      <c r="H964" s="3"/>
      <c r="I964" s="3"/>
      <c r="J964" s="3"/>
      <c r="K964" s="3"/>
      <c r="L964" s="54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3"/>
      <c r="C965" s="3"/>
      <c r="D965" s="3"/>
      <c r="E965" s="80"/>
      <c r="F965" s="54"/>
      <c r="G965" s="3"/>
      <c r="H965" s="3"/>
      <c r="I965" s="3"/>
      <c r="J965" s="3"/>
      <c r="K965" s="3"/>
      <c r="L965" s="54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3"/>
      <c r="C966" s="3"/>
      <c r="D966" s="3"/>
      <c r="E966" s="80"/>
      <c r="F966" s="54"/>
      <c r="G966" s="3"/>
      <c r="H966" s="3"/>
      <c r="I966" s="3"/>
      <c r="J966" s="3"/>
      <c r="K966" s="3"/>
      <c r="L966" s="54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3"/>
      <c r="C967" s="3"/>
      <c r="D967" s="3"/>
      <c r="E967" s="80"/>
      <c r="F967" s="54"/>
      <c r="G967" s="3"/>
      <c r="H967" s="3"/>
      <c r="I967" s="3"/>
      <c r="J967" s="3"/>
      <c r="K967" s="3"/>
      <c r="L967" s="54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3"/>
      <c r="C968" s="3"/>
      <c r="D968" s="3"/>
      <c r="E968" s="80"/>
      <c r="F968" s="54"/>
      <c r="G968" s="3"/>
      <c r="H968" s="3"/>
      <c r="I968" s="3"/>
      <c r="J968" s="3"/>
      <c r="K968" s="3"/>
      <c r="L968" s="54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3"/>
      <c r="C969" s="3"/>
      <c r="D969" s="3"/>
      <c r="E969" s="80"/>
      <c r="F969" s="54"/>
      <c r="G969" s="3"/>
      <c r="H969" s="3"/>
      <c r="I969" s="3"/>
      <c r="J969" s="3"/>
      <c r="K969" s="3"/>
      <c r="L969" s="54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3"/>
      <c r="C970" s="3"/>
      <c r="D970" s="3"/>
      <c r="E970" s="80"/>
      <c r="F970" s="54"/>
      <c r="G970" s="3"/>
      <c r="H970" s="3"/>
      <c r="I970" s="3"/>
      <c r="J970" s="3"/>
      <c r="K970" s="3"/>
      <c r="L970" s="54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3"/>
      <c r="C971" s="3"/>
      <c r="D971" s="3"/>
      <c r="E971" s="80"/>
      <c r="F971" s="54"/>
      <c r="G971" s="3"/>
      <c r="H971" s="3"/>
      <c r="I971" s="3"/>
      <c r="J971" s="3"/>
      <c r="K971" s="3"/>
      <c r="L971" s="54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3"/>
      <c r="C972" s="3"/>
      <c r="D972" s="3"/>
      <c r="E972" s="80"/>
      <c r="F972" s="54"/>
      <c r="G972" s="3"/>
      <c r="H972" s="3"/>
      <c r="I972" s="3"/>
      <c r="J972" s="3"/>
      <c r="K972" s="3"/>
      <c r="L972" s="54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3"/>
      <c r="C973" s="3"/>
      <c r="D973" s="3"/>
      <c r="E973" s="80"/>
      <c r="F973" s="54"/>
      <c r="G973" s="3"/>
      <c r="H973" s="3"/>
      <c r="I973" s="3"/>
      <c r="J973" s="3"/>
      <c r="K973" s="3"/>
      <c r="L973" s="54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3"/>
      <c r="C974" s="3"/>
      <c r="D974" s="3"/>
      <c r="E974" s="80"/>
      <c r="F974" s="54"/>
      <c r="G974" s="3"/>
      <c r="H974" s="3"/>
      <c r="I974" s="3"/>
      <c r="J974" s="3"/>
      <c r="K974" s="3"/>
      <c r="L974" s="54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3"/>
      <c r="C975" s="3"/>
      <c r="D975" s="3"/>
      <c r="E975" s="80"/>
      <c r="F975" s="54"/>
      <c r="G975" s="3"/>
      <c r="H975" s="3"/>
      <c r="I975" s="3"/>
      <c r="J975" s="3"/>
      <c r="K975" s="3"/>
      <c r="L975" s="54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3"/>
      <c r="C976" s="3"/>
      <c r="D976" s="3"/>
      <c r="E976" s="80"/>
      <c r="F976" s="54"/>
      <c r="G976" s="3"/>
      <c r="H976" s="3"/>
      <c r="I976" s="3"/>
      <c r="J976" s="3"/>
      <c r="K976" s="3"/>
      <c r="L976" s="54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3"/>
      <c r="C977" s="3"/>
      <c r="D977" s="3"/>
      <c r="E977" s="80"/>
      <c r="F977" s="54"/>
      <c r="G977" s="3"/>
      <c r="H977" s="3"/>
      <c r="I977" s="3"/>
      <c r="J977" s="3"/>
      <c r="K977" s="3"/>
      <c r="L977" s="54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3"/>
      <c r="C978" s="3"/>
      <c r="D978" s="3"/>
      <c r="E978" s="80"/>
      <c r="F978" s="54"/>
      <c r="G978" s="3"/>
      <c r="H978" s="3"/>
      <c r="I978" s="3"/>
      <c r="J978" s="3"/>
      <c r="K978" s="3"/>
      <c r="L978" s="54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3"/>
      <c r="C979" s="3"/>
      <c r="D979" s="3"/>
      <c r="E979" s="80"/>
      <c r="F979" s="54"/>
      <c r="G979" s="3"/>
      <c r="H979" s="3"/>
      <c r="I979" s="3"/>
      <c r="J979" s="3"/>
      <c r="K979" s="3"/>
      <c r="L979" s="54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3"/>
      <c r="C980" s="3"/>
      <c r="D980" s="3"/>
      <c r="E980" s="80"/>
      <c r="F980" s="54"/>
      <c r="G980" s="3"/>
      <c r="H980" s="3"/>
      <c r="I980" s="3"/>
      <c r="J980" s="3"/>
      <c r="K980" s="3"/>
      <c r="L980" s="54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3"/>
      <c r="C981" s="3"/>
      <c r="D981" s="3"/>
      <c r="E981" s="80"/>
      <c r="F981" s="54"/>
      <c r="G981" s="3"/>
      <c r="H981" s="3"/>
      <c r="I981" s="3"/>
      <c r="J981" s="3"/>
      <c r="K981" s="3"/>
      <c r="L981" s="54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3"/>
      <c r="C982" s="3"/>
      <c r="D982" s="3"/>
      <c r="E982" s="80"/>
      <c r="F982" s="54"/>
      <c r="G982" s="3"/>
      <c r="H982" s="3"/>
      <c r="I982" s="3"/>
      <c r="J982" s="3"/>
      <c r="K982" s="3"/>
      <c r="L982" s="54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3"/>
      <c r="C983" s="3"/>
      <c r="D983" s="3"/>
      <c r="E983" s="80"/>
      <c r="F983" s="54"/>
      <c r="G983" s="3"/>
      <c r="H983" s="3"/>
      <c r="I983" s="3"/>
      <c r="J983" s="3"/>
      <c r="K983" s="3"/>
      <c r="L983" s="54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3"/>
      <c r="C984" s="3"/>
      <c r="D984" s="3"/>
      <c r="E984" s="80"/>
      <c r="F984" s="54"/>
      <c r="G984" s="3"/>
      <c r="H984" s="3"/>
      <c r="I984" s="3"/>
      <c r="J984" s="3"/>
      <c r="K984" s="3"/>
      <c r="L984" s="54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3"/>
      <c r="B985" s="3"/>
      <c r="C985" s="3"/>
      <c r="D985" s="3"/>
      <c r="E985" s="80"/>
      <c r="F985" s="54"/>
      <c r="G985" s="3"/>
      <c r="H985" s="3"/>
      <c r="I985" s="3"/>
      <c r="J985" s="3"/>
      <c r="K985" s="3"/>
      <c r="L985" s="54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3"/>
      <c r="B986" s="3"/>
      <c r="C986" s="3"/>
      <c r="D986" s="3"/>
      <c r="E986" s="80"/>
      <c r="F986" s="54"/>
      <c r="G986" s="3"/>
      <c r="H986" s="3"/>
      <c r="I986" s="3"/>
      <c r="J986" s="3"/>
      <c r="K986" s="3"/>
      <c r="L986" s="54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3"/>
      <c r="B987" s="3"/>
      <c r="C987" s="3"/>
      <c r="D987" s="3"/>
      <c r="E987" s="80"/>
      <c r="F987" s="54"/>
      <c r="G987" s="3"/>
      <c r="H987" s="3"/>
      <c r="I987" s="3"/>
      <c r="J987" s="3"/>
      <c r="K987" s="3"/>
      <c r="L987" s="54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3"/>
      <c r="B988" s="3"/>
      <c r="C988" s="3"/>
      <c r="D988" s="3"/>
      <c r="E988" s="80"/>
      <c r="F988" s="54"/>
      <c r="G988" s="3"/>
      <c r="H988" s="3"/>
      <c r="I988" s="3"/>
      <c r="J988" s="3"/>
      <c r="K988" s="3"/>
      <c r="L988" s="54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3"/>
      <c r="B989" s="3"/>
      <c r="C989" s="3"/>
      <c r="D989" s="3"/>
      <c r="E989" s="80"/>
      <c r="F989" s="54"/>
      <c r="G989" s="3"/>
      <c r="H989" s="3"/>
      <c r="I989" s="3"/>
      <c r="J989" s="3"/>
      <c r="K989" s="3"/>
      <c r="L989" s="54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3"/>
      <c r="B990" s="3"/>
      <c r="C990" s="3"/>
      <c r="D990" s="3"/>
      <c r="E990" s="80"/>
      <c r="F990" s="54"/>
      <c r="G990" s="3"/>
      <c r="H990" s="3"/>
      <c r="I990" s="3"/>
      <c r="J990" s="3"/>
      <c r="K990" s="3"/>
      <c r="L990" s="54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3"/>
      <c r="B991" s="3"/>
      <c r="C991" s="3"/>
      <c r="D991" s="3"/>
      <c r="E991" s="80"/>
      <c r="F991" s="54"/>
      <c r="G991" s="3"/>
      <c r="H991" s="3"/>
      <c r="I991" s="3"/>
      <c r="J991" s="3"/>
      <c r="K991" s="3"/>
      <c r="L991" s="54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3"/>
      <c r="B992" s="3"/>
      <c r="C992" s="3"/>
      <c r="D992" s="3"/>
      <c r="E992" s="80"/>
      <c r="F992" s="54"/>
      <c r="G992" s="3"/>
      <c r="H992" s="3"/>
      <c r="I992" s="3"/>
      <c r="J992" s="3"/>
      <c r="K992" s="3"/>
      <c r="L992" s="54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3"/>
      <c r="B993" s="3"/>
      <c r="C993" s="3"/>
      <c r="D993" s="3"/>
      <c r="E993" s="80"/>
      <c r="F993" s="54"/>
      <c r="G993" s="3"/>
      <c r="H993" s="3"/>
      <c r="I993" s="3"/>
      <c r="J993" s="3"/>
      <c r="K993" s="3"/>
      <c r="L993" s="54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3"/>
      <c r="B994" s="3"/>
      <c r="C994" s="3"/>
      <c r="D994" s="3"/>
      <c r="E994" s="80"/>
      <c r="F994" s="54"/>
      <c r="G994" s="3"/>
      <c r="H994" s="3"/>
      <c r="I994" s="3"/>
      <c r="J994" s="3"/>
      <c r="K994" s="3"/>
      <c r="L994" s="54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3"/>
      <c r="B995" s="3"/>
      <c r="C995" s="3"/>
      <c r="D995" s="3"/>
      <c r="E995" s="80"/>
      <c r="F995" s="54"/>
      <c r="G995" s="3"/>
      <c r="H995" s="3"/>
      <c r="I995" s="3"/>
      <c r="J995" s="3"/>
      <c r="K995" s="3"/>
      <c r="L995" s="54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3"/>
      <c r="B996" s="3"/>
      <c r="C996" s="3"/>
      <c r="D996" s="3"/>
      <c r="E996" s="80"/>
      <c r="F996" s="54"/>
      <c r="G996" s="3"/>
      <c r="H996" s="3"/>
      <c r="I996" s="3"/>
      <c r="J996" s="3"/>
      <c r="K996" s="3"/>
      <c r="L996" s="54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3"/>
      <c r="B997" s="3"/>
      <c r="C997" s="3"/>
      <c r="D997" s="3"/>
      <c r="E997" s="80"/>
      <c r="F997" s="54"/>
      <c r="G997" s="3"/>
      <c r="H997" s="3"/>
      <c r="I997" s="3"/>
      <c r="J997" s="3"/>
      <c r="K997" s="3"/>
      <c r="L997" s="54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3"/>
      <c r="B998" s="3"/>
      <c r="C998" s="3"/>
      <c r="D998" s="3"/>
      <c r="E998" s="80"/>
      <c r="F998" s="54"/>
      <c r="G998" s="3"/>
      <c r="H998" s="3"/>
      <c r="I998" s="3"/>
      <c r="J998" s="3"/>
      <c r="K998" s="3"/>
      <c r="L998" s="54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>
      <c r="A999" s="3"/>
      <c r="B999" s="3"/>
      <c r="C999" s="3"/>
      <c r="D999" s="3"/>
      <c r="E999" s="80"/>
      <c r="F999" s="54"/>
      <c r="G999" s="3"/>
      <c r="H999" s="3"/>
      <c r="I999" s="3"/>
      <c r="J999" s="3"/>
      <c r="K999" s="3"/>
      <c r="L999" s="54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>
      <c r="A1000" s="3"/>
      <c r="B1000" s="3"/>
      <c r="C1000" s="3"/>
      <c r="D1000" s="3"/>
      <c r="E1000" s="80"/>
      <c r="F1000" s="54"/>
      <c r="G1000" s="3"/>
      <c r="H1000" s="3"/>
      <c r="I1000" s="3"/>
      <c r="J1000" s="3"/>
      <c r="K1000" s="3"/>
      <c r="L1000" s="54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mergeCells count="2">
    <mergeCell ref="A1:H1"/>
    <mergeCell ref="A2:H2"/>
  </mergeCells>
  <conditionalFormatting sqref="D5:D25 D28:D39">
    <cfRule type="containsBlanks" dxfId="0" priority="1">
      <formula>LEN(TRIM(D5))=0</formula>
    </cfRule>
  </conditionalFormatting>
  <conditionalFormatting sqref="F5:F25 F28:F39">
    <cfRule type="cellIs" dxfId="1" priority="2" operator="equal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11.13"/>
    <col customWidth="1" min="3" max="3" width="13.88"/>
    <col customWidth="1" min="4" max="4" width="8.63"/>
    <col customWidth="1" min="5" max="5" width="15.75"/>
    <col customWidth="1" min="6" max="6" width="7.5"/>
    <col customWidth="1" min="7" max="7" width="5.13"/>
    <col customWidth="1" min="8" max="8" width="13.25"/>
    <col customWidth="1" min="9" max="9" width="15.25"/>
    <col customWidth="1" min="10" max="10" width="8.63"/>
    <col customWidth="1" min="11" max="11" width="14.63"/>
    <col customWidth="1" min="12" max="12" width="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P1" s="4"/>
      <c r="Q1" s="4"/>
      <c r="R1" s="4"/>
      <c r="S1" s="4"/>
      <c r="T1" s="4"/>
      <c r="U1" s="4"/>
      <c r="V1" s="4"/>
    </row>
    <row r="2">
      <c r="A2" s="5" t="s">
        <v>2</v>
      </c>
      <c r="P2" s="4"/>
      <c r="Q2" s="4"/>
      <c r="R2" s="4"/>
      <c r="S2" s="4"/>
      <c r="T2" s="4"/>
      <c r="U2" s="4"/>
      <c r="V2" s="4"/>
    </row>
    <row r="3">
      <c r="A3" s="8" t="s">
        <v>4</v>
      </c>
      <c r="B3" s="10"/>
      <c r="C3" s="10"/>
      <c r="D3" s="10"/>
      <c r="E3" s="10"/>
      <c r="F3" s="10"/>
      <c r="G3" s="10"/>
      <c r="H3" s="13"/>
      <c r="P3" s="4"/>
      <c r="Q3" s="4"/>
      <c r="R3" s="4"/>
      <c r="S3" s="4"/>
      <c r="T3" s="4"/>
      <c r="U3" s="4"/>
      <c r="V3" s="4"/>
    </row>
    <row r="4">
      <c r="A4" s="15" t="s">
        <v>6</v>
      </c>
      <c r="B4" s="17" t="s">
        <v>7</v>
      </c>
      <c r="C4" s="19" t="s">
        <v>8</v>
      </c>
      <c r="D4" s="21" t="s">
        <v>9</v>
      </c>
      <c r="E4" s="23" t="s">
        <v>10</v>
      </c>
      <c r="F4" s="24" t="s">
        <v>11</v>
      </c>
      <c r="H4" s="26" t="s">
        <v>12</v>
      </c>
      <c r="P4" s="4"/>
      <c r="Q4" s="4"/>
      <c r="R4" s="4"/>
      <c r="S4" s="4"/>
      <c r="T4" s="4"/>
      <c r="U4" s="4"/>
      <c r="V4" s="4"/>
    </row>
    <row r="5">
      <c r="A5" s="29" t="s">
        <v>13</v>
      </c>
      <c r="B5" s="30" t="s">
        <v>14</v>
      </c>
      <c r="C5" s="32">
        <v>46141.99930555555</v>
      </c>
      <c r="D5" s="33" t="s">
        <v>15</v>
      </c>
      <c r="E5" s="35">
        <f t="shared" ref="E5:E25" si="1">IF(D5&lt;&gt;"",IF(E5="",NOW(),E5),"")</f>
        <v>46139.98696</v>
      </c>
      <c r="F5" s="37">
        <f t="shared" ref="F5:F25" si="2">if(D5 = "", 0,IF(E5&lt;C5,0.5,0))</f>
        <v>0.5</v>
      </c>
      <c r="H5" s="38">
        <f t="shared" ref="H5:H25" si="3">if(D5 &lt;&gt; "", ABS(E5-C5), "0")</f>
        <v>2.0123489</v>
      </c>
      <c r="P5" s="4"/>
      <c r="Q5" s="4"/>
      <c r="R5" s="4"/>
      <c r="S5" s="4"/>
      <c r="T5" s="4"/>
      <c r="U5" s="4"/>
      <c r="V5" s="4"/>
    </row>
    <row r="6">
      <c r="A6" s="39" t="s">
        <v>16</v>
      </c>
      <c r="B6" s="30" t="s">
        <v>14</v>
      </c>
      <c r="C6" s="32">
        <v>46141.99930555555</v>
      </c>
      <c r="D6" s="33" t="s">
        <v>15</v>
      </c>
      <c r="E6" s="35">
        <f t="shared" si="1"/>
        <v>46139.987</v>
      </c>
      <c r="F6" s="37">
        <f t="shared" si="2"/>
        <v>0.5</v>
      </c>
      <c r="H6" s="38">
        <f t="shared" si="3"/>
        <v>2.012308322</v>
      </c>
      <c r="P6" s="4"/>
      <c r="Q6" s="4"/>
      <c r="R6" s="4"/>
      <c r="S6" s="4"/>
      <c r="T6" s="4"/>
      <c r="U6" s="4"/>
      <c r="V6" s="4"/>
    </row>
    <row r="7">
      <c r="A7" s="39" t="s">
        <v>17</v>
      </c>
      <c r="B7" s="30" t="s">
        <v>18</v>
      </c>
      <c r="C7" s="32">
        <v>46114.99930555555</v>
      </c>
      <c r="D7" s="33" t="s">
        <v>15</v>
      </c>
      <c r="E7" s="35">
        <f t="shared" si="1"/>
        <v>46114.37465</v>
      </c>
      <c r="F7" s="37">
        <f t="shared" si="2"/>
        <v>0.5</v>
      </c>
      <c r="H7" s="38">
        <f t="shared" si="3"/>
        <v>0.6246518981</v>
      </c>
      <c r="P7" s="4"/>
      <c r="Q7" s="4"/>
      <c r="R7" s="4"/>
      <c r="S7" s="4"/>
      <c r="T7" s="4"/>
      <c r="U7" s="4"/>
      <c r="V7" s="4"/>
    </row>
    <row r="8">
      <c r="A8" s="39" t="s">
        <v>19</v>
      </c>
      <c r="B8" s="30" t="s">
        <v>20</v>
      </c>
      <c r="C8" s="32">
        <v>46114.99930555555</v>
      </c>
      <c r="D8" s="33" t="s">
        <v>21</v>
      </c>
      <c r="E8" s="35">
        <f t="shared" si="1"/>
        <v>46114.11866</v>
      </c>
      <c r="F8" s="37">
        <f t="shared" si="2"/>
        <v>0.5</v>
      </c>
      <c r="H8" s="38">
        <f t="shared" si="3"/>
        <v>0.880644456</v>
      </c>
      <c r="P8" s="4"/>
      <c r="Q8" s="4"/>
      <c r="R8" s="4"/>
      <c r="S8" s="4"/>
      <c r="T8" s="4"/>
      <c r="U8" s="4"/>
      <c r="V8" s="4"/>
    </row>
    <row r="9">
      <c r="A9" s="39" t="s">
        <v>22</v>
      </c>
      <c r="B9" s="30" t="s">
        <v>23</v>
      </c>
      <c r="C9" s="32">
        <v>46114.99930555555</v>
      </c>
      <c r="D9" s="33" t="s">
        <v>21</v>
      </c>
      <c r="E9" s="35">
        <f t="shared" si="1"/>
        <v>46113.35996</v>
      </c>
      <c r="F9" s="37">
        <f t="shared" si="2"/>
        <v>0.5</v>
      </c>
      <c r="H9" s="38">
        <f t="shared" si="3"/>
        <v>1.639347095</v>
      </c>
      <c r="P9" s="4"/>
      <c r="Q9" s="4"/>
      <c r="R9" s="4"/>
      <c r="S9" s="4"/>
      <c r="T9" s="4"/>
      <c r="U9" s="4"/>
      <c r="V9" s="4"/>
    </row>
    <row r="10">
      <c r="A10" s="39" t="s">
        <v>24</v>
      </c>
      <c r="B10" s="30" t="s">
        <v>23</v>
      </c>
      <c r="C10" s="32">
        <v>46114.99930555555</v>
      </c>
      <c r="D10" s="33" t="s">
        <v>21</v>
      </c>
      <c r="E10" s="35">
        <f t="shared" si="1"/>
        <v>46113.35997</v>
      </c>
      <c r="F10" s="37">
        <f t="shared" si="2"/>
        <v>0.5</v>
      </c>
      <c r="H10" s="38">
        <f t="shared" si="3"/>
        <v>1.639335382</v>
      </c>
      <c r="P10" s="4"/>
      <c r="Q10" s="4"/>
      <c r="R10" s="4"/>
      <c r="S10" s="4"/>
      <c r="T10" s="4"/>
      <c r="U10" s="4"/>
      <c r="V10" s="4"/>
    </row>
    <row r="11">
      <c r="A11" s="39" t="s">
        <v>25</v>
      </c>
      <c r="B11" s="30" t="s">
        <v>14</v>
      </c>
      <c r="C11" s="32">
        <v>46120.99930555555</v>
      </c>
      <c r="D11" s="33" t="s">
        <v>15</v>
      </c>
      <c r="E11" s="35">
        <f t="shared" si="1"/>
        <v>46119.94865</v>
      </c>
      <c r="F11" s="37">
        <f t="shared" si="2"/>
        <v>0.5</v>
      </c>
      <c r="H11" s="38">
        <f t="shared" si="3"/>
        <v>1.050652581</v>
      </c>
      <c r="P11" s="4"/>
      <c r="Q11" s="4"/>
      <c r="R11" s="4"/>
      <c r="S11" s="4"/>
      <c r="T11" s="4"/>
      <c r="U11" s="4"/>
      <c r="V11" s="4"/>
    </row>
    <row r="12">
      <c r="A12" s="49" t="s">
        <v>26</v>
      </c>
      <c r="B12" s="30" t="s">
        <v>14</v>
      </c>
      <c r="C12" s="32">
        <v>46120.99930555555</v>
      </c>
      <c r="D12" s="33" t="s">
        <v>15</v>
      </c>
      <c r="E12" s="35">
        <f t="shared" si="1"/>
        <v>46119.94871</v>
      </c>
      <c r="F12" s="37">
        <f t="shared" si="2"/>
        <v>0.5</v>
      </c>
      <c r="H12" s="38">
        <f t="shared" si="3"/>
        <v>1.050594537</v>
      </c>
      <c r="K12" s="50"/>
      <c r="P12" s="4"/>
      <c r="Q12" s="4"/>
      <c r="R12" s="4"/>
      <c r="S12" s="4"/>
      <c r="T12" s="4"/>
      <c r="U12" s="4"/>
      <c r="V12" s="4"/>
    </row>
    <row r="13">
      <c r="A13" s="49" t="s">
        <v>27</v>
      </c>
      <c r="B13" s="30" t="s">
        <v>23</v>
      </c>
      <c r="C13" s="32">
        <v>46122.99930555555</v>
      </c>
      <c r="D13" s="33" t="s">
        <v>28</v>
      </c>
      <c r="E13" s="35">
        <f t="shared" si="1"/>
        <v>46121.54629</v>
      </c>
      <c r="F13" s="37">
        <f t="shared" si="2"/>
        <v>0.5</v>
      </c>
      <c r="H13" s="38">
        <f t="shared" si="3"/>
        <v>1.453015648</v>
      </c>
      <c r="K13" s="50"/>
      <c r="P13" s="4"/>
      <c r="Q13" s="4"/>
      <c r="R13" s="4"/>
      <c r="S13" s="4"/>
      <c r="T13" s="4"/>
      <c r="U13" s="4"/>
      <c r="V13" s="4"/>
    </row>
    <row r="14">
      <c r="A14" s="49" t="s">
        <v>29</v>
      </c>
      <c r="B14" s="30" t="s">
        <v>30</v>
      </c>
      <c r="C14" s="32">
        <v>46122.99930555555</v>
      </c>
      <c r="D14" s="33" t="s">
        <v>21</v>
      </c>
      <c r="E14" s="35">
        <f t="shared" si="1"/>
        <v>46122.25671</v>
      </c>
      <c r="F14" s="37">
        <f t="shared" si="2"/>
        <v>0.5</v>
      </c>
      <c r="H14" s="38">
        <f t="shared" si="3"/>
        <v>0.7425992477</v>
      </c>
      <c r="K14" s="50"/>
      <c r="P14" s="4"/>
      <c r="Q14" s="4"/>
      <c r="R14" s="4"/>
      <c r="S14" s="4"/>
      <c r="T14" s="4"/>
      <c r="U14" s="4"/>
      <c r="V14" s="4"/>
    </row>
    <row r="15">
      <c r="A15" s="49" t="s">
        <v>32</v>
      </c>
      <c r="B15" s="30" t="s">
        <v>20</v>
      </c>
      <c r="C15" s="32">
        <v>46122.99930555555</v>
      </c>
      <c r="D15" s="33" t="s">
        <v>21</v>
      </c>
      <c r="E15" s="35">
        <f t="shared" si="1"/>
        <v>46121.19183</v>
      </c>
      <c r="F15" s="37">
        <f t="shared" si="2"/>
        <v>0.5</v>
      </c>
      <c r="H15" s="38">
        <f t="shared" si="3"/>
        <v>1.807471887</v>
      </c>
      <c r="K15" s="50"/>
      <c r="P15" s="4"/>
      <c r="Q15" s="4"/>
      <c r="R15" s="4"/>
      <c r="S15" s="4"/>
      <c r="T15" s="4"/>
      <c r="U15" s="4"/>
      <c r="V15" s="4"/>
    </row>
    <row r="16">
      <c r="A16" s="49" t="s">
        <v>33</v>
      </c>
      <c r="B16" s="30" t="s">
        <v>20</v>
      </c>
      <c r="C16" s="32">
        <v>46127.99930555555</v>
      </c>
      <c r="D16" s="33" t="s">
        <v>21</v>
      </c>
      <c r="E16" s="35">
        <f t="shared" si="1"/>
        <v>46126.04044</v>
      </c>
      <c r="F16" s="37">
        <f t="shared" si="2"/>
        <v>0.5</v>
      </c>
      <c r="H16" s="38">
        <f t="shared" si="3"/>
        <v>1.958867928</v>
      </c>
      <c r="K16" s="50"/>
      <c r="P16" s="4"/>
      <c r="Q16" s="4"/>
      <c r="R16" s="4"/>
      <c r="S16" s="4"/>
      <c r="T16" s="4"/>
      <c r="U16" s="4"/>
      <c r="V16" s="4"/>
    </row>
    <row r="17">
      <c r="A17" s="49" t="s">
        <v>34</v>
      </c>
      <c r="B17" s="30" t="s">
        <v>30</v>
      </c>
      <c r="C17" s="32">
        <v>46127.99930555555</v>
      </c>
      <c r="D17" s="33" t="s">
        <v>21</v>
      </c>
      <c r="E17" s="35">
        <f t="shared" si="1"/>
        <v>46126.23018</v>
      </c>
      <c r="F17" s="37">
        <f t="shared" si="2"/>
        <v>0.5</v>
      </c>
      <c r="G17" s="4"/>
      <c r="H17" s="38">
        <f t="shared" si="3"/>
        <v>1.76912816</v>
      </c>
      <c r="I17" s="4"/>
      <c r="J17" s="4"/>
      <c r="K17" s="4"/>
      <c r="L17" s="53"/>
      <c r="P17" s="4"/>
      <c r="Q17" s="4"/>
      <c r="R17" s="4"/>
      <c r="S17" s="4"/>
      <c r="T17" s="4"/>
      <c r="U17" s="4"/>
      <c r="V17" s="4"/>
    </row>
    <row r="18">
      <c r="A18" s="49" t="s">
        <v>35</v>
      </c>
      <c r="B18" s="30" t="s">
        <v>14</v>
      </c>
      <c r="C18" s="32">
        <v>46129.99930555555</v>
      </c>
      <c r="D18" s="33" t="s">
        <v>15</v>
      </c>
      <c r="E18" s="35">
        <f t="shared" si="1"/>
        <v>46128.32379</v>
      </c>
      <c r="F18" s="37">
        <f t="shared" si="2"/>
        <v>0.5</v>
      </c>
      <c r="G18" s="4"/>
      <c r="H18" s="38">
        <f t="shared" si="3"/>
        <v>1.675520081</v>
      </c>
      <c r="I18" s="4"/>
      <c r="J18" s="4"/>
      <c r="K18" s="4"/>
      <c r="L18" s="53"/>
      <c r="P18" s="4"/>
      <c r="Q18" s="4"/>
      <c r="R18" s="4"/>
      <c r="S18" s="4"/>
      <c r="T18" s="4"/>
      <c r="U18" s="4"/>
      <c r="V18" s="4"/>
    </row>
    <row r="19">
      <c r="A19" s="49" t="s">
        <v>36</v>
      </c>
      <c r="B19" s="30" t="s">
        <v>37</v>
      </c>
      <c r="C19" s="32">
        <v>46129.99930555555</v>
      </c>
      <c r="D19" s="33" t="s">
        <v>21</v>
      </c>
      <c r="E19" s="35">
        <f t="shared" si="1"/>
        <v>46129.32724</v>
      </c>
      <c r="F19" s="37">
        <f t="shared" si="2"/>
        <v>0.5</v>
      </c>
      <c r="G19" s="4"/>
      <c r="H19" s="38">
        <f t="shared" si="3"/>
        <v>0.672067338</v>
      </c>
      <c r="I19" s="4"/>
      <c r="J19" s="4"/>
      <c r="K19" s="4"/>
      <c r="L19" s="53"/>
      <c r="P19" s="4"/>
      <c r="Q19" s="4"/>
      <c r="R19" s="4"/>
      <c r="S19" s="4"/>
      <c r="T19" s="4"/>
      <c r="U19" s="4"/>
      <c r="V19" s="4"/>
    </row>
    <row r="20">
      <c r="A20" s="49" t="s">
        <v>38</v>
      </c>
      <c r="B20" s="30" t="s">
        <v>30</v>
      </c>
      <c r="C20" s="32">
        <v>46133.99930555555</v>
      </c>
      <c r="D20" s="33" t="s">
        <v>21</v>
      </c>
      <c r="E20" s="35">
        <f t="shared" si="1"/>
        <v>46132.20056</v>
      </c>
      <c r="F20" s="37">
        <f t="shared" si="2"/>
        <v>0.5</v>
      </c>
      <c r="G20" s="4"/>
      <c r="H20" s="38">
        <f t="shared" si="3"/>
        <v>1.798744618</v>
      </c>
      <c r="I20" s="4"/>
      <c r="J20" s="4"/>
      <c r="K20" s="4"/>
      <c r="L20" s="53"/>
      <c r="P20" s="4"/>
      <c r="Q20" s="4"/>
      <c r="R20" s="4"/>
      <c r="S20" s="4"/>
      <c r="T20" s="4"/>
      <c r="U20" s="4"/>
      <c r="V20" s="4"/>
    </row>
    <row r="21">
      <c r="A21" s="49" t="s">
        <v>39</v>
      </c>
      <c r="B21" s="30" t="s">
        <v>18</v>
      </c>
      <c r="C21" s="32">
        <v>46133.99930555555</v>
      </c>
      <c r="D21" s="33" t="s">
        <v>15</v>
      </c>
      <c r="E21" s="35">
        <f t="shared" si="1"/>
        <v>46132.58327</v>
      </c>
      <c r="F21" s="37">
        <f t="shared" si="2"/>
        <v>0.5</v>
      </c>
      <c r="G21" s="4"/>
      <c r="H21" s="38">
        <f t="shared" si="3"/>
        <v>1.416038356</v>
      </c>
      <c r="I21" s="4"/>
      <c r="J21" s="4"/>
      <c r="K21" s="4"/>
      <c r="L21" s="53"/>
      <c r="P21" s="4"/>
      <c r="Q21" s="4"/>
      <c r="R21" s="4"/>
      <c r="S21" s="4"/>
      <c r="T21" s="4"/>
      <c r="U21" s="4"/>
      <c r="V21" s="4"/>
    </row>
    <row r="22">
      <c r="A22" s="49" t="s">
        <v>40</v>
      </c>
      <c r="B22" s="30" t="s">
        <v>37</v>
      </c>
      <c r="C22" s="32">
        <v>46135.99930555555</v>
      </c>
      <c r="D22" s="33" t="s">
        <v>21</v>
      </c>
      <c r="E22" s="35">
        <f t="shared" si="1"/>
        <v>46134.36808</v>
      </c>
      <c r="F22" s="37">
        <f t="shared" si="2"/>
        <v>0.5</v>
      </c>
      <c r="G22" s="4"/>
      <c r="H22" s="38">
        <f t="shared" si="3"/>
        <v>1.631226794</v>
      </c>
      <c r="I22" s="4"/>
      <c r="J22" s="4"/>
      <c r="K22" s="4"/>
      <c r="L22" s="53"/>
      <c r="P22" s="4"/>
      <c r="Q22" s="4"/>
      <c r="R22" s="4"/>
      <c r="S22" s="4"/>
      <c r="T22" s="4"/>
      <c r="U22" s="4"/>
      <c r="V22" s="4"/>
    </row>
    <row r="23">
      <c r="A23" s="49" t="s">
        <v>41</v>
      </c>
      <c r="B23" s="30" t="s">
        <v>18</v>
      </c>
      <c r="C23" s="32">
        <v>46135.99930555555</v>
      </c>
      <c r="D23" s="33" t="s">
        <v>15</v>
      </c>
      <c r="E23" s="35">
        <f t="shared" si="1"/>
        <v>46134.52603</v>
      </c>
      <c r="F23" s="37">
        <f t="shared" si="2"/>
        <v>0.5</v>
      </c>
      <c r="G23" s="4"/>
      <c r="H23" s="38">
        <f t="shared" si="3"/>
        <v>1.473279375</v>
      </c>
      <c r="I23" s="4"/>
      <c r="J23" s="4"/>
      <c r="K23" s="4"/>
      <c r="L23" s="53"/>
      <c r="P23" s="4"/>
      <c r="Q23" s="4"/>
      <c r="R23" s="4"/>
      <c r="S23" s="4"/>
      <c r="T23" s="4"/>
      <c r="U23" s="4"/>
      <c r="V23" s="4"/>
    </row>
    <row r="24">
      <c r="A24" s="49" t="s">
        <v>42</v>
      </c>
      <c r="B24" s="30" t="s">
        <v>23</v>
      </c>
      <c r="C24" s="32">
        <v>46136.99930555555</v>
      </c>
      <c r="D24" s="33" t="s">
        <v>21</v>
      </c>
      <c r="E24" s="35">
        <f t="shared" si="1"/>
        <v>46135.3082</v>
      </c>
      <c r="F24" s="37">
        <f t="shared" si="2"/>
        <v>0.5</v>
      </c>
      <c r="G24" s="4"/>
      <c r="H24" s="38">
        <f t="shared" si="3"/>
        <v>1.691106389</v>
      </c>
      <c r="I24" s="4"/>
      <c r="J24" s="4"/>
      <c r="K24" s="4"/>
      <c r="L24" s="53"/>
      <c r="P24" s="4"/>
      <c r="Q24" s="4"/>
      <c r="R24" s="4"/>
      <c r="S24" s="4"/>
      <c r="T24" s="4"/>
      <c r="U24" s="4"/>
      <c r="V24" s="4"/>
    </row>
    <row r="25">
      <c r="A25" s="55" t="s">
        <v>43</v>
      </c>
      <c r="B25" s="30" t="s">
        <v>37</v>
      </c>
      <c r="C25" s="32">
        <v>46136.99930555555</v>
      </c>
      <c r="D25" s="56" t="s">
        <v>21</v>
      </c>
      <c r="E25" s="35">
        <f t="shared" si="1"/>
        <v>46135.4134</v>
      </c>
      <c r="F25" s="57">
        <f t="shared" si="2"/>
        <v>0.5</v>
      </c>
      <c r="G25" s="4"/>
      <c r="H25" s="58">
        <f t="shared" si="3"/>
        <v>1.585908137</v>
      </c>
      <c r="I25" s="4"/>
      <c r="J25" s="4"/>
      <c r="K25" s="4"/>
      <c r="L25" s="53"/>
      <c r="P25" s="4"/>
      <c r="Q25" s="4"/>
      <c r="R25" s="4"/>
      <c r="S25" s="4"/>
      <c r="T25" s="4"/>
      <c r="U25" s="4"/>
      <c r="V25" s="4"/>
    </row>
    <row r="26">
      <c r="A26" s="59" t="s">
        <v>44</v>
      </c>
      <c r="B26" s="60"/>
      <c r="C26" s="60"/>
      <c r="D26" s="60"/>
      <c r="E26" s="60"/>
      <c r="F26" s="60"/>
      <c r="G26" s="60"/>
      <c r="H26" s="61"/>
      <c r="I26" s="4"/>
      <c r="J26" s="4"/>
      <c r="K26" s="4"/>
      <c r="L26" s="53"/>
      <c r="P26" s="4"/>
      <c r="Q26" s="4"/>
      <c r="R26" s="4"/>
      <c r="S26" s="4"/>
      <c r="T26" s="4"/>
      <c r="U26" s="4"/>
      <c r="V26" s="4"/>
    </row>
    <row r="27">
      <c r="A27" s="63" t="s">
        <v>6</v>
      </c>
      <c r="B27" s="17" t="s">
        <v>7</v>
      </c>
      <c r="C27" s="64" t="s">
        <v>8</v>
      </c>
      <c r="D27" s="65" t="s">
        <v>9</v>
      </c>
      <c r="E27" s="27" t="s">
        <v>10</v>
      </c>
      <c r="F27" s="28" t="s">
        <v>11</v>
      </c>
      <c r="G27" s="4"/>
      <c r="H27" s="26" t="s">
        <v>12</v>
      </c>
      <c r="K27" s="4"/>
      <c r="L27" s="53"/>
      <c r="P27" s="4"/>
      <c r="Q27" s="4"/>
      <c r="R27" s="4"/>
      <c r="S27" s="4"/>
      <c r="T27" s="4"/>
      <c r="U27" s="4"/>
      <c r="V27" s="4"/>
    </row>
    <row r="28">
      <c r="A28" s="29" t="s">
        <v>45</v>
      </c>
      <c r="B28" s="30" t="s">
        <v>20</v>
      </c>
      <c r="C28" s="32">
        <v>46141.99930555555</v>
      </c>
      <c r="D28" s="33" t="s">
        <v>21</v>
      </c>
      <c r="E28" s="35">
        <f t="shared" ref="E28:E39" si="4">IF(D28&lt;&gt;"",IF(E28="",NOW(),E28),"")</f>
        <v>46141.07364</v>
      </c>
      <c r="F28" s="37">
        <f t="shared" ref="F28:F39" si="5">if(D28 = "", 0,IF(E28&lt;C28,0.5,0))</f>
        <v>0.5</v>
      </c>
      <c r="G28" s="4"/>
      <c r="H28" s="38">
        <f t="shared" ref="H28:H39" si="6">if(D28 &lt;&gt; "", ABS(E28-C28), "0")</f>
        <v>0.9256661111</v>
      </c>
      <c r="K28" s="4"/>
      <c r="L28" s="53"/>
      <c r="P28" s="4"/>
      <c r="Q28" s="4"/>
      <c r="R28" s="4"/>
      <c r="S28" s="4"/>
      <c r="T28" s="4"/>
      <c r="U28" s="4"/>
      <c r="V28" s="4"/>
    </row>
    <row r="29">
      <c r="A29" s="68" t="s">
        <v>46</v>
      </c>
      <c r="B29" s="30" t="s">
        <v>20</v>
      </c>
      <c r="C29" s="32">
        <v>46141.99930555555</v>
      </c>
      <c r="D29" s="33" t="s">
        <v>21</v>
      </c>
      <c r="E29" s="35">
        <f t="shared" si="4"/>
        <v>46141.07367</v>
      </c>
      <c r="F29" s="37">
        <f t="shared" si="5"/>
        <v>0.5</v>
      </c>
      <c r="G29" s="4"/>
      <c r="H29" s="38">
        <f t="shared" si="6"/>
        <v>0.9256371643</v>
      </c>
      <c r="K29" s="4"/>
      <c r="L29" s="53"/>
      <c r="P29" s="4"/>
      <c r="Q29" s="4"/>
      <c r="R29" s="4"/>
      <c r="S29" s="4"/>
      <c r="T29" s="4"/>
      <c r="U29" s="4"/>
      <c r="V29" s="4"/>
    </row>
    <row r="30">
      <c r="A30" s="68" t="s">
        <v>47</v>
      </c>
      <c r="B30" s="30" t="s">
        <v>23</v>
      </c>
      <c r="C30" s="32">
        <v>46114.99930555555</v>
      </c>
      <c r="D30" s="33" t="s">
        <v>21</v>
      </c>
      <c r="E30" s="35">
        <f t="shared" si="4"/>
        <v>46113.36006</v>
      </c>
      <c r="F30" s="37">
        <f t="shared" si="5"/>
        <v>0.5</v>
      </c>
      <c r="G30" s="4"/>
      <c r="H30" s="38">
        <f t="shared" si="6"/>
        <v>1.63924235</v>
      </c>
      <c r="K30" s="4"/>
      <c r="L30" s="53"/>
      <c r="P30" s="4"/>
      <c r="Q30" s="4"/>
      <c r="R30" s="4"/>
      <c r="S30" s="4"/>
      <c r="T30" s="4"/>
      <c r="U30" s="4"/>
      <c r="V30" s="4"/>
    </row>
    <row r="31">
      <c r="A31" s="68" t="s">
        <v>48</v>
      </c>
      <c r="B31" s="30" t="s">
        <v>14</v>
      </c>
      <c r="C31" s="32">
        <v>46114.99930555555</v>
      </c>
      <c r="D31" s="33" t="s">
        <v>15</v>
      </c>
      <c r="E31" s="35">
        <f t="shared" si="4"/>
        <v>46117.93298</v>
      </c>
      <c r="F31" s="37">
        <f t="shared" si="5"/>
        <v>0</v>
      </c>
      <c r="G31" s="4"/>
      <c r="H31" s="38">
        <f t="shared" si="6"/>
        <v>2.933672535</v>
      </c>
      <c r="K31" s="4"/>
      <c r="L31" s="53"/>
      <c r="P31" s="4"/>
      <c r="Q31" s="4"/>
      <c r="R31" s="4"/>
      <c r="S31" s="4"/>
      <c r="T31" s="4"/>
      <c r="U31" s="4"/>
      <c r="V31" s="4"/>
    </row>
    <row r="32">
      <c r="A32" s="69" t="s">
        <v>50</v>
      </c>
      <c r="B32" s="30" t="s">
        <v>23</v>
      </c>
      <c r="C32" s="32">
        <v>46120.99930555555</v>
      </c>
      <c r="D32" s="33" t="s">
        <v>21</v>
      </c>
      <c r="E32" s="35">
        <f t="shared" si="4"/>
        <v>46119.2521</v>
      </c>
      <c r="F32" s="37">
        <f t="shared" si="5"/>
        <v>0.5</v>
      </c>
      <c r="G32" s="4"/>
      <c r="H32" s="38">
        <f t="shared" si="6"/>
        <v>1.747208229</v>
      </c>
      <c r="K32" s="4"/>
      <c r="L32" s="53"/>
      <c r="P32" s="4"/>
      <c r="Q32" s="4"/>
      <c r="R32" s="4"/>
      <c r="S32" s="4"/>
      <c r="T32" s="4"/>
      <c r="U32" s="4"/>
      <c r="V32" s="4"/>
    </row>
    <row r="33">
      <c r="A33" s="69" t="s">
        <v>51</v>
      </c>
      <c r="B33" s="30" t="s">
        <v>20</v>
      </c>
      <c r="C33" s="32">
        <v>46122.99930555555</v>
      </c>
      <c r="D33" s="33" t="s">
        <v>21</v>
      </c>
      <c r="E33" s="35">
        <f t="shared" si="4"/>
        <v>46121.19158</v>
      </c>
      <c r="F33" s="37">
        <f t="shared" si="5"/>
        <v>0.5</v>
      </c>
      <c r="G33" s="4"/>
      <c r="H33" s="38">
        <f t="shared" si="6"/>
        <v>1.807727234</v>
      </c>
      <c r="K33" s="4"/>
      <c r="L33" s="53"/>
      <c r="P33" s="4"/>
      <c r="Q33" s="4"/>
      <c r="R33" s="4"/>
      <c r="S33" s="4"/>
      <c r="T33" s="4"/>
      <c r="U33" s="4"/>
      <c r="V33" s="4"/>
    </row>
    <row r="34">
      <c r="A34" s="69" t="s">
        <v>52</v>
      </c>
      <c r="B34" s="30" t="s">
        <v>14</v>
      </c>
      <c r="C34" s="32">
        <v>46127.99930555555</v>
      </c>
      <c r="D34" s="33" t="s">
        <v>15</v>
      </c>
      <c r="E34" s="35">
        <f t="shared" si="4"/>
        <v>46126.238</v>
      </c>
      <c r="F34" s="37">
        <f t="shared" si="5"/>
        <v>0.5</v>
      </c>
      <c r="G34" s="4"/>
      <c r="H34" s="38">
        <f t="shared" si="6"/>
        <v>1.761303009</v>
      </c>
      <c r="I34" s="4"/>
      <c r="J34" s="4"/>
      <c r="K34" s="4"/>
      <c r="L34" s="53"/>
      <c r="P34" s="4"/>
      <c r="Q34" s="4"/>
      <c r="R34" s="4"/>
      <c r="S34" s="4"/>
      <c r="T34" s="4"/>
      <c r="U34" s="4"/>
      <c r="V34" s="4"/>
    </row>
    <row r="35">
      <c r="A35" s="69" t="s">
        <v>53</v>
      </c>
      <c r="B35" s="30" t="s">
        <v>20</v>
      </c>
      <c r="C35" s="32">
        <v>46129.99930555555</v>
      </c>
      <c r="D35" s="33" t="s">
        <v>21</v>
      </c>
      <c r="E35" s="35">
        <f t="shared" si="4"/>
        <v>46129.17135</v>
      </c>
      <c r="F35" s="37">
        <f t="shared" si="5"/>
        <v>0.5</v>
      </c>
      <c r="G35" s="4"/>
      <c r="H35" s="38">
        <f t="shared" si="6"/>
        <v>0.8279530208</v>
      </c>
      <c r="I35" s="70"/>
      <c r="J35" s="70"/>
      <c r="K35" s="4"/>
      <c r="L35" s="71"/>
      <c r="P35" s="4"/>
      <c r="Q35" s="4"/>
      <c r="R35" s="4"/>
      <c r="S35" s="4"/>
      <c r="T35" s="4"/>
      <c r="U35" s="4"/>
      <c r="V35" s="4"/>
    </row>
    <row r="36">
      <c r="A36" s="69" t="s">
        <v>54</v>
      </c>
      <c r="B36" s="30" t="s">
        <v>55</v>
      </c>
      <c r="C36" s="32">
        <v>46133.99930555555</v>
      </c>
      <c r="D36" s="33" t="s">
        <v>21</v>
      </c>
      <c r="E36" s="35">
        <f t="shared" si="4"/>
        <v>46133.45415</v>
      </c>
      <c r="F36" s="37">
        <f t="shared" si="5"/>
        <v>0.5</v>
      </c>
      <c r="G36" s="4"/>
      <c r="H36" s="38">
        <f t="shared" si="6"/>
        <v>0.5451537847</v>
      </c>
      <c r="J36" s="70"/>
      <c r="K36" s="70"/>
      <c r="L36" s="72"/>
      <c r="P36" s="4"/>
      <c r="Q36" s="4"/>
      <c r="R36" s="4"/>
      <c r="S36" s="4"/>
      <c r="T36" s="4"/>
      <c r="U36" s="4"/>
      <c r="V36" s="4"/>
    </row>
    <row r="37">
      <c r="A37" s="69" t="s">
        <v>56</v>
      </c>
      <c r="B37" s="30" t="s">
        <v>55</v>
      </c>
      <c r="C37" s="32">
        <v>46135.99930555555</v>
      </c>
      <c r="D37" s="33" t="s">
        <v>21</v>
      </c>
      <c r="E37" s="35">
        <f t="shared" si="4"/>
        <v>46135.5609</v>
      </c>
      <c r="F37" s="37">
        <f t="shared" si="5"/>
        <v>0.5</v>
      </c>
      <c r="G37" s="4"/>
      <c r="H37" s="38">
        <f t="shared" si="6"/>
        <v>0.4384034144</v>
      </c>
      <c r="J37" s="70"/>
      <c r="K37" s="70"/>
      <c r="L37" s="72"/>
      <c r="P37" s="4"/>
      <c r="Q37" s="4"/>
      <c r="R37" s="4"/>
      <c r="S37" s="4"/>
      <c r="T37" s="4"/>
      <c r="U37" s="4"/>
      <c r="V37" s="4"/>
    </row>
    <row r="38">
      <c r="A38" s="69" t="s">
        <v>57</v>
      </c>
      <c r="B38" s="30" t="s">
        <v>55</v>
      </c>
      <c r="C38" s="32">
        <v>46136.99930555555</v>
      </c>
      <c r="D38" s="33" t="s">
        <v>21</v>
      </c>
      <c r="E38" s="35">
        <f t="shared" si="4"/>
        <v>46136.33491</v>
      </c>
      <c r="F38" s="37">
        <f t="shared" si="5"/>
        <v>0.5</v>
      </c>
      <c r="G38" s="4"/>
      <c r="H38" s="38">
        <f t="shared" si="6"/>
        <v>0.6643942014</v>
      </c>
      <c r="J38" s="70"/>
      <c r="K38" s="70"/>
      <c r="L38" s="72"/>
      <c r="P38" s="4"/>
      <c r="Q38" s="4"/>
      <c r="R38" s="4"/>
      <c r="S38" s="4"/>
      <c r="T38" s="4"/>
      <c r="U38" s="4"/>
      <c r="V38" s="4"/>
    </row>
    <row r="39">
      <c r="A39" s="69" t="s">
        <v>58</v>
      </c>
      <c r="B39" s="30" t="s">
        <v>37</v>
      </c>
      <c r="C39" s="32">
        <v>46136.99930555555</v>
      </c>
      <c r="D39" s="33"/>
      <c r="E39" s="75" t="str">
        <f t="shared" si="4"/>
        <v/>
      </c>
      <c r="F39" s="37">
        <f t="shared" si="5"/>
        <v>0</v>
      </c>
      <c r="G39" s="4"/>
      <c r="H39" s="38" t="str">
        <f t="shared" si="6"/>
        <v>0</v>
      </c>
      <c r="J39" s="70"/>
      <c r="K39" s="70"/>
      <c r="L39" s="72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76"/>
      <c r="F40" s="53"/>
      <c r="G40" s="4"/>
      <c r="H40" s="4"/>
      <c r="J40" s="70"/>
      <c r="K40" s="70"/>
      <c r="L40" s="72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76"/>
      <c r="F41" s="53"/>
      <c r="G41" s="4"/>
      <c r="H41" s="4"/>
      <c r="J41" s="70"/>
      <c r="K41" s="70"/>
      <c r="L41" s="72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76"/>
      <c r="F42" s="53"/>
      <c r="G42" s="4"/>
      <c r="H42" s="4"/>
      <c r="I42" s="4"/>
      <c r="J42" s="4"/>
      <c r="K42" s="4"/>
      <c r="L42" s="53"/>
      <c r="P42" s="4"/>
      <c r="Q42" s="4"/>
      <c r="R42" s="4"/>
      <c r="S42" s="4"/>
      <c r="T42" s="4"/>
      <c r="U42" s="4"/>
      <c r="V42" s="4"/>
    </row>
    <row r="43">
      <c r="C43" s="4"/>
      <c r="D43" s="4"/>
      <c r="E43" s="76"/>
      <c r="F43" s="53"/>
      <c r="G43" s="4"/>
      <c r="H43" s="4"/>
      <c r="I43" s="4"/>
      <c r="J43" s="4"/>
      <c r="K43" s="4"/>
      <c r="L43" s="53"/>
      <c r="P43" s="4"/>
      <c r="Q43" s="4"/>
      <c r="R43" s="4"/>
      <c r="S43" s="4"/>
      <c r="T43" s="4"/>
      <c r="U43" s="4"/>
      <c r="V43" s="4"/>
    </row>
    <row r="44">
      <c r="C44" s="4"/>
      <c r="D44" s="4"/>
      <c r="E44" s="76"/>
      <c r="F44" s="53"/>
      <c r="G44" s="4"/>
      <c r="H44" s="4"/>
      <c r="I44" s="4"/>
      <c r="J44" s="4"/>
      <c r="K44" s="4"/>
      <c r="L44" s="53"/>
      <c r="P44" s="4"/>
      <c r="Q44" s="4"/>
      <c r="R44" s="4"/>
      <c r="S44" s="4"/>
      <c r="T44" s="4"/>
      <c r="U44" s="4"/>
      <c r="V44" s="4"/>
    </row>
    <row r="45">
      <c r="C45" s="4"/>
      <c r="D45" s="4"/>
      <c r="E45" s="76"/>
      <c r="F45" s="53"/>
      <c r="G45" s="4"/>
      <c r="H45" s="4"/>
      <c r="I45" s="4"/>
      <c r="J45" s="4"/>
      <c r="K45" s="4"/>
      <c r="L45" s="53"/>
      <c r="P45" s="4"/>
      <c r="Q45" s="4"/>
      <c r="R45" s="4"/>
      <c r="S45" s="4"/>
      <c r="T45" s="4"/>
      <c r="U45" s="4"/>
      <c r="V45" s="4"/>
    </row>
    <row r="46">
      <c r="C46" s="4"/>
      <c r="D46" s="4"/>
      <c r="E46" s="76"/>
      <c r="F46" s="53"/>
      <c r="G46" s="4"/>
      <c r="H46" s="4"/>
      <c r="I46" s="4"/>
      <c r="J46" s="4"/>
      <c r="K46" s="4"/>
      <c r="L46" s="53"/>
      <c r="P46" s="4"/>
      <c r="Q46" s="4"/>
      <c r="R46" s="4"/>
      <c r="S46" s="4"/>
      <c r="T46" s="4"/>
      <c r="U46" s="4"/>
      <c r="V46" s="4"/>
    </row>
    <row r="47">
      <c r="C47" s="4"/>
      <c r="D47" s="4"/>
      <c r="E47" s="76"/>
      <c r="F47" s="53"/>
      <c r="G47" s="4"/>
      <c r="H47" s="4"/>
      <c r="I47" s="4"/>
      <c r="J47" s="4"/>
      <c r="K47" s="4"/>
      <c r="L47" s="53"/>
      <c r="P47" s="4"/>
      <c r="Q47" s="4"/>
      <c r="R47" s="4"/>
      <c r="S47" s="4"/>
      <c r="T47" s="4"/>
      <c r="U47" s="4"/>
      <c r="V47" s="4"/>
    </row>
    <row r="48">
      <c r="C48" s="4"/>
      <c r="D48" s="4"/>
      <c r="E48" s="76"/>
      <c r="F48" s="53"/>
      <c r="G48" s="4"/>
      <c r="H48" s="4"/>
      <c r="I48" s="4"/>
      <c r="J48" s="4"/>
      <c r="K48" s="4"/>
      <c r="L48" s="53"/>
      <c r="P48" s="4"/>
      <c r="Q48" s="4"/>
      <c r="R48" s="4"/>
      <c r="S48" s="4"/>
      <c r="T48" s="4"/>
      <c r="U48" s="4"/>
      <c r="V48" s="4"/>
    </row>
    <row r="49">
      <c r="C49" s="4"/>
      <c r="D49" s="4"/>
      <c r="E49" s="76"/>
      <c r="F49" s="53"/>
      <c r="G49" s="4"/>
      <c r="H49" s="4"/>
      <c r="I49" s="4"/>
      <c r="J49" s="4"/>
      <c r="K49" s="4"/>
      <c r="L49" s="53"/>
      <c r="P49" s="4"/>
      <c r="Q49" s="4"/>
      <c r="R49" s="4"/>
      <c r="S49" s="4"/>
      <c r="T49" s="4"/>
      <c r="U49" s="4"/>
      <c r="V49" s="4"/>
    </row>
    <row r="50">
      <c r="C50" s="4"/>
      <c r="D50" s="4"/>
      <c r="E50" s="76"/>
      <c r="F50" s="53"/>
      <c r="G50" s="4"/>
      <c r="H50" s="4"/>
      <c r="I50" s="4"/>
      <c r="J50" s="4"/>
      <c r="K50" s="4"/>
      <c r="L50" s="53"/>
      <c r="P50" s="4"/>
      <c r="Q50" s="4"/>
      <c r="R50" s="4"/>
      <c r="S50" s="4"/>
      <c r="T50" s="4"/>
      <c r="U50" s="4"/>
      <c r="V50" s="4"/>
    </row>
    <row r="51">
      <c r="C51" s="4"/>
      <c r="D51" s="4"/>
      <c r="E51" s="76"/>
      <c r="F51" s="53"/>
      <c r="G51" s="4"/>
      <c r="H51" s="4"/>
      <c r="I51" s="4"/>
      <c r="J51" s="4"/>
      <c r="K51" s="4"/>
      <c r="L51" s="53"/>
      <c r="P51" s="4"/>
      <c r="Q51" s="4"/>
      <c r="R51" s="4"/>
      <c r="S51" s="4"/>
      <c r="T51" s="4"/>
      <c r="U51" s="4"/>
      <c r="V51" s="4"/>
    </row>
    <row r="52">
      <c r="C52" s="4"/>
      <c r="D52" s="4"/>
      <c r="E52" s="76"/>
      <c r="F52" s="53"/>
      <c r="G52" s="4"/>
      <c r="H52" s="4"/>
      <c r="I52" s="4"/>
      <c r="J52" s="4"/>
      <c r="K52" s="4"/>
      <c r="L52" s="53"/>
      <c r="P52" s="4"/>
      <c r="Q52" s="4"/>
      <c r="R52" s="4"/>
      <c r="S52" s="4"/>
      <c r="T52" s="4"/>
      <c r="U52" s="4"/>
      <c r="V52" s="4"/>
    </row>
    <row r="53">
      <c r="C53" s="4"/>
      <c r="D53" s="4"/>
      <c r="E53" s="76"/>
      <c r="F53" s="53"/>
      <c r="G53" s="4"/>
      <c r="H53" s="4"/>
      <c r="I53" s="4"/>
      <c r="J53" s="4"/>
      <c r="K53" s="4"/>
      <c r="L53" s="53"/>
      <c r="P53" s="4"/>
      <c r="Q53" s="4"/>
      <c r="R53" s="4"/>
      <c r="S53" s="4"/>
      <c r="T53" s="4"/>
      <c r="U53" s="4"/>
      <c r="V53" s="4"/>
    </row>
    <row r="54">
      <c r="C54" s="4"/>
      <c r="D54" s="4"/>
      <c r="E54" s="76"/>
      <c r="F54" s="53"/>
      <c r="G54" s="4"/>
      <c r="H54" s="4"/>
      <c r="I54" s="4"/>
      <c r="J54" s="4"/>
      <c r="K54" s="4"/>
      <c r="L54" s="53"/>
      <c r="P54" s="4"/>
      <c r="Q54" s="4"/>
      <c r="R54" s="4"/>
      <c r="S54" s="4"/>
      <c r="T54" s="4"/>
      <c r="U54" s="4"/>
      <c r="V54" s="4"/>
    </row>
    <row r="55">
      <c r="C55" s="4"/>
      <c r="D55" s="4"/>
      <c r="E55" s="76"/>
      <c r="F55" s="53"/>
      <c r="G55" s="4"/>
      <c r="H55" s="4"/>
      <c r="I55" s="4"/>
      <c r="J55" s="4"/>
      <c r="K55" s="4"/>
      <c r="L55" s="53"/>
      <c r="P55" s="4"/>
      <c r="Q55" s="4"/>
      <c r="R55" s="4"/>
      <c r="S55" s="4"/>
      <c r="T55" s="4"/>
      <c r="U55" s="4"/>
      <c r="V55" s="4"/>
    </row>
    <row r="56">
      <c r="C56" s="4"/>
      <c r="D56" s="4"/>
      <c r="E56" s="76"/>
      <c r="F56" s="53"/>
      <c r="G56" s="4"/>
      <c r="H56" s="4"/>
      <c r="I56" s="4"/>
      <c r="J56" s="4"/>
      <c r="K56" s="4"/>
      <c r="L56" s="53"/>
      <c r="P56" s="4"/>
      <c r="Q56" s="4"/>
      <c r="R56" s="4"/>
      <c r="S56" s="4"/>
      <c r="T56" s="4"/>
      <c r="U56" s="4"/>
      <c r="V56" s="4"/>
    </row>
    <row r="57">
      <c r="C57" s="4"/>
      <c r="D57" s="4"/>
      <c r="E57" s="76"/>
      <c r="F57" s="53"/>
      <c r="G57" s="4"/>
      <c r="H57" s="4"/>
      <c r="I57" s="4"/>
      <c r="J57" s="4"/>
      <c r="K57" s="4"/>
      <c r="L57" s="53"/>
      <c r="P57" s="4"/>
      <c r="Q57" s="4"/>
      <c r="R57" s="4"/>
      <c r="S57" s="4"/>
      <c r="T57" s="4"/>
      <c r="U57" s="4"/>
      <c r="V57" s="4"/>
    </row>
    <row r="58">
      <c r="C58" s="4"/>
      <c r="D58" s="4"/>
      <c r="E58" s="76"/>
      <c r="F58" s="53"/>
      <c r="G58" s="4"/>
      <c r="H58" s="4"/>
      <c r="I58" s="4"/>
      <c r="J58" s="4"/>
      <c r="K58" s="4"/>
      <c r="L58" s="53"/>
      <c r="P58" s="4"/>
      <c r="Q58" s="4"/>
      <c r="R58" s="4"/>
      <c r="S58" s="4"/>
      <c r="T58" s="4"/>
      <c r="U58" s="4"/>
      <c r="V58" s="4"/>
    </row>
    <row r="59">
      <c r="C59" s="4"/>
      <c r="D59" s="4"/>
      <c r="E59" s="76"/>
      <c r="F59" s="53"/>
      <c r="G59" s="4"/>
      <c r="H59" s="4"/>
      <c r="I59" s="4"/>
      <c r="J59" s="4"/>
      <c r="K59" s="4"/>
      <c r="L59" s="53"/>
      <c r="P59" s="4"/>
      <c r="Q59" s="4"/>
      <c r="R59" s="4"/>
      <c r="S59" s="4"/>
      <c r="T59" s="4"/>
      <c r="U59" s="4"/>
      <c r="V59" s="4"/>
    </row>
    <row r="60">
      <c r="C60" s="4"/>
      <c r="D60" s="4"/>
      <c r="E60" s="76"/>
      <c r="F60" s="53"/>
      <c r="G60" s="4"/>
      <c r="H60" s="4"/>
      <c r="I60" s="4"/>
      <c r="J60" s="4"/>
      <c r="K60" s="4"/>
      <c r="L60" s="53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76"/>
      <c r="F61" s="53"/>
      <c r="G61" s="4"/>
      <c r="H61" s="4"/>
      <c r="I61" s="4"/>
      <c r="J61" s="4"/>
      <c r="K61" s="4"/>
      <c r="L61" s="53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76"/>
      <c r="F62" s="53"/>
      <c r="G62" s="4"/>
      <c r="H62" s="4"/>
      <c r="I62" s="4"/>
      <c r="J62" s="4"/>
      <c r="K62" s="4"/>
      <c r="L62" s="53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76"/>
      <c r="F63" s="53"/>
      <c r="G63" s="4"/>
      <c r="H63" s="4"/>
      <c r="I63" s="4"/>
      <c r="J63" s="4"/>
      <c r="K63" s="4"/>
      <c r="L63" s="53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76"/>
      <c r="F64" s="53"/>
      <c r="G64" s="4"/>
      <c r="H64" s="4"/>
      <c r="I64" s="4"/>
      <c r="J64" s="4"/>
      <c r="K64" s="4"/>
      <c r="L64" s="53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76"/>
      <c r="F65" s="53"/>
      <c r="G65" s="4"/>
      <c r="H65" s="4"/>
      <c r="I65" s="4"/>
      <c r="J65" s="4"/>
      <c r="K65" s="4"/>
      <c r="L65" s="53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76"/>
      <c r="F66" s="53"/>
      <c r="G66" s="4"/>
      <c r="H66" s="4"/>
      <c r="I66" s="4"/>
      <c r="J66" s="4"/>
      <c r="K66" s="4"/>
      <c r="L66" s="53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76"/>
      <c r="F67" s="53"/>
      <c r="G67" s="4"/>
      <c r="H67" s="4"/>
      <c r="I67" s="4"/>
      <c r="J67" s="4"/>
      <c r="K67" s="4"/>
      <c r="L67" s="53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76"/>
      <c r="F68" s="53"/>
      <c r="G68" s="4"/>
      <c r="H68" s="4"/>
      <c r="I68" s="4"/>
      <c r="J68" s="4"/>
      <c r="K68" s="4"/>
      <c r="L68" s="53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76"/>
      <c r="F69" s="53"/>
      <c r="G69" s="4"/>
      <c r="H69" s="4"/>
      <c r="I69" s="4"/>
      <c r="J69" s="4"/>
      <c r="K69" s="4"/>
      <c r="L69" s="53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76"/>
      <c r="F70" s="53"/>
      <c r="G70" s="4"/>
      <c r="H70" s="4"/>
      <c r="I70" s="4"/>
      <c r="J70" s="4"/>
      <c r="K70" s="4"/>
      <c r="L70" s="53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76"/>
      <c r="F71" s="53"/>
      <c r="G71" s="4"/>
      <c r="H71" s="4"/>
      <c r="I71" s="4"/>
      <c r="J71" s="4"/>
      <c r="K71" s="4"/>
      <c r="L71" s="53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76"/>
      <c r="F72" s="53"/>
      <c r="G72" s="4"/>
      <c r="H72" s="4"/>
      <c r="I72" s="4"/>
      <c r="J72" s="4"/>
      <c r="K72" s="4"/>
      <c r="L72" s="53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76"/>
      <c r="F73" s="53"/>
      <c r="G73" s="4"/>
      <c r="H73" s="4"/>
      <c r="I73" s="4"/>
      <c r="J73" s="4"/>
      <c r="K73" s="4"/>
      <c r="L73" s="53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76"/>
      <c r="F74" s="53"/>
      <c r="G74" s="4"/>
      <c r="H74" s="4"/>
      <c r="I74" s="4"/>
      <c r="J74" s="4"/>
      <c r="K74" s="4"/>
      <c r="L74" s="53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76"/>
      <c r="F75" s="53"/>
      <c r="G75" s="4"/>
      <c r="H75" s="4"/>
      <c r="I75" s="4"/>
      <c r="J75" s="4"/>
      <c r="K75" s="4"/>
      <c r="L75" s="53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76"/>
      <c r="F76" s="53"/>
      <c r="G76" s="4"/>
      <c r="H76" s="4"/>
      <c r="I76" s="4"/>
      <c r="J76" s="4"/>
      <c r="K76" s="4"/>
      <c r="L76" s="53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76"/>
      <c r="F77" s="53"/>
      <c r="G77" s="4"/>
      <c r="H77" s="4"/>
      <c r="I77" s="4"/>
      <c r="J77" s="4"/>
      <c r="K77" s="4"/>
      <c r="L77" s="53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76"/>
      <c r="F78" s="53"/>
      <c r="G78" s="4"/>
      <c r="H78" s="4"/>
      <c r="I78" s="4"/>
      <c r="J78" s="4"/>
      <c r="K78" s="4"/>
      <c r="L78" s="53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76"/>
      <c r="F79" s="53"/>
      <c r="G79" s="4"/>
      <c r="H79" s="4"/>
      <c r="I79" s="4"/>
      <c r="J79" s="4"/>
      <c r="K79" s="4"/>
      <c r="L79" s="53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76"/>
      <c r="F80" s="53"/>
      <c r="G80" s="4"/>
      <c r="H80" s="4"/>
      <c r="I80" s="4"/>
      <c r="J80" s="4"/>
      <c r="K80" s="4"/>
      <c r="L80" s="53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76"/>
      <c r="F81" s="53"/>
      <c r="G81" s="4"/>
      <c r="H81" s="4"/>
      <c r="I81" s="4"/>
      <c r="J81" s="4"/>
      <c r="K81" s="4"/>
      <c r="L81" s="53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76"/>
      <c r="F82" s="53"/>
      <c r="G82" s="4"/>
      <c r="H82" s="4"/>
      <c r="I82" s="4"/>
      <c r="J82" s="4"/>
      <c r="K82" s="4"/>
      <c r="L82" s="53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76"/>
      <c r="F83" s="53"/>
      <c r="G83" s="4"/>
      <c r="H83" s="4"/>
      <c r="I83" s="4"/>
      <c r="J83" s="4"/>
      <c r="K83" s="4"/>
      <c r="L83" s="53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76"/>
      <c r="F84" s="53"/>
      <c r="G84" s="4"/>
      <c r="H84" s="4"/>
      <c r="I84" s="4"/>
      <c r="J84" s="4"/>
      <c r="K84" s="4"/>
      <c r="L84" s="53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76"/>
      <c r="F85" s="53"/>
      <c r="G85" s="4"/>
      <c r="H85" s="4"/>
      <c r="I85" s="4"/>
      <c r="J85" s="4"/>
      <c r="K85" s="4"/>
      <c r="L85" s="53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76"/>
      <c r="F86" s="53"/>
      <c r="G86" s="4"/>
      <c r="H86" s="4"/>
      <c r="I86" s="4"/>
      <c r="J86" s="4"/>
      <c r="K86" s="4"/>
      <c r="L86" s="53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76"/>
      <c r="F87" s="53"/>
      <c r="G87" s="4"/>
      <c r="H87" s="4"/>
      <c r="I87" s="4"/>
      <c r="J87" s="4"/>
      <c r="K87" s="4"/>
      <c r="L87" s="53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76"/>
      <c r="F88" s="53"/>
      <c r="G88" s="4"/>
      <c r="H88" s="4"/>
      <c r="I88" s="4"/>
      <c r="J88" s="4"/>
      <c r="K88" s="4"/>
      <c r="L88" s="53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76"/>
      <c r="F89" s="53"/>
      <c r="G89" s="4"/>
      <c r="H89" s="4"/>
      <c r="I89" s="4"/>
      <c r="J89" s="4"/>
      <c r="K89" s="4"/>
      <c r="L89" s="53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76"/>
      <c r="F90" s="53"/>
      <c r="G90" s="4"/>
      <c r="H90" s="4"/>
      <c r="I90" s="4"/>
      <c r="J90" s="4"/>
      <c r="K90" s="4"/>
      <c r="L90" s="53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76"/>
      <c r="F91" s="53"/>
      <c r="G91" s="4"/>
      <c r="H91" s="4"/>
      <c r="I91" s="4"/>
      <c r="J91" s="4"/>
      <c r="K91" s="4"/>
      <c r="L91" s="53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76"/>
      <c r="F92" s="53"/>
      <c r="G92" s="4"/>
      <c r="H92" s="4"/>
      <c r="I92" s="4"/>
      <c r="J92" s="4"/>
      <c r="K92" s="4"/>
      <c r="L92" s="53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76"/>
      <c r="F93" s="53"/>
      <c r="G93" s="4"/>
      <c r="H93" s="4"/>
      <c r="I93" s="4"/>
      <c r="J93" s="4"/>
      <c r="K93" s="4"/>
      <c r="L93" s="53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76"/>
      <c r="F94" s="53"/>
      <c r="G94" s="4"/>
      <c r="H94" s="4"/>
      <c r="I94" s="4"/>
      <c r="J94" s="4"/>
      <c r="K94" s="4"/>
      <c r="L94" s="53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76"/>
      <c r="F95" s="53"/>
      <c r="G95" s="4"/>
      <c r="H95" s="4"/>
      <c r="I95" s="4"/>
      <c r="J95" s="4"/>
      <c r="K95" s="4"/>
      <c r="L95" s="53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76"/>
      <c r="F96" s="53"/>
      <c r="G96" s="4"/>
      <c r="H96" s="4"/>
      <c r="I96" s="4"/>
      <c r="J96" s="4"/>
      <c r="K96" s="4"/>
      <c r="L96" s="53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76"/>
      <c r="F97" s="53"/>
      <c r="G97" s="4"/>
      <c r="H97" s="4"/>
      <c r="I97" s="4"/>
      <c r="J97" s="4"/>
      <c r="K97" s="4"/>
      <c r="L97" s="53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76"/>
      <c r="F98" s="53"/>
      <c r="G98" s="4"/>
      <c r="H98" s="4"/>
      <c r="I98" s="4"/>
      <c r="J98" s="4"/>
      <c r="K98" s="4"/>
      <c r="L98" s="53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76"/>
      <c r="F99" s="53"/>
      <c r="G99" s="4"/>
      <c r="H99" s="4"/>
      <c r="I99" s="4"/>
      <c r="J99" s="4"/>
      <c r="K99" s="4"/>
      <c r="L99" s="53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76"/>
      <c r="F100" s="53"/>
      <c r="G100" s="4"/>
      <c r="H100" s="4"/>
      <c r="I100" s="4"/>
      <c r="J100" s="4"/>
      <c r="K100" s="4"/>
      <c r="L100" s="53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76"/>
      <c r="F101" s="53"/>
      <c r="G101" s="4"/>
      <c r="H101" s="4"/>
      <c r="I101" s="4"/>
      <c r="J101" s="4"/>
      <c r="K101" s="4"/>
      <c r="L101" s="53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76"/>
      <c r="F102" s="53"/>
      <c r="G102" s="4"/>
      <c r="H102" s="4"/>
      <c r="I102" s="4"/>
      <c r="J102" s="4"/>
      <c r="K102" s="4"/>
      <c r="L102" s="53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76"/>
      <c r="F103" s="53"/>
      <c r="G103" s="4"/>
      <c r="H103" s="4"/>
      <c r="I103" s="4"/>
      <c r="J103" s="4"/>
      <c r="K103" s="4"/>
      <c r="L103" s="53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76"/>
      <c r="F104" s="53"/>
      <c r="G104" s="4"/>
      <c r="H104" s="4"/>
      <c r="I104" s="4"/>
      <c r="J104" s="4"/>
      <c r="K104" s="4"/>
      <c r="L104" s="53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76"/>
      <c r="F105" s="53"/>
      <c r="G105" s="4"/>
      <c r="H105" s="4"/>
      <c r="I105" s="4"/>
      <c r="J105" s="4"/>
      <c r="K105" s="4"/>
      <c r="L105" s="53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76"/>
      <c r="F106" s="53"/>
      <c r="G106" s="4"/>
      <c r="H106" s="4"/>
      <c r="I106" s="4"/>
      <c r="J106" s="4"/>
      <c r="K106" s="4"/>
      <c r="L106" s="53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76"/>
      <c r="F107" s="53"/>
      <c r="G107" s="4"/>
      <c r="H107" s="4"/>
      <c r="I107" s="4"/>
      <c r="J107" s="4"/>
      <c r="K107" s="4"/>
      <c r="L107" s="53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76"/>
      <c r="F108" s="53"/>
      <c r="G108" s="4"/>
      <c r="H108" s="4"/>
      <c r="I108" s="4"/>
      <c r="J108" s="4"/>
      <c r="K108" s="4"/>
      <c r="L108" s="53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76"/>
      <c r="F109" s="53"/>
      <c r="G109" s="4"/>
      <c r="H109" s="4"/>
      <c r="I109" s="4"/>
      <c r="J109" s="4"/>
      <c r="K109" s="4"/>
      <c r="L109" s="53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76"/>
      <c r="F110" s="53"/>
      <c r="G110" s="4"/>
      <c r="H110" s="4"/>
      <c r="I110" s="4"/>
      <c r="J110" s="4"/>
      <c r="K110" s="4"/>
      <c r="L110" s="53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76"/>
      <c r="F111" s="53"/>
      <c r="G111" s="4"/>
      <c r="H111" s="4"/>
      <c r="I111" s="4"/>
      <c r="J111" s="4"/>
      <c r="K111" s="4"/>
      <c r="L111" s="53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76"/>
      <c r="F112" s="53"/>
      <c r="G112" s="4"/>
      <c r="H112" s="4"/>
      <c r="I112" s="4"/>
      <c r="J112" s="4"/>
      <c r="K112" s="4"/>
      <c r="L112" s="53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76"/>
      <c r="F113" s="53"/>
      <c r="G113" s="4"/>
      <c r="H113" s="4"/>
      <c r="I113" s="4"/>
      <c r="J113" s="4"/>
      <c r="K113" s="4"/>
      <c r="L113" s="53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76"/>
      <c r="F114" s="53"/>
      <c r="G114" s="4"/>
      <c r="H114" s="4"/>
      <c r="I114" s="4"/>
      <c r="J114" s="4"/>
      <c r="K114" s="4"/>
      <c r="L114" s="53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76"/>
      <c r="F115" s="53"/>
      <c r="G115" s="4"/>
      <c r="H115" s="4"/>
      <c r="I115" s="4"/>
      <c r="J115" s="4"/>
      <c r="K115" s="4"/>
      <c r="L115" s="53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76"/>
      <c r="F116" s="53"/>
      <c r="G116" s="4"/>
      <c r="H116" s="4"/>
      <c r="I116" s="4"/>
      <c r="J116" s="4"/>
      <c r="K116" s="4"/>
      <c r="L116" s="53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76"/>
      <c r="F117" s="53"/>
      <c r="G117" s="4"/>
      <c r="H117" s="4"/>
      <c r="I117" s="4"/>
      <c r="J117" s="4"/>
      <c r="K117" s="4"/>
      <c r="L117" s="53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76"/>
      <c r="F118" s="53"/>
      <c r="G118" s="4"/>
      <c r="H118" s="4"/>
      <c r="I118" s="4"/>
      <c r="J118" s="4"/>
      <c r="K118" s="4"/>
      <c r="L118" s="53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76"/>
      <c r="F119" s="53"/>
      <c r="G119" s="4"/>
      <c r="H119" s="4"/>
      <c r="I119" s="4"/>
      <c r="J119" s="4"/>
      <c r="K119" s="4"/>
      <c r="L119" s="53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76"/>
      <c r="F120" s="53"/>
      <c r="G120" s="4"/>
      <c r="H120" s="4"/>
      <c r="I120" s="4"/>
      <c r="J120" s="4"/>
      <c r="K120" s="4"/>
      <c r="L120" s="53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76"/>
      <c r="F121" s="53"/>
      <c r="G121" s="4"/>
      <c r="H121" s="4"/>
      <c r="I121" s="4"/>
      <c r="J121" s="4"/>
      <c r="K121" s="4"/>
      <c r="L121" s="53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76"/>
      <c r="F122" s="53"/>
      <c r="G122" s="4"/>
      <c r="H122" s="4"/>
      <c r="I122" s="4"/>
      <c r="J122" s="4"/>
      <c r="K122" s="4"/>
      <c r="L122" s="53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76"/>
      <c r="F123" s="53"/>
      <c r="G123" s="4"/>
      <c r="H123" s="4"/>
      <c r="I123" s="4"/>
      <c r="J123" s="4"/>
      <c r="K123" s="4"/>
      <c r="L123" s="53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76"/>
      <c r="F124" s="53"/>
      <c r="G124" s="4"/>
      <c r="H124" s="4"/>
      <c r="I124" s="4"/>
      <c r="J124" s="4"/>
      <c r="K124" s="4"/>
      <c r="L124" s="53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76"/>
      <c r="F125" s="53"/>
      <c r="G125" s="4"/>
      <c r="H125" s="4"/>
      <c r="I125" s="4"/>
      <c r="J125" s="4"/>
      <c r="K125" s="4"/>
      <c r="L125" s="53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76"/>
      <c r="F126" s="53"/>
      <c r="G126" s="4"/>
      <c r="H126" s="4"/>
      <c r="I126" s="4"/>
      <c r="J126" s="4"/>
      <c r="K126" s="4"/>
      <c r="L126" s="53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76"/>
      <c r="F127" s="53"/>
      <c r="G127" s="4"/>
      <c r="H127" s="4"/>
      <c r="I127" s="4"/>
      <c r="J127" s="4"/>
      <c r="K127" s="4"/>
      <c r="L127" s="53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76"/>
      <c r="F128" s="53"/>
      <c r="G128" s="4"/>
      <c r="H128" s="4"/>
      <c r="I128" s="4"/>
      <c r="J128" s="4"/>
      <c r="K128" s="4"/>
      <c r="L128" s="53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76"/>
      <c r="F129" s="53"/>
      <c r="G129" s="4"/>
      <c r="H129" s="4"/>
      <c r="I129" s="4"/>
      <c r="J129" s="4"/>
      <c r="K129" s="4"/>
      <c r="L129" s="53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76"/>
      <c r="F130" s="53"/>
      <c r="G130" s="4"/>
      <c r="H130" s="4"/>
      <c r="I130" s="4"/>
      <c r="J130" s="4"/>
      <c r="K130" s="4"/>
      <c r="L130" s="53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76"/>
      <c r="F131" s="53"/>
      <c r="G131" s="4"/>
      <c r="H131" s="4"/>
      <c r="I131" s="4"/>
      <c r="J131" s="4"/>
      <c r="K131" s="4"/>
      <c r="L131" s="53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76"/>
      <c r="F132" s="53"/>
      <c r="G132" s="4"/>
      <c r="H132" s="4"/>
      <c r="I132" s="4"/>
      <c r="J132" s="4"/>
      <c r="K132" s="4"/>
      <c r="L132" s="53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76"/>
      <c r="F133" s="53"/>
      <c r="G133" s="4"/>
      <c r="H133" s="4"/>
      <c r="I133" s="4"/>
      <c r="J133" s="4"/>
      <c r="K133" s="4"/>
      <c r="L133" s="53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76"/>
      <c r="F134" s="53"/>
      <c r="G134" s="4"/>
      <c r="H134" s="4"/>
      <c r="I134" s="4"/>
      <c r="J134" s="4"/>
      <c r="K134" s="4"/>
      <c r="L134" s="53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76"/>
      <c r="F135" s="53"/>
      <c r="G135" s="4"/>
      <c r="H135" s="4"/>
      <c r="I135" s="4"/>
      <c r="J135" s="4"/>
      <c r="K135" s="4"/>
      <c r="L135" s="53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76"/>
      <c r="F136" s="53"/>
      <c r="G136" s="4"/>
      <c r="H136" s="4"/>
      <c r="I136" s="4"/>
      <c r="J136" s="4"/>
      <c r="K136" s="4"/>
      <c r="L136" s="53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76"/>
      <c r="F137" s="53"/>
      <c r="G137" s="4"/>
      <c r="H137" s="4"/>
      <c r="I137" s="4"/>
      <c r="J137" s="4"/>
      <c r="K137" s="4"/>
      <c r="L137" s="53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76"/>
      <c r="F138" s="53"/>
      <c r="G138" s="4"/>
      <c r="H138" s="4"/>
      <c r="I138" s="4"/>
      <c r="J138" s="4"/>
      <c r="K138" s="4"/>
      <c r="L138" s="53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76"/>
      <c r="F139" s="53"/>
      <c r="G139" s="4"/>
      <c r="H139" s="4"/>
      <c r="I139" s="4"/>
      <c r="J139" s="4"/>
      <c r="K139" s="4"/>
      <c r="L139" s="53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76"/>
      <c r="F140" s="53"/>
      <c r="G140" s="4"/>
      <c r="H140" s="4"/>
      <c r="I140" s="4"/>
      <c r="J140" s="4"/>
      <c r="K140" s="4"/>
      <c r="L140" s="53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76"/>
      <c r="F141" s="53"/>
      <c r="G141" s="4"/>
      <c r="H141" s="4"/>
      <c r="I141" s="4"/>
      <c r="J141" s="4"/>
      <c r="K141" s="4"/>
      <c r="L141" s="53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76"/>
      <c r="F142" s="53"/>
      <c r="G142" s="4"/>
      <c r="H142" s="4"/>
      <c r="I142" s="4"/>
      <c r="J142" s="4"/>
      <c r="K142" s="4"/>
      <c r="L142" s="53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76"/>
      <c r="F143" s="53"/>
      <c r="G143" s="4"/>
      <c r="H143" s="4"/>
      <c r="I143" s="4"/>
      <c r="J143" s="4"/>
      <c r="K143" s="4"/>
      <c r="L143" s="53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76"/>
      <c r="F144" s="53"/>
      <c r="G144" s="4"/>
      <c r="H144" s="4"/>
      <c r="I144" s="4"/>
      <c r="J144" s="4"/>
      <c r="K144" s="4"/>
      <c r="L144" s="53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76"/>
      <c r="F145" s="53"/>
      <c r="G145" s="4"/>
      <c r="H145" s="4"/>
      <c r="I145" s="4"/>
      <c r="J145" s="4"/>
      <c r="K145" s="4"/>
      <c r="L145" s="53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76"/>
      <c r="F146" s="53"/>
      <c r="G146" s="4"/>
      <c r="H146" s="4"/>
      <c r="I146" s="4"/>
      <c r="J146" s="4"/>
      <c r="K146" s="4"/>
      <c r="L146" s="53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76"/>
      <c r="F147" s="53"/>
      <c r="G147" s="4"/>
      <c r="H147" s="4"/>
      <c r="I147" s="4"/>
      <c r="J147" s="4"/>
      <c r="K147" s="4"/>
      <c r="L147" s="53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76"/>
      <c r="F148" s="53"/>
      <c r="G148" s="4"/>
      <c r="H148" s="4"/>
      <c r="I148" s="4"/>
      <c r="J148" s="4"/>
      <c r="K148" s="4"/>
      <c r="L148" s="53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76"/>
      <c r="F149" s="53"/>
      <c r="G149" s="4"/>
      <c r="H149" s="4"/>
      <c r="I149" s="4"/>
      <c r="J149" s="4"/>
      <c r="K149" s="4"/>
      <c r="L149" s="53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76"/>
      <c r="F150" s="53"/>
      <c r="G150" s="4"/>
      <c r="H150" s="4"/>
      <c r="I150" s="4"/>
      <c r="J150" s="4"/>
      <c r="K150" s="4"/>
      <c r="L150" s="53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76"/>
      <c r="F151" s="53"/>
      <c r="G151" s="4"/>
      <c r="H151" s="4"/>
      <c r="I151" s="4"/>
      <c r="J151" s="4"/>
      <c r="K151" s="4"/>
      <c r="L151" s="53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76"/>
      <c r="F152" s="53"/>
      <c r="G152" s="4"/>
      <c r="H152" s="4"/>
      <c r="I152" s="4"/>
      <c r="J152" s="4"/>
      <c r="K152" s="4"/>
      <c r="L152" s="53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76"/>
      <c r="F153" s="53"/>
      <c r="G153" s="4"/>
      <c r="H153" s="4"/>
      <c r="I153" s="4"/>
      <c r="J153" s="4"/>
      <c r="K153" s="4"/>
      <c r="L153" s="53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76"/>
      <c r="F154" s="53"/>
      <c r="G154" s="4"/>
      <c r="H154" s="4"/>
      <c r="I154" s="4"/>
      <c r="J154" s="4"/>
      <c r="K154" s="4"/>
      <c r="L154" s="53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76"/>
      <c r="F155" s="53"/>
      <c r="G155" s="4"/>
      <c r="H155" s="4"/>
      <c r="I155" s="4"/>
      <c r="J155" s="4"/>
      <c r="K155" s="4"/>
      <c r="L155" s="53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76"/>
      <c r="F156" s="53"/>
      <c r="G156" s="4"/>
      <c r="H156" s="4"/>
      <c r="I156" s="4"/>
      <c r="J156" s="4"/>
      <c r="K156" s="4"/>
      <c r="L156" s="53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76"/>
      <c r="F157" s="53"/>
      <c r="G157" s="4"/>
      <c r="H157" s="4"/>
      <c r="I157" s="4"/>
      <c r="J157" s="4"/>
      <c r="K157" s="4"/>
      <c r="L157" s="53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76"/>
      <c r="F158" s="53"/>
      <c r="G158" s="4"/>
      <c r="H158" s="4"/>
      <c r="I158" s="4"/>
      <c r="J158" s="4"/>
      <c r="K158" s="4"/>
      <c r="L158" s="53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76"/>
      <c r="F159" s="53"/>
      <c r="G159" s="4"/>
      <c r="H159" s="4"/>
      <c r="I159" s="4"/>
      <c r="J159" s="4"/>
      <c r="K159" s="4"/>
      <c r="L159" s="53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76"/>
      <c r="F160" s="53"/>
      <c r="G160" s="4"/>
      <c r="H160" s="4"/>
      <c r="I160" s="4"/>
      <c r="J160" s="4"/>
      <c r="K160" s="4"/>
      <c r="L160" s="53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76"/>
      <c r="F161" s="53"/>
      <c r="G161" s="4"/>
      <c r="H161" s="4"/>
      <c r="I161" s="4"/>
      <c r="J161" s="4"/>
      <c r="K161" s="4"/>
      <c r="L161" s="53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76"/>
      <c r="F162" s="53"/>
      <c r="G162" s="4"/>
      <c r="H162" s="4"/>
      <c r="I162" s="4"/>
      <c r="J162" s="4"/>
      <c r="K162" s="4"/>
      <c r="L162" s="53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76"/>
      <c r="F163" s="53"/>
      <c r="G163" s="4"/>
      <c r="H163" s="4"/>
      <c r="I163" s="4"/>
      <c r="J163" s="4"/>
      <c r="K163" s="4"/>
      <c r="L163" s="53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76"/>
      <c r="F164" s="53"/>
      <c r="G164" s="4"/>
      <c r="H164" s="4"/>
      <c r="I164" s="4"/>
      <c r="J164" s="4"/>
      <c r="K164" s="4"/>
      <c r="L164" s="53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76"/>
      <c r="F165" s="53"/>
      <c r="G165" s="4"/>
      <c r="H165" s="4"/>
      <c r="I165" s="4"/>
      <c r="J165" s="4"/>
      <c r="K165" s="4"/>
      <c r="L165" s="53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76"/>
      <c r="F166" s="53"/>
      <c r="G166" s="4"/>
      <c r="H166" s="4"/>
      <c r="I166" s="4"/>
      <c r="J166" s="4"/>
      <c r="K166" s="4"/>
      <c r="L166" s="53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76"/>
      <c r="F167" s="53"/>
      <c r="G167" s="4"/>
      <c r="H167" s="4"/>
      <c r="I167" s="4"/>
      <c r="J167" s="4"/>
      <c r="K167" s="4"/>
      <c r="L167" s="53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76"/>
      <c r="F168" s="53"/>
      <c r="G168" s="4"/>
      <c r="H168" s="4"/>
      <c r="I168" s="4"/>
      <c r="J168" s="4"/>
      <c r="K168" s="4"/>
      <c r="L168" s="53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76"/>
      <c r="F169" s="53"/>
      <c r="G169" s="4"/>
      <c r="H169" s="4"/>
      <c r="I169" s="4"/>
      <c r="J169" s="4"/>
      <c r="K169" s="4"/>
      <c r="L169" s="53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76"/>
      <c r="F170" s="53"/>
      <c r="G170" s="4"/>
      <c r="H170" s="4"/>
      <c r="I170" s="4"/>
      <c r="J170" s="4"/>
      <c r="K170" s="4"/>
      <c r="L170" s="53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76"/>
      <c r="F171" s="53"/>
      <c r="G171" s="4"/>
      <c r="H171" s="4"/>
      <c r="I171" s="4"/>
      <c r="J171" s="4"/>
      <c r="K171" s="4"/>
      <c r="L171" s="53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76"/>
      <c r="F172" s="53"/>
      <c r="G172" s="4"/>
      <c r="H172" s="4"/>
      <c r="I172" s="4"/>
      <c r="J172" s="4"/>
      <c r="K172" s="4"/>
      <c r="L172" s="53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76"/>
      <c r="F173" s="53"/>
      <c r="G173" s="4"/>
      <c r="H173" s="4"/>
      <c r="I173" s="4"/>
      <c r="J173" s="4"/>
      <c r="K173" s="4"/>
      <c r="L173" s="53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76"/>
      <c r="F174" s="53"/>
      <c r="G174" s="4"/>
      <c r="H174" s="4"/>
      <c r="I174" s="4"/>
      <c r="J174" s="4"/>
      <c r="K174" s="4"/>
      <c r="L174" s="53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76"/>
      <c r="F175" s="53"/>
      <c r="G175" s="4"/>
      <c r="H175" s="4"/>
      <c r="I175" s="4"/>
      <c r="J175" s="4"/>
      <c r="K175" s="4"/>
      <c r="L175" s="53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76"/>
      <c r="F176" s="53"/>
      <c r="G176" s="4"/>
      <c r="H176" s="4"/>
      <c r="I176" s="4"/>
      <c r="J176" s="4"/>
      <c r="K176" s="4"/>
      <c r="L176" s="53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76"/>
      <c r="F177" s="53"/>
      <c r="G177" s="4"/>
      <c r="H177" s="4"/>
      <c r="I177" s="4"/>
      <c r="J177" s="4"/>
      <c r="K177" s="4"/>
      <c r="L177" s="53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76"/>
      <c r="F178" s="53"/>
      <c r="G178" s="4"/>
      <c r="H178" s="4"/>
      <c r="I178" s="4"/>
      <c r="J178" s="4"/>
      <c r="K178" s="4"/>
      <c r="L178" s="53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76"/>
      <c r="F179" s="53"/>
      <c r="G179" s="4"/>
      <c r="H179" s="4"/>
      <c r="I179" s="4"/>
      <c r="J179" s="4"/>
      <c r="K179" s="4"/>
      <c r="L179" s="53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76"/>
      <c r="F180" s="53"/>
      <c r="G180" s="4"/>
      <c r="H180" s="4"/>
      <c r="I180" s="4"/>
      <c r="J180" s="4"/>
      <c r="K180" s="4"/>
      <c r="L180" s="53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76"/>
      <c r="F181" s="53"/>
      <c r="G181" s="4"/>
      <c r="H181" s="4"/>
      <c r="I181" s="4"/>
      <c r="J181" s="4"/>
      <c r="K181" s="4"/>
      <c r="L181" s="53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76"/>
      <c r="F182" s="53"/>
      <c r="G182" s="4"/>
      <c r="H182" s="4"/>
      <c r="I182" s="4"/>
      <c r="J182" s="4"/>
      <c r="K182" s="4"/>
      <c r="L182" s="53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76"/>
      <c r="F183" s="53"/>
      <c r="G183" s="4"/>
      <c r="H183" s="4"/>
      <c r="I183" s="4"/>
      <c r="J183" s="4"/>
      <c r="K183" s="4"/>
      <c r="L183" s="53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76"/>
      <c r="F184" s="53"/>
      <c r="G184" s="4"/>
      <c r="H184" s="4"/>
      <c r="I184" s="4"/>
      <c r="J184" s="4"/>
      <c r="K184" s="4"/>
      <c r="L184" s="53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76"/>
      <c r="F185" s="53"/>
      <c r="G185" s="4"/>
      <c r="H185" s="4"/>
      <c r="I185" s="4"/>
      <c r="J185" s="4"/>
      <c r="K185" s="4"/>
      <c r="L185" s="53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76"/>
      <c r="F186" s="53"/>
      <c r="G186" s="4"/>
      <c r="H186" s="4"/>
      <c r="I186" s="4"/>
      <c r="J186" s="4"/>
      <c r="K186" s="4"/>
      <c r="L186" s="53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76"/>
      <c r="F187" s="53"/>
      <c r="G187" s="4"/>
      <c r="H187" s="4"/>
      <c r="I187" s="4"/>
      <c r="J187" s="4"/>
      <c r="K187" s="4"/>
      <c r="L187" s="53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76"/>
      <c r="F188" s="53"/>
      <c r="G188" s="4"/>
      <c r="H188" s="4"/>
      <c r="I188" s="4"/>
      <c r="J188" s="4"/>
      <c r="K188" s="4"/>
      <c r="L188" s="53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76"/>
      <c r="F189" s="53"/>
      <c r="G189" s="4"/>
      <c r="H189" s="4"/>
      <c r="I189" s="4"/>
      <c r="J189" s="4"/>
      <c r="K189" s="4"/>
      <c r="L189" s="53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76"/>
      <c r="F190" s="53"/>
      <c r="G190" s="4"/>
      <c r="H190" s="4"/>
      <c r="I190" s="4"/>
      <c r="J190" s="4"/>
      <c r="K190" s="4"/>
      <c r="L190" s="53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76"/>
      <c r="F191" s="53"/>
      <c r="G191" s="4"/>
      <c r="H191" s="4"/>
      <c r="I191" s="4"/>
      <c r="J191" s="4"/>
      <c r="K191" s="4"/>
      <c r="L191" s="53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76"/>
      <c r="F192" s="53"/>
      <c r="G192" s="4"/>
      <c r="H192" s="4"/>
      <c r="I192" s="4"/>
      <c r="J192" s="4"/>
      <c r="K192" s="4"/>
      <c r="L192" s="53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76"/>
      <c r="F193" s="53"/>
      <c r="G193" s="4"/>
      <c r="H193" s="4"/>
      <c r="I193" s="4"/>
      <c r="J193" s="4"/>
      <c r="K193" s="4"/>
      <c r="L193" s="53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76"/>
      <c r="F194" s="53"/>
      <c r="G194" s="4"/>
      <c r="H194" s="4"/>
      <c r="I194" s="4"/>
      <c r="J194" s="4"/>
      <c r="K194" s="4"/>
      <c r="L194" s="53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76"/>
      <c r="F195" s="53"/>
      <c r="G195" s="4"/>
      <c r="H195" s="4"/>
      <c r="I195" s="4"/>
      <c r="J195" s="4"/>
      <c r="K195" s="4"/>
      <c r="L195" s="53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76"/>
      <c r="F196" s="53"/>
      <c r="G196" s="4"/>
      <c r="H196" s="4"/>
      <c r="I196" s="4"/>
      <c r="J196" s="4"/>
      <c r="K196" s="4"/>
      <c r="L196" s="53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76"/>
      <c r="F197" s="53"/>
      <c r="G197" s="4"/>
      <c r="H197" s="4"/>
      <c r="I197" s="4"/>
      <c r="J197" s="4"/>
      <c r="K197" s="4"/>
      <c r="L197" s="53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76"/>
      <c r="F198" s="53"/>
      <c r="G198" s="4"/>
      <c r="H198" s="4"/>
      <c r="I198" s="4"/>
      <c r="J198" s="4"/>
      <c r="K198" s="4"/>
      <c r="L198" s="53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76"/>
      <c r="F199" s="53"/>
      <c r="G199" s="4"/>
      <c r="H199" s="4"/>
      <c r="I199" s="4"/>
      <c r="J199" s="4"/>
      <c r="K199" s="4"/>
      <c r="L199" s="53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76"/>
      <c r="F200" s="53"/>
      <c r="G200" s="4"/>
      <c r="H200" s="4"/>
      <c r="I200" s="4"/>
      <c r="J200" s="4"/>
      <c r="K200" s="4"/>
      <c r="L200" s="53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76"/>
      <c r="F201" s="53"/>
      <c r="G201" s="4"/>
      <c r="H201" s="4"/>
      <c r="I201" s="4"/>
      <c r="J201" s="4"/>
      <c r="K201" s="4"/>
      <c r="L201" s="53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76"/>
      <c r="F202" s="53"/>
      <c r="G202" s="4"/>
      <c r="H202" s="4"/>
      <c r="I202" s="4"/>
      <c r="J202" s="4"/>
      <c r="K202" s="4"/>
      <c r="L202" s="53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76"/>
      <c r="F203" s="53"/>
      <c r="G203" s="4"/>
      <c r="H203" s="4"/>
      <c r="I203" s="4"/>
      <c r="J203" s="4"/>
      <c r="K203" s="4"/>
      <c r="L203" s="53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76"/>
      <c r="F204" s="53"/>
      <c r="G204" s="4"/>
      <c r="H204" s="4"/>
      <c r="I204" s="4"/>
      <c r="J204" s="4"/>
      <c r="K204" s="4"/>
      <c r="L204" s="53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76"/>
      <c r="F205" s="53"/>
      <c r="G205" s="4"/>
      <c r="H205" s="4"/>
      <c r="I205" s="4"/>
      <c r="J205" s="4"/>
      <c r="K205" s="4"/>
      <c r="L205" s="53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76"/>
      <c r="F206" s="53"/>
      <c r="G206" s="4"/>
      <c r="H206" s="4"/>
      <c r="I206" s="4"/>
      <c r="J206" s="4"/>
      <c r="K206" s="4"/>
      <c r="L206" s="53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76"/>
      <c r="F207" s="53"/>
      <c r="G207" s="4"/>
      <c r="H207" s="4"/>
      <c r="I207" s="4"/>
      <c r="J207" s="4"/>
      <c r="K207" s="4"/>
      <c r="L207" s="53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76"/>
      <c r="F208" s="53"/>
      <c r="G208" s="4"/>
      <c r="H208" s="4"/>
      <c r="I208" s="4"/>
      <c r="J208" s="4"/>
      <c r="K208" s="4"/>
      <c r="L208" s="53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76"/>
      <c r="F209" s="53"/>
      <c r="G209" s="4"/>
      <c r="H209" s="4"/>
      <c r="I209" s="4"/>
      <c r="J209" s="4"/>
      <c r="K209" s="4"/>
      <c r="L209" s="53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76"/>
      <c r="F210" s="53"/>
      <c r="G210" s="4"/>
      <c r="H210" s="4"/>
      <c r="I210" s="4"/>
      <c r="J210" s="4"/>
      <c r="K210" s="4"/>
      <c r="L210" s="53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76"/>
      <c r="F211" s="53"/>
      <c r="G211" s="4"/>
      <c r="H211" s="4"/>
      <c r="I211" s="4"/>
      <c r="J211" s="4"/>
      <c r="K211" s="4"/>
      <c r="L211" s="53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76"/>
      <c r="F212" s="53"/>
      <c r="G212" s="4"/>
      <c r="H212" s="4"/>
      <c r="I212" s="4"/>
      <c r="J212" s="4"/>
      <c r="K212" s="4"/>
      <c r="L212" s="53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76"/>
      <c r="F213" s="53"/>
      <c r="G213" s="4"/>
      <c r="H213" s="4"/>
      <c r="I213" s="4"/>
      <c r="J213" s="4"/>
      <c r="K213" s="4"/>
      <c r="L213" s="53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76"/>
      <c r="F214" s="53"/>
      <c r="G214" s="4"/>
      <c r="H214" s="4"/>
      <c r="I214" s="4"/>
      <c r="J214" s="4"/>
      <c r="K214" s="4"/>
      <c r="L214" s="53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76"/>
      <c r="F215" s="53"/>
      <c r="G215" s="4"/>
      <c r="H215" s="4"/>
      <c r="I215" s="4"/>
      <c r="J215" s="4"/>
      <c r="K215" s="4"/>
      <c r="L215" s="53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76"/>
      <c r="F216" s="53"/>
      <c r="G216" s="4"/>
      <c r="H216" s="4"/>
      <c r="I216" s="4"/>
      <c r="J216" s="4"/>
      <c r="K216" s="4"/>
      <c r="L216" s="53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76"/>
      <c r="F217" s="53"/>
      <c r="G217" s="4"/>
      <c r="H217" s="4"/>
      <c r="I217" s="4"/>
      <c r="J217" s="4"/>
      <c r="K217" s="4"/>
      <c r="L217" s="53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76"/>
      <c r="F218" s="53"/>
      <c r="G218" s="4"/>
      <c r="H218" s="4"/>
      <c r="I218" s="4"/>
      <c r="J218" s="4"/>
      <c r="K218" s="4"/>
      <c r="L218" s="53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76"/>
      <c r="F219" s="53"/>
      <c r="G219" s="4"/>
      <c r="H219" s="4"/>
      <c r="I219" s="4"/>
      <c r="J219" s="4"/>
      <c r="K219" s="4"/>
      <c r="L219" s="53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76"/>
      <c r="F220" s="53"/>
      <c r="G220" s="4"/>
      <c r="H220" s="4"/>
      <c r="I220" s="4"/>
      <c r="J220" s="4"/>
      <c r="K220" s="4"/>
      <c r="L220" s="53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76"/>
      <c r="F221" s="53"/>
      <c r="G221" s="4"/>
      <c r="H221" s="4"/>
      <c r="I221" s="4"/>
      <c r="J221" s="4"/>
      <c r="K221" s="4"/>
      <c r="L221" s="53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76"/>
      <c r="F222" s="53"/>
      <c r="G222" s="4"/>
      <c r="H222" s="4"/>
      <c r="I222" s="4"/>
      <c r="J222" s="4"/>
      <c r="K222" s="4"/>
      <c r="L222" s="53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76"/>
      <c r="F223" s="53"/>
      <c r="G223" s="4"/>
      <c r="H223" s="4"/>
      <c r="I223" s="4"/>
      <c r="J223" s="4"/>
      <c r="K223" s="4"/>
      <c r="L223" s="53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76"/>
      <c r="F224" s="53"/>
      <c r="G224" s="4"/>
      <c r="H224" s="4"/>
      <c r="I224" s="4"/>
      <c r="J224" s="4"/>
      <c r="K224" s="4"/>
      <c r="L224" s="53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76"/>
      <c r="F225" s="53"/>
      <c r="G225" s="4"/>
      <c r="H225" s="4"/>
      <c r="I225" s="4"/>
      <c r="J225" s="4"/>
      <c r="K225" s="4"/>
      <c r="L225" s="53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76"/>
      <c r="F226" s="53"/>
      <c r="G226" s="4"/>
      <c r="H226" s="4"/>
      <c r="I226" s="4"/>
      <c r="J226" s="4"/>
      <c r="K226" s="4"/>
      <c r="L226" s="53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76"/>
      <c r="F227" s="53"/>
      <c r="G227" s="4"/>
      <c r="H227" s="4"/>
      <c r="I227" s="4"/>
      <c r="J227" s="4"/>
      <c r="K227" s="4"/>
      <c r="L227" s="53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76"/>
      <c r="F228" s="53"/>
      <c r="G228" s="4"/>
      <c r="H228" s="4"/>
      <c r="I228" s="4"/>
      <c r="J228" s="4"/>
      <c r="K228" s="4"/>
      <c r="L228" s="53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76"/>
      <c r="F229" s="53"/>
      <c r="G229" s="4"/>
      <c r="H229" s="4"/>
      <c r="I229" s="4"/>
      <c r="J229" s="4"/>
      <c r="K229" s="4"/>
      <c r="L229" s="53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76"/>
      <c r="F230" s="53"/>
      <c r="G230" s="4"/>
      <c r="H230" s="4"/>
      <c r="I230" s="4"/>
      <c r="J230" s="4"/>
      <c r="K230" s="4"/>
      <c r="L230" s="53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76"/>
      <c r="F231" s="53"/>
      <c r="G231" s="4"/>
      <c r="H231" s="4"/>
      <c r="I231" s="4"/>
      <c r="J231" s="4"/>
      <c r="K231" s="4"/>
      <c r="L231" s="53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76"/>
      <c r="F232" s="53"/>
      <c r="G232" s="4"/>
      <c r="H232" s="4"/>
      <c r="I232" s="4"/>
      <c r="J232" s="4"/>
      <c r="K232" s="4"/>
      <c r="L232" s="53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76"/>
      <c r="F233" s="53"/>
      <c r="G233" s="4"/>
      <c r="H233" s="4"/>
      <c r="I233" s="4"/>
      <c r="J233" s="4"/>
      <c r="K233" s="4"/>
      <c r="L233" s="53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76"/>
      <c r="F234" s="53"/>
      <c r="G234" s="4"/>
      <c r="H234" s="4"/>
      <c r="I234" s="4"/>
      <c r="J234" s="4"/>
      <c r="K234" s="4"/>
      <c r="L234" s="53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76"/>
      <c r="F235" s="53"/>
      <c r="G235" s="4"/>
      <c r="H235" s="4"/>
      <c r="I235" s="4"/>
      <c r="J235" s="4"/>
      <c r="K235" s="4"/>
      <c r="L235" s="53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76"/>
      <c r="F236" s="53"/>
      <c r="G236" s="4"/>
      <c r="H236" s="4"/>
      <c r="I236" s="4"/>
      <c r="J236" s="4"/>
      <c r="K236" s="4"/>
      <c r="L236" s="53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76"/>
      <c r="F237" s="53"/>
      <c r="G237" s="4"/>
      <c r="H237" s="4"/>
      <c r="I237" s="4"/>
      <c r="J237" s="4"/>
      <c r="K237" s="4"/>
      <c r="L237" s="53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76"/>
      <c r="F238" s="53"/>
      <c r="G238" s="4"/>
      <c r="H238" s="4"/>
      <c r="I238" s="4"/>
      <c r="J238" s="4"/>
      <c r="K238" s="4"/>
      <c r="L238" s="53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76"/>
      <c r="F239" s="53"/>
      <c r="G239" s="4"/>
      <c r="H239" s="4"/>
      <c r="I239" s="4"/>
      <c r="J239" s="4"/>
      <c r="K239" s="4"/>
      <c r="L239" s="53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76"/>
      <c r="F240" s="53"/>
      <c r="G240" s="4"/>
      <c r="H240" s="4"/>
      <c r="I240" s="4"/>
      <c r="J240" s="4"/>
      <c r="K240" s="4"/>
      <c r="L240" s="53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76"/>
      <c r="F241" s="53"/>
      <c r="G241" s="4"/>
      <c r="H241" s="4"/>
      <c r="I241" s="4"/>
      <c r="J241" s="4"/>
      <c r="K241" s="4"/>
      <c r="L241" s="53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76"/>
      <c r="F242" s="53"/>
      <c r="G242" s="4"/>
      <c r="H242" s="4"/>
      <c r="I242" s="4"/>
      <c r="J242" s="4"/>
      <c r="K242" s="4"/>
      <c r="L242" s="53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76"/>
      <c r="F243" s="53"/>
      <c r="G243" s="4"/>
      <c r="H243" s="4"/>
      <c r="I243" s="4"/>
      <c r="J243" s="4"/>
      <c r="K243" s="4"/>
      <c r="L243" s="53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76"/>
      <c r="F244" s="53"/>
      <c r="G244" s="4"/>
      <c r="H244" s="4"/>
      <c r="I244" s="4"/>
      <c r="J244" s="4"/>
      <c r="K244" s="4"/>
      <c r="L244" s="53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76"/>
      <c r="F245" s="53"/>
      <c r="G245" s="4"/>
      <c r="H245" s="4"/>
      <c r="I245" s="4"/>
      <c r="J245" s="4"/>
      <c r="K245" s="4"/>
      <c r="L245" s="53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76"/>
      <c r="F246" s="53"/>
      <c r="G246" s="4"/>
      <c r="H246" s="4"/>
      <c r="I246" s="4"/>
      <c r="J246" s="4"/>
      <c r="K246" s="4"/>
      <c r="L246" s="53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76"/>
      <c r="F247" s="53"/>
      <c r="G247" s="4"/>
      <c r="H247" s="4"/>
      <c r="I247" s="4"/>
      <c r="J247" s="4"/>
      <c r="K247" s="4"/>
      <c r="L247" s="53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76"/>
      <c r="F248" s="53"/>
      <c r="G248" s="4"/>
      <c r="H248" s="4"/>
      <c r="I248" s="4"/>
      <c r="J248" s="4"/>
      <c r="K248" s="4"/>
      <c r="L248" s="53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76"/>
      <c r="F249" s="53"/>
      <c r="G249" s="4"/>
      <c r="H249" s="4"/>
      <c r="I249" s="4"/>
      <c r="J249" s="4"/>
      <c r="K249" s="4"/>
      <c r="L249" s="53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76"/>
      <c r="F250" s="53"/>
      <c r="G250" s="4"/>
      <c r="H250" s="4"/>
      <c r="I250" s="4"/>
      <c r="J250" s="4"/>
      <c r="K250" s="4"/>
      <c r="L250" s="53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76"/>
      <c r="F251" s="53"/>
      <c r="G251" s="4"/>
      <c r="H251" s="4"/>
      <c r="I251" s="4"/>
      <c r="J251" s="4"/>
      <c r="K251" s="4"/>
      <c r="L251" s="53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76"/>
      <c r="F252" s="53"/>
      <c r="G252" s="4"/>
      <c r="H252" s="4"/>
      <c r="I252" s="4"/>
      <c r="J252" s="4"/>
      <c r="K252" s="4"/>
      <c r="L252" s="53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76"/>
      <c r="F253" s="53"/>
      <c r="G253" s="4"/>
      <c r="H253" s="4"/>
      <c r="I253" s="4"/>
      <c r="J253" s="4"/>
      <c r="K253" s="4"/>
      <c r="L253" s="53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76"/>
      <c r="F254" s="53"/>
      <c r="G254" s="4"/>
      <c r="H254" s="4"/>
      <c r="I254" s="4"/>
      <c r="J254" s="4"/>
      <c r="K254" s="4"/>
      <c r="L254" s="53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76"/>
      <c r="F255" s="53"/>
      <c r="G255" s="4"/>
      <c r="H255" s="4"/>
      <c r="I255" s="4"/>
      <c r="J255" s="4"/>
      <c r="K255" s="4"/>
      <c r="L255" s="53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76"/>
      <c r="F256" s="53"/>
      <c r="G256" s="4"/>
      <c r="H256" s="4"/>
      <c r="I256" s="4"/>
      <c r="J256" s="4"/>
      <c r="K256" s="4"/>
      <c r="L256" s="53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76"/>
      <c r="F257" s="53"/>
      <c r="G257" s="4"/>
      <c r="H257" s="4"/>
      <c r="I257" s="4"/>
      <c r="J257" s="4"/>
      <c r="K257" s="4"/>
      <c r="L257" s="53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76"/>
      <c r="F258" s="53"/>
      <c r="G258" s="4"/>
      <c r="H258" s="4"/>
      <c r="I258" s="4"/>
      <c r="J258" s="4"/>
      <c r="K258" s="4"/>
      <c r="L258" s="53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76"/>
      <c r="F259" s="53"/>
      <c r="G259" s="4"/>
      <c r="H259" s="4"/>
      <c r="I259" s="4"/>
      <c r="J259" s="4"/>
      <c r="K259" s="4"/>
      <c r="L259" s="53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76"/>
      <c r="F260" s="53"/>
      <c r="G260" s="4"/>
      <c r="H260" s="4"/>
      <c r="I260" s="4"/>
      <c r="J260" s="4"/>
      <c r="K260" s="4"/>
      <c r="L260" s="53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76"/>
      <c r="F261" s="53"/>
      <c r="G261" s="4"/>
      <c r="H261" s="4"/>
      <c r="I261" s="4"/>
      <c r="J261" s="4"/>
      <c r="K261" s="4"/>
      <c r="L261" s="53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76"/>
      <c r="F262" s="53"/>
      <c r="G262" s="4"/>
      <c r="H262" s="4"/>
      <c r="I262" s="4"/>
      <c r="J262" s="4"/>
      <c r="K262" s="4"/>
      <c r="L262" s="53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76"/>
      <c r="F263" s="53"/>
      <c r="G263" s="4"/>
      <c r="H263" s="4"/>
      <c r="I263" s="4"/>
      <c r="J263" s="4"/>
      <c r="K263" s="4"/>
      <c r="L263" s="53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76"/>
      <c r="F264" s="53"/>
      <c r="G264" s="4"/>
      <c r="H264" s="4"/>
      <c r="I264" s="4"/>
      <c r="J264" s="4"/>
      <c r="K264" s="4"/>
      <c r="L264" s="53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76"/>
      <c r="F265" s="53"/>
      <c r="G265" s="4"/>
      <c r="H265" s="4"/>
      <c r="I265" s="4"/>
      <c r="J265" s="4"/>
      <c r="K265" s="4"/>
      <c r="L265" s="53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76"/>
      <c r="F266" s="53"/>
      <c r="G266" s="4"/>
      <c r="H266" s="4"/>
      <c r="I266" s="4"/>
      <c r="J266" s="4"/>
      <c r="K266" s="4"/>
      <c r="L266" s="53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76"/>
      <c r="F267" s="53"/>
      <c r="G267" s="4"/>
      <c r="H267" s="4"/>
      <c r="I267" s="4"/>
      <c r="J267" s="4"/>
      <c r="K267" s="4"/>
      <c r="L267" s="53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76"/>
      <c r="F268" s="53"/>
      <c r="G268" s="4"/>
      <c r="H268" s="4"/>
      <c r="I268" s="4"/>
      <c r="J268" s="4"/>
      <c r="K268" s="4"/>
      <c r="L268" s="53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76"/>
      <c r="F269" s="53"/>
      <c r="G269" s="4"/>
      <c r="H269" s="4"/>
      <c r="I269" s="4"/>
      <c r="J269" s="4"/>
      <c r="K269" s="4"/>
      <c r="L269" s="53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76"/>
      <c r="F270" s="53"/>
      <c r="G270" s="4"/>
      <c r="H270" s="4"/>
      <c r="I270" s="4"/>
      <c r="J270" s="4"/>
      <c r="K270" s="4"/>
      <c r="L270" s="53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76"/>
      <c r="F271" s="53"/>
      <c r="G271" s="4"/>
      <c r="H271" s="4"/>
      <c r="I271" s="4"/>
      <c r="J271" s="4"/>
      <c r="K271" s="4"/>
      <c r="L271" s="53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76"/>
      <c r="F272" s="53"/>
      <c r="G272" s="4"/>
      <c r="H272" s="4"/>
      <c r="I272" s="4"/>
      <c r="J272" s="4"/>
      <c r="K272" s="4"/>
      <c r="L272" s="53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76"/>
      <c r="F273" s="53"/>
      <c r="G273" s="4"/>
      <c r="H273" s="4"/>
      <c r="I273" s="4"/>
      <c r="J273" s="4"/>
      <c r="K273" s="4"/>
      <c r="L273" s="53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76"/>
      <c r="F274" s="53"/>
      <c r="G274" s="4"/>
      <c r="H274" s="4"/>
      <c r="I274" s="4"/>
      <c r="J274" s="4"/>
      <c r="K274" s="4"/>
      <c r="L274" s="53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76"/>
      <c r="F275" s="53"/>
      <c r="G275" s="4"/>
      <c r="H275" s="4"/>
      <c r="I275" s="4"/>
      <c r="J275" s="4"/>
      <c r="K275" s="4"/>
      <c r="L275" s="53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76"/>
      <c r="F276" s="53"/>
      <c r="G276" s="4"/>
      <c r="H276" s="4"/>
      <c r="I276" s="4"/>
      <c r="J276" s="4"/>
      <c r="K276" s="4"/>
      <c r="L276" s="53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76"/>
      <c r="F277" s="53"/>
      <c r="G277" s="4"/>
      <c r="H277" s="4"/>
      <c r="I277" s="4"/>
      <c r="J277" s="4"/>
      <c r="K277" s="4"/>
      <c r="L277" s="53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76"/>
      <c r="F278" s="53"/>
      <c r="G278" s="4"/>
      <c r="H278" s="4"/>
      <c r="I278" s="4"/>
      <c r="J278" s="4"/>
      <c r="K278" s="4"/>
      <c r="L278" s="53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76"/>
      <c r="F279" s="53"/>
      <c r="G279" s="4"/>
      <c r="H279" s="4"/>
      <c r="I279" s="4"/>
      <c r="J279" s="4"/>
      <c r="K279" s="4"/>
      <c r="L279" s="53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76"/>
      <c r="F280" s="53"/>
      <c r="G280" s="4"/>
      <c r="H280" s="4"/>
      <c r="I280" s="4"/>
      <c r="J280" s="4"/>
      <c r="K280" s="4"/>
      <c r="L280" s="53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76"/>
      <c r="F281" s="53"/>
      <c r="G281" s="4"/>
      <c r="H281" s="4"/>
      <c r="I281" s="4"/>
      <c r="J281" s="4"/>
      <c r="K281" s="4"/>
      <c r="L281" s="53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76"/>
      <c r="F282" s="53"/>
      <c r="G282" s="4"/>
      <c r="H282" s="4"/>
      <c r="I282" s="4"/>
      <c r="J282" s="4"/>
      <c r="K282" s="4"/>
      <c r="L282" s="53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76"/>
      <c r="F283" s="53"/>
      <c r="G283" s="4"/>
      <c r="H283" s="4"/>
      <c r="I283" s="4"/>
      <c r="J283" s="4"/>
      <c r="K283" s="4"/>
      <c r="L283" s="53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76"/>
      <c r="F284" s="53"/>
      <c r="G284" s="4"/>
      <c r="H284" s="4"/>
      <c r="I284" s="4"/>
      <c r="J284" s="4"/>
      <c r="K284" s="4"/>
      <c r="L284" s="53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76"/>
      <c r="F285" s="53"/>
      <c r="G285" s="4"/>
      <c r="H285" s="4"/>
      <c r="I285" s="4"/>
      <c r="J285" s="4"/>
      <c r="K285" s="4"/>
      <c r="L285" s="53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76"/>
      <c r="F286" s="53"/>
      <c r="G286" s="4"/>
      <c r="H286" s="4"/>
      <c r="I286" s="4"/>
      <c r="J286" s="4"/>
      <c r="K286" s="4"/>
      <c r="L286" s="53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76"/>
      <c r="F287" s="53"/>
      <c r="G287" s="4"/>
      <c r="H287" s="4"/>
      <c r="I287" s="4"/>
      <c r="J287" s="4"/>
      <c r="K287" s="4"/>
      <c r="L287" s="53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76"/>
      <c r="F288" s="53"/>
      <c r="G288" s="4"/>
      <c r="H288" s="4"/>
      <c r="I288" s="4"/>
      <c r="J288" s="4"/>
      <c r="K288" s="4"/>
      <c r="L288" s="53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76"/>
      <c r="F289" s="53"/>
      <c r="G289" s="4"/>
      <c r="H289" s="4"/>
      <c r="I289" s="4"/>
      <c r="J289" s="4"/>
      <c r="K289" s="4"/>
      <c r="L289" s="53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76"/>
      <c r="F290" s="53"/>
      <c r="G290" s="4"/>
      <c r="H290" s="4"/>
      <c r="I290" s="4"/>
      <c r="J290" s="4"/>
      <c r="K290" s="4"/>
      <c r="L290" s="53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76"/>
      <c r="F291" s="53"/>
      <c r="G291" s="4"/>
      <c r="H291" s="4"/>
      <c r="I291" s="4"/>
      <c r="J291" s="4"/>
      <c r="K291" s="4"/>
      <c r="L291" s="53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76"/>
      <c r="F292" s="53"/>
      <c r="G292" s="4"/>
      <c r="H292" s="4"/>
      <c r="I292" s="4"/>
      <c r="J292" s="4"/>
      <c r="K292" s="4"/>
      <c r="L292" s="53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76"/>
      <c r="F293" s="53"/>
      <c r="G293" s="4"/>
      <c r="H293" s="4"/>
      <c r="I293" s="4"/>
      <c r="J293" s="4"/>
      <c r="K293" s="4"/>
      <c r="L293" s="53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76"/>
      <c r="F294" s="53"/>
      <c r="G294" s="4"/>
      <c r="H294" s="4"/>
      <c r="I294" s="4"/>
      <c r="J294" s="4"/>
      <c r="K294" s="4"/>
      <c r="L294" s="53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76"/>
      <c r="F295" s="53"/>
      <c r="G295" s="4"/>
      <c r="H295" s="4"/>
      <c r="I295" s="4"/>
      <c r="J295" s="4"/>
      <c r="K295" s="4"/>
      <c r="L295" s="53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76"/>
      <c r="F296" s="53"/>
      <c r="G296" s="4"/>
      <c r="H296" s="4"/>
      <c r="I296" s="4"/>
      <c r="J296" s="4"/>
      <c r="K296" s="4"/>
      <c r="L296" s="53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76"/>
      <c r="F297" s="53"/>
      <c r="G297" s="4"/>
      <c r="H297" s="4"/>
      <c r="I297" s="4"/>
      <c r="J297" s="4"/>
      <c r="K297" s="4"/>
      <c r="L297" s="53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76"/>
      <c r="F298" s="53"/>
      <c r="G298" s="4"/>
      <c r="H298" s="4"/>
      <c r="I298" s="4"/>
      <c r="J298" s="4"/>
      <c r="K298" s="4"/>
      <c r="L298" s="53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76"/>
      <c r="F299" s="53"/>
      <c r="G299" s="4"/>
      <c r="H299" s="4"/>
      <c r="I299" s="4"/>
      <c r="J299" s="4"/>
      <c r="K299" s="4"/>
      <c r="L299" s="53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76"/>
      <c r="F300" s="53"/>
      <c r="G300" s="4"/>
      <c r="H300" s="4"/>
      <c r="I300" s="4"/>
      <c r="J300" s="4"/>
      <c r="K300" s="4"/>
      <c r="L300" s="53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76"/>
      <c r="F301" s="53"/>
      <c r="G301" s="4"/>
      <c r="H301" s="4"/>
      <c r="I301" s="4"/>
      <c r="J301" s="4"/>
      <c r="K301" s="4"/>
      <c r="L301" s="53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76"/>
      <c r="F302" s="53"/>
      <c r="G302" s="4"/>
      <c r="H302" s="4"/>
      <c r="I302" s="4"/>
      <c r="J302" s="4"/>
      <c r="K302" s="4"/>
      <c r="L302" s="53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76"/>
      <c r="F303" s="53"/>
      <c r="G303" s="4"/>
      <c r="H303" s="4"/>
      <c r="I303" s="4"/>
      <c r="J303" s="4"/>
      <c r="K303" s="4"/>
      <c r="L303" s="53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76"/>
      <c r="F304" s="53"/>
      <c r="G304" s="4"/>
      <c r="H304" s="4"/>
      <c r="I304" s="4"/>
      <c r="J304" s="4"/>
      <c r="K304" s="4"/>
      <c r="L304" s="53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76"/>
      <c r="F305" s="53"/>
      <c r="G305" s="4"/>
      <c r="H305" s="4"/>
      <c r="I305" s="4"/>
      <c r="J305" s="4"/>
      <c r="K305" s="4"/>
      <c r="L305" s="53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76"/>
      <c r="F306" s="53"/>
      <c r="G306" s="4"/>
      <c r="H306" s="4"/>
      <c r="I306" s="4"/>
      <c r="J306" s="4"/>
      <c r="K306" s="4"/>
      <c r="L306" s="53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76"/>
      <c r="F307" s="53"/>
      <c r="G307" s="4"/>
      <c r="H307" s="4"/>
      <c r="I307" s="4"/>
      <c r="J307" s="4"/>
      <c r="K307" s="4"/>
      <c r="L307" s="53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76"/>
      <c r="F308" s="53"/>
      <c r="G308" s="4"/>
      <c r="H308" s="4"/>
      <c r="I308" s="4"/>
      <c r="J308" s="4"/>
      <c r="K308" s="4"/>
      <c r="L308" s="53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76"/>
      <c r="F309" s="53"/>
      <c r="G309" s="4"/>
      <c r="H309" s="4"/>
      <c r="I309" s="4"/>
      <c r="J309" s="4"/>
      <c r="K309" s="4"/>
      <c r="L309" s="53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76"/>
      <c r="F310" s="53"/>
      <c r="G310" s="4"/>
      <c r="H310" s="4"/>
      <c r="I310" s="4"/>
      <c r="J310" s="4"/>
      <c r="K310" s="4"/>
      <c r="L310" s="53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76"/>
      <c r="F311" s="53"/>
      <c r="G311" s="4"/>
      <c r="H311" s="4"/>
      <c r="I311" s="4"/>
      <c r="J311" s="4"/>
      <c r="K311" s="4"/>
      <c r="L311" s="53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76"/>
      <c r="F312" s="53"/>
      <c r="G312" s="4"/>
      <c r="H312" s="4"/>
      <c r="I312" s="4"/>
      <c r="J312" s="4"/>
      <c r="K312" s="4"/>
      <c r="L312" s="53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76"/>
      <c r="F313" s="53"/>
      <c r="G313" s="4"/>
      <c r="H313" s="4"/>
      <c r="I313" s="4"/>
      <c r="J313" s="4"/>
      <c r="K313" s="4"/>
      <c r="L313" s="53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76"/>
      <c r="F314" s="53"/>
      <c r="G314" s="4"/>
      <c r="H314" s="4"/>
      <c r="I314" s="4"/>
      <c r="J314" s="4"/>
      <c r="K314" s="4"/>
      <c r="L314" s="53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76"/>
      <c r="F315" s="53"/>
      <c r="G315" s="4"/>
      <c r="H315" s="4"/>
      <c r="I315" s="4"/>
      <c r="J315" s="4"/>
      <c r="K315" s="4"/>
      <c r="L315" s="53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76"/>
      <c r="F316" s="53"/>
      <c r="G316" s="4"/>
      <c r="H316" s="4"/>
      <c r="I316" s="4"/>
      <c r="J316" s="4"/>
      <c r="K316" s="4"/>
      <c r="L316" s="53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76"/>
      <c r="F317" s="53"/>
      <c r="G317" s="4"/>
      <c r="H317" s="4"/>
      <c r="I317" s="4"/>
      <c r="J317" s="4"/>
      <c r="K317" s="4"/>
      <c r="L317" s="53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76"/>
      <c r="F318" s="53"/>
      <c r="G318" s="4"/>
      <c r="H318" s="4"/>
      <c r="I318" s="4"/>
      <c r="J318" s="4"/>
      <c r="K318" s="4"/>
      <c r="L318" s="53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76"/>
      <c r="F319" s="53"/>
      <c r="G319" s="4"/>
      <c r="H319" s="4"/>
      <c r="I319" s="4"/>
      <c r="J319" s="4"/>
      <c r="K319" s="4"/>
      <c r="L319" s="53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76"/>
      <c r="F320" s="53"/>
      <c r="G320" s="4"/>
      <c r="H320" s="4"/>
      <c r="I320" s="4"/>
      <c r="J320" s="4"/>
      <c r="K320" s="4"/>
      <c r="L320" s="53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76"/>
      <c r="F321" s="53"/>
      <c r="G321" s="4"/>
      <c r="H321" s="4"/>
      <c r="I321" s="4"/>
      <c r="J321" s="4"/>
      <c r="K321" s="4"/>
      <c r="L321" s="53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76"/>
      <c r="F322" s="53"/>
      <c r="G322" s="4"/>
      <c r="H322" s="4"/>
      <c r="I322" s="4"/>
      <c r="J322" s="4"/>
      <c r="K322" s="4"/>
      <c r="L322" s="53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76"/>
      <c r="F323" s="53"/>
      <c r="G323" s="4"/>
      <c r="H323" s="4"/>
      <c r="I323" s="4"/>
      <c r="J323" s="4"/>
      <c r="K323" s="4"/>
      <c r="L323" s="53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76"/>
      <c r="F324" s="53"/>
      <c r="G324" s="4"/>
      <c r="H324" s="4"/>
      <c r="I324" s="4"/>
      <c r="J324" s="4"/>
      <c r="K324" s="4"/>
      <c r="L324" s="53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76"/>
      <c r="F325" s="53"/>
      <c r="G325" s="4"/>
      <c r="H325" s="4"/>
      <c r="I325" s="4"/>
      <c r="J325" s="4"/>
      <c r="K325" s="4"/>
      <c r="L325" s="53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76"/>
      <c r="F326" s="53"/>
      <c r="G326" s="4"/>
      <c r="H326" s="4"/>
      <c r="I326" s="4"/>
      <c r="J326" s="4"/>
      <c r="K326" s="4"/>
      <c r="L326" s="53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76"/>
      <c r="F327" s="53"/>
      <c r="G327" s="4"/>
      <c r="H327" s="4"/>
      <c r="I327" s="4"/>
      <c r="J327" s="4"/>
      <c r="K327" s="4"/>
      <c r="L327" s="53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76"/>
      <c r="F328" s="53"/>
      <c r="G328" s="4"/>
      <c r="H328" s="4"/>
      <c r="I328" s="4"/>
      <c r="J328" s="4"/>
      <c r="K328" s="4"/>
      <c r="L328" s="53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76"/>
      <c r="F329" s="53"/>
      <c r="G329" s="4"/>
      <c r="H329" s="4"/>
      <c r="I329" s="4"/>
      <c r="J329" s="4"/>
      <c r="K329" s="4"/>
      <c r="L329" s="53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76"/>
      <c r="F330" s="53"/>
      <c r="G330" s="4"/>
      <c r="H330" s="4"/>
      <c r="I330" s="4"/>
      <c r="J330" s="4"/>
      <c r="K330" s="4"/>
      <c r="L330" s="53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76"/>
      <c r="F331" s="53"/>
      <c r="G331" s="4"/>
      <c r="H331" s="4"/>
      <c r="I331" s="4"/>
      <c r="J331" s="4"/>
      <c r="K331" s="4"/>
      <c r="L331" s="53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76"/>
      <c r="F332" s="53"/>
      <c r="G332" s="4"/>
      <c r="H332" s="4"/>
      <c r="I332" s="4"/>
      <c r="J332" s="4"/>
      <c r="K332" s="4"/>
      <c r="L332" s="53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76"/>
      <c r="F333" s="53"/>
      <c r="G333" s="4"/>
      <c r="H333" s="4"/>
      <c r="I333" s="4"/>
      <c r="J333" s="4"/>
      <c r="K333" s="4"/>
      <c r="L333" s="53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76"/>
      <c r="F334" s="53"/>
      <c r="G334" s="4"/>
      <c r="H334" s="4"/>
      <c r="I334" s="4"/>
      <c r="J334" s="4"/>
      <c r="K334" s="4"/>
      <c r="L334" s="53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76"/>
      <c r="F335" s="53"/>
      <c r="G335" s="4"/>
      <c r="H335" s="4"/>
      <c r="I335" s="4"/>
      <c r="J335" s="4"/>
      <c r="K335" s="4"/>
      <c r="L335" s="53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76"/>
      <c r="F336" s="53"/>
      <c r="G336" s="4"/>
      <c r="H336" s="4"/>
      <c r="I336" s="4"/>
      <c r="J336" s="4"/>
      <c r="K336" s="4"/>
      <c r="L336" s="53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76"/>
      <c r="F337" s="53"/>
      <c r="G337" s="4"/>
      <c r="H337" s="4"/>
      <c r="I337" s="4"/>
      <c r="J337" s="4"/>
      <c r="K337" s="4"/>
      <c r="L337" s="53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76"/>
      <c r="F338" s="53"/>
      <c r="G338" s="4"/>
      <c r="H338" s="4"/>
      <c r="I338" s="4"/>
      <c r="J338" s="4"/>
      <c r="K338" s="4"/>
      <c r="L338" s="53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76"/>
      <c r="F339" s="53"/>
      <c r="G339" s="4"/>
      <c r="H339" s="4"/>
      <c r="I339" s="4"/>
      <c r="J339" s="4"/>
      <c r="K339" s="4"/>
      <c r="L339" s="53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76"/>
      <c r="F340" s="53"/>
      <c r="G340" s="4"/>
      <c r="H340" s="4"/>
      <c r="I340" s="4"/>
      <c r="J340" s="4"/>
      <c r="K340" s="4"/>
      <c r="L340" s="53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76"/>
      <c r="F341" s="53"/>
      <c r="G341" s="4"/>
      <c r="H341" s="4"/>
      <c r="I341" s="4"/>
      <c r="J341" s="4"/>
      <c r="K341" s="4"/>
      <c r="L341" s="53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76"/>
      <c r="F342" s="53"/>
      <c r="G342" s="4"/>
      <c r="H342" s="4"/>
      <c r="I342" s="4"/>
      <c r="J342" s="4"/>
      <c r="K342" s="4"/>
      <c r="L342" s="53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76"/>
      <c r="F343" s="53"/>
      <c r="G343" s="4"/>
      <c r="H343" s="4"/>
      <c r="I343" s="4"/>
      <c r="J343" s="4"/>
      <c r="K343" s="4"/>
      <c r="L343" s="53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76"/>
      <c r="F344" s="53"/>
      <c r="G344" s="4"/>
      <c r="H344" s="4"/>
      <c r="I344" s="4"/>
      <c r="J344" s="4"/>
      <c r="K344" s="4"/>
      <c r="L344" s="53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76"/>
      <c r="F345" s="53"/>
      <c r="G345" s="4"/>
      <c r="H345" s="4"/>
      <c r="I345" s="4"/>
      <c r="J345" s="4"/>
      <c r="K345" s="4"/>
      <c r="L345" s="53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76"/>
      <c r="F346" s="53"/>
      <c r="G346" s="4"/>
      <c r="H346" s="4"/>
      <c r="I346" s="4"/>
      <c r="J346" s="4"/>
      <c r="K346" s="4"/>
      <c r="L346" s="53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76"/>
      <c r="F347" s="53"/>
      <c r="G347" s="4"/>
      <c r="H347" s="4"/>
      <c r="I347" s="4"/>
      <c r="J347" s="4"/>
      <c r="K347" s="4"/>
      <c r="L347" s="53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76"/>
      <c r="F348" s="53"/>
      <c r="G348" s="4"/>
      <c r="H348" s="4"/>
      <c r="I348" s="4"/>
      <c r="J348" s="4"/>
      <c r="K348" s="4"/>
      <c r="L348" s="53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76"/>
      <c r="F349" s="53"/>
      <c r="G349" s="4"/>
      <c r="H349" s="4"/>
      <c r="I349" s="4"/>
      <c r="J349" s="4"/>
      <c r="K349" s="4"/>
      <c r="L349" s="53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76"/>
      <c r="F350" s="53"/>
      <c r="G350" s="4"/>
      <c r="H350" s="4"/>
      <c r="I350" s="4"/>
      <c r="J350" s="4"/>
      <c r="K350" s="4"/>
      <c r="L350" s="53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76"/>
      <c r="F351" s="53"/>
      <c r="G351" s="4"/>
      <c r="H351" s="4"/>
      <c r="I351" s="4"/>
      <c r="J351" s="4"/>
      <c r="K351" s="4"/>
      <c r="L351" s="53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76"/>
      <c r="F352" s="53"/>
      <c r="G352" s="4"/>
      <c r="H352" s="4"/>
      <c r="I352" s="4"/>
      <c r="J352" s="4"/>
      <c r="K352" s="4"/>
      <c r="L352" s="53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76"/>
      <c r="F353" s="53"/>
      <c r="G353" s="4"/>
      <c r="H353" s="4"/>
      <c r="I353" s="4"/>
      <c r="J353" s="4"/>
      <c r="K353" s="4"/>
      <c r="L353" s="53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76"/>
      <c r="F354" s="53"/>
      <c r="G354" s="4"/>
      <c r="H354" s="4"/>
      <c r="I354" s="4"/>
      <c r="J354" s="4"/>
      <c r="K354" s="4"/>
      <c r="L354" s="53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76"/>
      <c r="F355" s="53"/>
      <c r="G355" s="4"/>
      <c r="H355" s="4"/>
      <c r="I355" s="4"/>
      <c r="J355" s="4"/>
      <c r="K355" s="4"/>
      <c r="L355" s="53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76"/>
      <c r="F356" s="53"/>
      <c r="G356" s="4"/>
      <c r="H356" s="4"/>
      <c r="I356" s="4"/>
      <c r="J356" s="4"/>
      <c r="K356" s="4"/>
      <c r="L356" s="53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76"/>
      <c r="F357" s="53"/>
      <c r="G357" s="4"/>
      <c r="H357" s="4"/>
      <c r="I357" s="4"/>
      <c r="J357" s="4"/>
      <c r="K357" s="4"/>
      <c r="L357" s="53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76"/>
      <c r="F358" s="53"/>
      <c r="G358" s="4"/>
      <c r="H358" s="4"/>
      <c r="I358" s="4"/>
      <c r="J358" s="4"/>
      <c r="K358" s="4"/>
      <c r="L358" s="53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76"/>
      <c r="F359" s="53"/>
      <c r="G359" s="4"/>
      <c r="H359" s="4"/>
      <c r="I359" s="4"/>
      <c r="J359" s="4"/>
      <c r="K359" s="4"/>
      <c r="L359" s="53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76"/>
      <c r="F360" s="53"/>
      <c r="G360" s="4"/>
      <c r="H360" s="4"/>
      <c r="I360" s="4"/>
      <c r="J360" s="4"/>
      <c r="K360" s="4"/>
      <c r="L360" s="53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76"/>
      <c r="F361" s="53"/>
      <c r="G361" s="4"/>
      <c r="H361" s="4"/>
      <c r="I361" s="4"/>
      <c r="J361" s="4"/>
      <c r="K361" s="4"/>
      <c r="L361" s="53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76"/>
      <c r="F362" s="53"/>
      <c r="G362" s="4"/>
      <c r="H362" s="4"/>
      <c r="I362" s="4"/>
      <c r="J362" s="4"/>
      <c r="K362" s="4"/>
      <c r="L362" s="53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76"/>
      <c r="F363" s="53"/>
      <c r="G363" s="4"/>
      <c r="H363" s="4"/>
      <c r="I363" s="4"/>
      <c r="J363" s="4"/>
      <c r="K363" s="4"/>
      <c r="L363" s="53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76"/>
      <c r="F364" s="53"/>
      <c r="G364" s="4"/>
      <c r="H364" s="4"/>
      <c r="I364" s="4"/>
      <c r="J364" s="4"/>
      <c r="K364" s="4"/>
      <c r="L364" s="53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76"/>
      <c r="F365" s="53"/>
      <c r="G365" s="4"/>
      <c r="H365" s="4"/>
      <c r="I365" s="4"/>
      <c r="J365" s="4"/>
      <c r="K365" s="4"/>
      <c r="L365" s="53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76"/>
      <c r="F366" s="53"/>
      <c r="G366" s="4"/>
      <c r="H366" s="4"/>
      <c r="I366" s="4"/>
      <c r="J366" s="4"/>
      <c r="K366" s="4"/>
      <c r="L366" s="53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76"/>
      <c r="F367" s="53"/>
      <c r="G367" s="4"/>
      <c r="H367" s="4"/>
      <c r="I367" s="4"/>
      <c r="J367" s="4"/>
      <c r="K367" s="4"/>
      <c r="L367" s="53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76"/>
      <c r="F368" s="53"/>
      <c r="G368" s="4"/>
      <c r="H368" s="4"/>
      <c r="I368" s="4"/>
      <c r="J368" s="4"/>
      <c r="K368" s="4"/>
      <c r="L368" s="53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76"/>
      <c r="F369" s="53"/>
      <c r="G369" s="4"/>
      <c r="H369" s="4"/>
      <c r="I369" s="4"/>
      <c r="J369" s="4"/>
      <c r="K369" s="4"/>
      <c r="L369" s="53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76"/>
      <c r="F370" s="53"/>
      <c r="G370" s="4"/>
      <c r="H370" s="4"/>
      <c r="I370" s="4"/>
      <c r="J370" s="4"/>
      <c r="K370" s="4"/>
      <c r="L370" s="53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76"/>
      <c r="F371" s="53"/>
      <c r="G371" s="4"/>
      <c r="H371" s="4"/>
      <c r="I371" s="4"/>
      <c r="J371" s="4"/>
      <c r="K371" s="4"/>
      <c r="L371" s="53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76"/>
      <c r="F372" s="53"/>
      <c r="G372" s="4"/>
      <c r="H372" s="4"/>
      <c r="I372" s="4"/>
      <c r="J372" s="4"/>
      <c r="K372" s="4"/>
      <c r="L372" s="53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76"/>
      <c r="F373" s="53"/>
      <c r="G373" s="4"/>
      <c r="H373" s="4"/>
      <c r="I373" s="4"/>
      <c r="J373" s="4"/>
      <c r="K373" s="4"/>
      <c r="L373" s="53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76"/>
      <c r="F374" s="53"/>
      <c r="G374" s="4"/>
      <c r="H374" s="4"/>
      <c r="I374" s="4"/>
      <c r="J374" s="4"/>
      <c r="K374" s="4"/>
      <c r="L374" s="53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76"/>
      <c r="F375" s="53"/>
      <c r="G375" s="4"/>
      <c r="H375" s="4"/>
      <c r="I375" s="4"/>
      <c r="J375" s="4"/>
      <c r="K375" s="4"/>
      <c r="L375" s="53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76"/>
      <c r="F376" s="53"/>
      <c r="G376" s="4"/>
      <c r="H376" s="4"/>
      <c r="I376" s="4"/>
      <c r="J376" s="4"/>
      <c r="K376" s="4"/>
      <c r="L376" s="53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76"/>
      <c r="F377" s="53"/>
      <c r="G377" s="4"/>
      <c r="H377" s="4"/>
      <c r="I377" s="4"/>
      <c r="J377" s="4"/>
      <c r="K377" s="4"/>
      <c r="L377" s="53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76"/>
      <c r="F378" s="53"/>
      <c r="G378" s="4"/>
      <c r="H378" s="4"/>
      <c r="I378" s="4"/>
      <c r="J378" s="4"/>
      <c r="K378" s="4"/>
      <c r="L378" s="53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76"/>
      <c r="F379" s="53"/>
      <c r="G379" s="4"/>
      <c r="H379" s="4"/>
      <c r="I379" s="4"/>
      <c r="J379" s="4"/>
      <c r="K379" s="4"/>
      <c r="L379" s="53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76"/>
      <c r="F380" s="53"/>
      <c r="G380" s="4"/>
      <c r="H380" s="4"/>
      <c r="I380" s="4"/>
      <c r="J380" s="4"/>
      <c r="K380" s="4"/>
      <c r="L380" s="53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76"/>
      <c r="F381" s="53"/>
      <c r="G381" s="4"/>
      <c r="H381" s="4"/>
      <c r="I381" s="4"/>
      <c r="J381" s="4"/>
      <c r="K381" s="4"/>
      <c r="L381" s="53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76"/>
      <c r="F382" s="53"/>
      <c r="G382" s="4"/>
      <c r="H382" s="4"/>
      <c r="I382" s="4"/>
      <c r="J382" s="4"/>
      <c r="K382" s="4"/>
      <c r="L382" s="53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76"/>
      <c r="F383" s="53"/>
      <c r="G383" s="4"/>
      <c r="H383" s="4"/>
      <c r="I383" s="4"/>
      <c r="J383" s="4"/>
      <c r="K383" s="4"/>
      <c r="L383" s="53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76"/>
      <c r="F384" s="53"/>
      <c r="G384" s="4"/>
      <c r="H384" s="4"/>
      <c r="I384" s="4"/>
      <c r="J384" s="4"/>
      <c r="K384" s="4"/>
      <c r="L384" s="53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76"/>
      <c r="F385" s="53"/>
      <c r="G385" s="4"/>
      <c r="H385" s="4"/>
      <c r="I385" s="4"/>
      <c r="J385" s="4"/>
      <c r="K385" s="4"/>
      <c r="L385" s="53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76"/>
      <c r="F386" s="53"/>
      <c r="G386" s="4"/>
      <c r="H386" s="4"/>
      <c r="I386" s="4"/>
      <c r="J386" s="4"/>
      <c r="K386" s="4"/>
      <c r="L386" s="53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76"/>
      <c r="F387" s="53"/>
      <c r="G387" s="4"/>
      <c r="H387" s="4"/>
      <c r="I387" s="4"/>
      <c r="J387" s="4"/>
      <c r="K387" s="4"/>
      <c r="L387" s="53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76"/>
      <c r="F388" s="53"/>
      <c r="G388" s="4"/>
      <c r="H388" s="4"/>
      <c r="I388" s="4"/>
      <c r="J388" s="4"/>
      <c r="K388" s="4"/>
      <c r="L388" s="53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76"/>
      <c r="F389" s="53"/>
      <c r="G389" s="4"/>
      <c r="H389" s="4"/>
      <c r="I389" s="4"/>
      <c r="J389" s="4"/>
      <c r="K389" s="4"/>
      <c r="L389" s="53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76"/>
      <c r="F390" s="53"/>
      <c r="G390" s="4"/>
      <c r="H390" s="4"/>
      <c r="I390" s="4"/>
      <c r="J390" s="4"/>
      <c r="K390" s="4"/>
      <c r="L390" s="53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76"/>
      <c r="F391" s="53"/>
      <c r="G391" s="4"/>
      <c r="H391" s="4"/>
      <c r="I391" s="4"/>
      <c r="J391" s="4"/>
      <c r="K391" s="4"/>
      <c r="L391" s="53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76"/>
      <c r="F392" s="53"/>
      <c r="G392" s="4"/>
      <c r="H392" s="4"/>
      <c r="I392" s="4"/>
      <c r="J392" s="4"/>
      <c r="K392" s="4"/>
      <c r="L392" s="53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76"/>
      <c r="F393" s="53"/>
      <c r="G393" s="4"/>
      <c r="H393" s="4"/>
      <c r="I393" s="4"/>
      <c r="J393" s="4"/>
      <c r="K393" s="4"/>
      <c r="L393" s="53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76"/>
      <c r="F394" s="53"/>
      <c r="G394" s="4"/>
      <c r="H394" s="4"/>
      <c r="I394" s="4"/>
      <c r="J394" s="4"/>
      <c r="K394" s="4"/>
      <c r="L394" s="53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76"/>
      <c r="F395" s="53"/>
      <c r="G395" s="4"/>
      <c r="H395" s="4"/>
      <c r="I395" s="4"/>
      <c r="J395" s="4"/>
      <c r="K395" s="4"/>
      <c r="L395" s="53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76"/>
      <c r="F396" s="53"/>
      <c r="G396" s="4"/>
      <c r="H396" s="4"/>
      <c r="I396" s="4"/>
      <c r="J396" s="4"/>
      <c r="K396" s="4"/>
      <c r="L396" s="53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76"/>
      <c r="F397" s="53"/>
      <c r="G397" s="4"/>
      <c r="H397" s="4"/>
      <c r="I397" s="4"/>
      <c r="J397" s="4"/>
      <c r="K397" s="4"/>
      <c r="L397" s="53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76"/>
      <c r="F398" s="53"/>
      <c r="G398" s="4"/>
      <c r="H398" s="4"/>
      <c r="I398" s="4"/>
      <c r="J398" s="4"/>
      <c r="K398" s="4"/>
      <c r="L398" s="53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76"/>
      <c r="F399" s="53"/>
      <c r="G399" s="4"/>
      <c r="H399" s="4"/>
      <c r="I399" s="4"/>
      <c r="J399" s="4"/>
      <c r="K399" s="4"/>
      <c r="L399" s="53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76"/>
      <c r="F400" s="53"/>
      <c r="G400" s="4"/>
      <c r="H400" s="4"/>
      <c r="I400" s="4"/>
      <c r="J400" s="4"/>
      <c r="K400" s="4"/>
      <c r="L400" s="53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76"/>
      <c r="F401" s="53"/>
      <c r="G401" s="4"/>
      <c r="H401" s="4"/>
      <c r="I401" s="4"/>
      <c r="J401" s="4"/>
      <c r="K401" s="4"/>
      <c r="L401" s="53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76"/>
      <c r="F402" s="53"/>
      <c r="G402" s="4"/>
      <c r="H402" s="4"/>
      <c r="I402" s="4"/>
      <c r="J402" s="4"/>
      <c r="K402" s="4"/>
      <c r="L402" s="53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76"/>
      <c r="F403" s="53"/>
      <c r="G403" s="4"/>
      <c r="H403" s="4"/>
      <c r="I403" s="4"/>
      <c r="J403" s="4"/>
      <c r="K403" s="4"/>
      <c r="L403" s="53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76"/>
      <c r="F404" s="53"/>
      <c r="G404" s="4"/>
      <c r="H404" s="4"/>
      <c r="I404" s="4"/>
      <c r="J404" s="4"/>
      <c r="K404" s="4"/>
      <c r="L404" s="53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76"/>
      <c r="F405" s="53"/>
      <c r="G405" s="4"/>
      <c r="H405" s="4"/>
      <c r="I405" s="4"/>
      <c r="J405" s="4"/>
      <c r="K405" s="4"/>
      <c r="L405" s="53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76"/>
      <c r="F406" s="53"/>
      <c r="G406" s="4"/>
      <c r="H406" s="4"/>
      <c r="I406" s="4"/>
      <c r="J406" s="4"/>
      <c r="K406" s="4"/>
      <c r="L406" s="53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76"/>
      <c r="F407" s="53"/>
      <c r="G407" s="4"/>
      <c r="H407" s="4"/>
      <c r="I407" s="4"/>
      <c r="J407" s="4"/>
      <c r="K407" s="4"/>
      <c r="L407" s="53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76"/>
      <c r="F408" s="53"/>
      <c r="G408" s="4"/>
      <c r="H408" s="4"/>
      <c r="I408" s="4"/>
      <c r="J408" s="4"/>
      <c r="K408" s="4"/>
      <c r="L408" s="53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76"/>
      <c r="F409" s="53"/>
      <c r="G409" s="4"/>
      <c r="H409" s="4"/>
      <c r="I409" s="4"/>
      <c r="J409" s="4"/>
      <c r="K409" s="4"/>
      <c r="L409" s="53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76"/>
      <c r="F410" s="53"/>
      <c r="G410" s="4"/>
      <c r="H410" s="4"/>
      <c r="I410" s="4"/>
      <c r="J410" s="4"/>
      <c r="K410" s="4"/>
      <c r="L410" s="53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76"/>
      <c r="F411" s="53"/>
      <c r="G411" s="4"/>
      <c r="H411" s="4"/>
      <c r="I411" s="4"/>
      <c r="J411" s="4"/>
      <c r="K411" s="4"/>
      <c r="L411" s="53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76"/>
      <c r="F412" s="53"/>
      <c r="G412" s="4"/>
      <c r="H412" s="4"/>
      <c r="I412" s="4"/>
      <c r="J412" s="4"/>
      <c r="K412" s="4"/>
      <c r="L412" s="53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76"/>
      <c r="F413" s="53"/>
      <c r="G413" s="4"/>
      <c r="H413" s="4"/>
      <c r="I413" s="4"/>
      <c r="J413" s="4"/>
      <c r="K413" s="4"/>
      <c r="L413" s="53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76"/>
      <c r="F414" s="53"/>
      <c r="G414" s="4"/>
      <c r="H414" s="4"/>
      <c r="I414" s="4"/>
      <c r="J414" s="4"/>
      <c r="K414" s="4"/>
      <c r="L414" s="53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76"/>
      <c r="F415" s="53"/>
      <c r="G415" s="4"/>
      <c r="H415" s="4"/>
      <c r="I415" s="4"/>
      <c r="J415" s="4"/>
      <c r="K415" s="4"/>
      <c r="L415" s="53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76"/>
      <c r="F416" s="53"/>
      <c r="G416" s="4"/>
      <c r="H416" s="4"/>
      <c r="I416" s="4"/>
      <c r="J416" s="4"/>
      <c r="K416" s="4"/>
      <c r="L416" s="53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76"/>
      <c r="F417" s="53"/>
      <c r="G417" s="4"/>
      <c r="H417" s="4"/>
      <c r="I417" s="4"/>
      <c r="J417" s="4"/>
      <c r="K417" s="4"/>
      <c r="L417" s="53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76"/>
      <c r="F418" s="53"/>
      <c r="G418" s="4"/>
      <c r="H418" s="4"/>
      <c r="I418" s="4"/>
      <c r="J418" s="4"/>
      <c r="K418" s="4"/>
      <c r="L418" s="53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76"/>
      <c r="F419" s="53"/>
      <c r="G419" s="4"/>
      <c r="H419" s="4"/>
      <c r="I419" s="4"/>
      <c r="J419" s="4"/>
      <c r="K419" s="4"/>
      <c r="L419" s="53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76"/>
      <c r="F420" s="53"/>
      <c r="G420" s="4"/>
      <c r="H420" s="4"/>
      <c r="I420" s="4"/>
      <c r="J420" s="4"/>
      <c r="K420" s="4"/>
      <c r="L420" s="53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76"/>
      <c r="F421" s="53"/>
      <c r="G421" s="4"/>
      <c r="H421" s="4"/>
      <c r="I421" s="4"/>
      <c r="J421" s="4"/>
      <c r="K421" s="4"/>
      <c r="L421" s="53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76"/>
      <c r="F422" s="53"/>
      <c r="G422" s="4"/>
      <c r="H422" s="4"/>
      <c r="I422" s="4"/>
      <c r="J422" s="4"/>
      <c r="K422" s="4"/>
      <c r="L422" s="53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76"/>
      <c r="F423" s="53"/>
      <c r="G423" s="4"/>
      <c r="H423" s="4"/>
      <c r="I423" s="4"/>
      <c r="J423" s="4"/>
      <c r="K423" s="4"/>
      <c r="L423" s="53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76"/>
      <c r="F424" s="53"/>
      <c r="G424" s="4"/>
      <c r="H424" s="4"/>
      <c r="I424" s="4"/>
      <c r="J424" s="4"/>
      <c r="K424" s="4"/>
      <c r="L424" s="53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76"/>
      <c r="F425" s="53"/>
      <c r="G425" s="4"/>
      <c r="H425" s="4"/>
      <c r="I425" s="4"/>
      <c r="J425" s="4"/>
      <c r="K425" s="4"/>
      <c r="L425" s="53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76"/>
      <c r="F426" s="53"/>
      <c r="G426" s="4"/>
      <c r="H426" s="4"/>
      <c r="I426" s="4"/>
      <c r="J426" s="4"/>
      <c r="K426" s="4"/>
      <c r="L426" s="53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76"/>
      <c r="F427" s="53"/>
      <c r="G427" s="4"/>
      <c r="H427" s="4"/>
      <c r="I427" s="4"/>
      <c r="J427" s="4"/>
      <c r="K427" s="4"/>
      <c r="L427" s="53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76"/>
      <c r="F428" s="53"/>
      <c r="G428" s="4"/>
      <c r="H428" s="4"/>
      <c r="I428" s="4"/>
      <c r="J428" s="4"/>
      <c r="K428" s="4"/>
      <c r="L428" s="53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76"/>
      <c r="F429" s="53"/>
      <c r="G429" s="4"/>
      <c r="H429" s="4"/>
      <c r="I429" s="4"/>
      <c r="J429" s="4"/>
      <c r="K429" s="4"/>
      <c r="L429" s="53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76"/>
      <c r="F430" s="53"/>
      <c r="G430" s="4"/>
      <c r="H430" s="4"/>
      <c r="I430" s="4"/>
      <c r="J430" s="4"/>
      <c r="K430" s="4"/>
      <c r="L430" s="53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76"/>
      <c r="F431" s="53"/>
      <c r="G431" s="4"/>
      <c r="H431" s="4"/>
      <c r="I431" s="4"/>
      <c r="J431" s="4"/>
      <c r="K431" s="4"/>
      <c r="L431" s="53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76"/>
      <c r="F432" s="53"/>
      <c r="G432" s="4"/>
      <c r="H432" s="4"/>
      <c r="I432" s="4"/>
      <c r="J432" s="4"/>
      <c r="K432" s="4"/>
      <c r="L432" s="53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76"/>
      <c r="F433" s="53"/>
      <c r="G433" s="4"/>
      <c r="H433" s="4"/>
      <c r="I433" s="4"/>
      <c r="J433" s="4"/>
      <c r="K433" s="4"/>
      <c r="L433" s="53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76"/>
      <c r="F434" s="53"/>
      <c r="G434" s="4"/>
      <c r="H434" s="4"/>
      <c r="I434" s="4"/>
      <c r="J434" s="4"/>
      <c r="K434" s="4"/>
      <c r="L434" s="53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76"/>
      <c r="F435" s="53"/>
      <c r="G435" s="4"/>
      <c r="H435" s="4"/>
      <c r="I435" s="4"/>
      <c r="J435" s="4"/>
      <c r="K435" s="4"/>
      <c r="L435" s="53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76"/>
      <c r="F436" s="53"/>
      <c r="G436" s="4"/>
      <c r="H436" s="4"/>
      <c r="I436" s="4"/>
      <c r="J436" s="4"/>
      <c r="K436" s="4"/>
      <c r="L436" s="53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76"/>
      <c r="F437" s="53"/>
      <c r="G437" s="4"/>
      <c r="H437" s="4"/>
      <c r="I437" s="4"/>
      <c r="J437" s="4"/>
      <c r="K437" s="4"/>
      <c r="L437" s="53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76"/>
      <c r="F438" s="53"/>
      <c r="G438" s="4"/>
      <c r="H438" s="4"/>
      <c r="I438" s="4"/>
      <c r="J438" s="4"/>
      <c r="K438" s="4"/>
      <c r="L438" s="53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76"/>
      <c r="F439" s="53"/>
      <c r="G439" s="4"/>
      <c r="H439" s="4"/>
      <c r="I439" s="4"/>
      <c r="J439" s="4"/>
      <c r="K439" s="4"/>
      <c r="L439" s="53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76"/>
      <c r="F440" s="53"/>
      <c r="G440" s="4"/>
      <c r="H440" s="4"/>
      <c r="I440" s="4"/>
      <c r="J440" s="4"/>
      <c r="K440" s="4"/>
      <c r="L440" s="53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76"/>
      <c r="F441" s="53"/>
      <c r="G441" s="4"/>
      <c r="H441" s="4"/>
      <c r="I441" s="4"/>
      <c r="J441" s="4"/>
      <c r="K441" s="4"/>
      <c r="L441" s="53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76"/>
      <c r="F442" s="53"/>
      <c r="G442" s="4"/>
      <c r="H442" s="4"/>
      <c r="I442" s="4"/>
      <c r="J442" s="4"/>
      <c r="K442" s="4"/>
      <c r="L442" s="53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76"/>
      <c r="F443" s="53"/>
      <c r="G443" s="4"/>
      <c r="H443" s="4"/>
      <c r="I443" s="4"/>
      <c r="J443" s="4"/>
      <c r="K443" s="4"/>
      <c r="L443" s="53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76"/>
      <c r="F444" s="53"/>
      <c r="G444" s="4"/>
      <c r="H444" s="4"/>
      <c r="I444" s="4"/>
      <c r="J444" s="4"/>
      <c r="K444" s="4"/>
      <c r="L444" s="53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76"/>
      <c r="F445" s="53"/>
      <c r="G445" s="4"/>
      <c r="H445" s="4"/>
      <c r="I445" s="4"/>
      <c r="J445" s="4"/>
      <c r="K445" s="4"/>
      <c r="L445" s="53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76"/>
      <c r="F446" s="53"/>
      <c r="G446" s="4"/>
      <c r="H446" s="4"/>
      <c r="I446" s="4"/>
      <c r="J446" s="4"/>
      <c r="K446" s="4"/>
      <c r="L446" s="53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76"/>
      <c r="F447" s="53"/>
      <c r="G447" s="4"/>
      <c r="H447" s="4"/>
      <c r="I447" s="4"/>
      <c r="J447" s="4"/>
      <c r="K447" s="4"/>
      <c r="L447" s="53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76"/>
      <c r="F448" s="53"/>
      <c r="G448" s="4"/>
      <c r="H448" s="4"/>
      <c r="I448" s="4"/>
      <c r="J448" s="4"/>
      <c r="K448" s="4"/>
      <c r="L448" s="53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76"/>
      <c r="F449" s="53"/>
      <c r="G449" s="4"/>
      <c r="H449" s="4"/>
      <c r="I449" s="4"/>
      <c r="J449" s="4"/>
      <c r="K449" s="4"/>
      <c r="L449" s="53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76"/>
      <c r="F450" s="53"/>
      <c r="G450" s="4"/>
      <c r="H450" s="4"/>
      <c r="I450" s="4"/>
      <c r="J450" s="4"/>
      <c r="K450" s="4"/>
      <c r="L450" s="53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76"/>
      <c r="F451" s="53"/>
      <c r="G451" s="4"/>
      <c r="H451" s="4"/>
      <c r="I451" s="4"/>
      <c r="J451" s="4"/>
      <c r="K451" s="4"/>
      <c r="L451" s="53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76"/>
      <c r="F452" s="53"/>
      <c r="G452" s="4"/>
      <c r="H452" s="4"/>
      <c r="I452" s="4"/>
      <c r="J452" s="4"/>
      <c r="K452" s="4"/>
      <c r="L452" s="53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76"/>
      <c r="F453" s="53"/>
      <c r="G453" s="4"/>
      <c r="H453" s="4"/>
      <c r="I453" s="4"/>
      <c r="J453" s="4"/>
      <c r="K453" s="4"/>
      <c r="L453" s="53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76"/>
      <c r="F454" s="53"/>
      <c r="G454" s="4"/>
      <c r="H454" s="4"/>
      <c r="I454" s="4"/>
      <c r="J454" s="4"/>
      <c r="K454" s="4"/>
      <c r="L454" s="53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76"/>
      <c r="F455" s="53"/>
      <c r="G455" s="4"/>
      <c r="H455" s="4"/>
      <c r="I455" s="4"/>
      <c r="J455" s="4"/>
      <c r="K455" s="4"/>
      <c r="L455" s="53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76"/>
      <c r="F456" s="53"/>
      <c r="G456" s="4"/>
      <c r="H456" s="4"/>
      <c r="I456" s="4"/>
      <c r="J456" s="4"/>
      <c r="K456" s="4"/>
      <c r="L456" s="53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76"/>
      <c r="F457" s="53"/>
      <c r="G457" s="4"/>
      <c r="H457" s="4"/>
      <c r="I457" s="4"/>
      <c r="J457" s="4"/>
      <c r="K457" s="4"/>
      <c r="L457" s="53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76"/>
      <c r="F458" s="53"/>
      <c r="G458" s="4"/>
      <c r="H458" s="4"/>
      <c r="I458" s="4"/>
      <c r="J458" s="4"/>
      <c r="K458" s="4"/>
      <c r="L458" s="53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76"/>
      <c r="F459" s="53"/>
      <c r="G459" s="4"/>
      <c r="H459" s="4"/>
      <c r="I459" s="4"/>
      <c r="J459" s="4"/>
      <c r="K459" s="4"/>
      <c r="L459" s="53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76"/>
      <c r="F460" s="53"/>
      <c r="G460" s="4"/>
      <c r="H460" s="4"/>
      <c r="I460" s="4"/>
      <c r="J460" s="4"/>
      <c r="K460" s="4"/>
      <c r="L460" s="53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76"/>
      <c r="F461" s="53"/>
      <c r="G461" s="4"/>
      <c r="H461" s="4"/>
      <c r="I461" s="4"/>
      <c r="J461" s="4"/>
      <c r="K461" s="4"/>
      <c r="L461" s="53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76"/>
      <c r="F462" s="53"/>
      <c r="G462" s="4"/>
      <c r="H462" s="4"/>
      <c r="I462" s="4"/>
      <c r="J462" s="4"/>
      <c r="K462" s="4"/>
      <c r="L462" s="53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76"/>
      <c r="F463" s="53"/>
      <c r="G463" s="4"/>
      <c r="H463" s="4"/>
      <c r="I463" s="4"/>
      <c r="J463" s="4"/>
      <c r="K463" s="4"/>
      <c r="L463" s="53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76"/>
      <c r="F464" s="53"/>
      <c r="G464" s="4"/>
      <c r="H464" s="4"/>
      <c r="I464" s="4"/>
      <c r="J464" s="4"/>
      <c r="K464" s="4"/>
      <c r="L464" s="53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76"/>
      <c r="F465" s="53"/>
      <c r="G465" s="4"/>
      <c r="H465" s="4"/>
      <c r="I465" s="4"/>
      <c r="J465" s="4"/>
      <c r="K465" s="4"/>
      <c r="L465" s="53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76"/>
      <c r="F466" s="53"/>
      <c r="G466" s="4"/>
      <c r="H466" s="4"/>
      <c r="I466" s="4"/>
      <c r="J466" s="4"/>
      <c r="K466" s="4"/>
      <c r="L466" s="53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76"/>
      <c r="F467" s="53"/>
      <c r="G467" s="4"/>
      <c r="H467" s="4"/>
      <c r="I467" s="4"/>
      <c r="J467" s="4"/>
      <c r="K467" s="4"/>
      <c r="L467" s="53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76"/>
      <c r="F468" s="53"/>
      <c r="G468" s="4"/>
      <c r="H468" s="4"/>
      <c r="I468" s="4"/>
      <c r="J468" s="4"/>
      <c r="K468" s="4"/>
      <c r="L468" s="53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76"/>
      <c r="F469" s="53"/>
      <c r="G469" s="4"/>
      <c r="H469" s="4"/>
      <c r="I469" s="4"/>
      <c r="J469" s="4"/>
      <c r="K469" s="4"/>
      <c r="L469" s="53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76"/>
      <c r="F470" s="53"/>
      <c r="G470" s="4"/>
      <c r="H470" s="4"/>
      <c r="I470" s="4"/>
      <c r="J470" s="4"/>
      <c r="K470" s="4"/>
      <c r="L470" s="53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76"/>
      <c r="F471" s="53"/>
      <c r="G471" s="4"/>
      <c r="H471" s="4"/>
      <c r="I471" s="4"/>
      <c r="J471" s="4"/>
      <c r="K471" s="4"/>
      <c r="L471" s="53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76"/>
      <c r="F472" s="53"/>
      <c r="G472" s="4"/>
      <c r="H472" s="4"/>
      <c r="I472" s="4"/>
      <c r="J472" s="4"/>
      <c r="K472" s="4"/>
      <c r="L472" s="53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76"/>
      <c r="F473" s="53"/>
      <c r="G473" s="4"/>
      <c r="H473" s="4"/>
      <c r="I473" s="4"/>
      <c r="J473" s="4"/>
      <c r="K473" s="4"/>
      <c r="L473" s="53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76"/>
      <c r="F474" s="53"/>
      <c r="G474" s="4"/>
      <c r="H474" s="4"/>
      <c r="I474" s="4"/>
      <c r="J474" s="4"/>
      <c r="K474" s="4"/>
      <c r="L474" s="53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76"/>
      <c r="F475" s="53"/>
      <c r="G475" s="4"/>
      <c r="H475" s="4"/>
      <c r="I475" s="4"/>
      <c r="J475" s="4"/>
      <c r="K475" s="4"/>
      <c r="L475" s="53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76"/>
      <c r="F476" s="53"/>
      <c r="G476" s="4"/>
      <c r="H476" s="4"/>
      <c r="I476" s="4"/>
      <c r="J476" s="4"/>
      <c r="K476" s="4"/>
      <c r="L476" s="53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76"/>
      <c r="F477" s="53"/>
      <c r="G477" s="4"/>
      <c r="H477" s="4"/>
      <c r="I477" s="4"/>
      <c r="J477" s="4"/>
      <c r="K477" s="4"/>
      <c r="L477" s="53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76"/>
      <c r="F478" s="53"/>
      <c r="G478" s="4"/>
      <c r="H478" s="4"/>
      <c r="I478" s="4"/>
      <c r="J478" s="4"/>
      <c r="K478" s="4"/>
      <c r="L478" s="53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76"/>
      <c r="F479" s="53"/>
      <c r="G479" s="4"/>
      <c r="H479" s="4"/>
      <c r="I479" s="4"/>
      <c r="J479" s="4"/>
      <c r="K479" s="4"/>
      <c r="L479" s="53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76"/>
      <c r="F480" s="53"/>
      <c r="G480" s="4"/>
      <c r="H480" s="4"/>
      <c r="I480" s="4"/>
      <c r="J480" s="4"/>
      <c r="K480" s="4"/>
      <c r="L480" s="53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76"/>
      <c r="F481" s="53"/>
      <c r="G481" s="4"/>
      <c r="H481" s="4"/>
      <c r="I481" s="4"/>
      <c r="J481" s="4"/>
      <c r="K481" s="4"/>
      <c r="L481" s="53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76"/>
      <c r="F482" s="53"/>
      <c r="G482" s="4"/>
      <c r="H482" s="4"/>
      <c r="I482" s="4"/>
      <c r="J482" s="4"/>
      <c r="K482" s="4"/>
      <c r="L482" s="53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76"/>
      <c r="F483" s="53"/>
      <c r="G483" s="4"/>
      <c r="H483" s="4"/>
      <c r="I483" s="4"/>
      <c r="J483" s="4"/>
      <c r="K483" s="4"/>
      <c r="L483" s="53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76"/>
      <c r="F484" s="53"/>
      <c r="G484" s="4"/>
      <c r="H484" s="4"/>
      <c r="I484" s="4"/>
      <c r="J484" s="4"/>
      <c r="K484" s="4"/>
      <c r="L484" s="53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76"/>
      <c r="F485" s="53"/>
      <c r="G485" s="4"/>
      <c r="H485" s="4"/>
      <c r="I485" s="4"/>
      <c r="J485" s="4"/>
      <c r="K485" s="4"/>
      <c r="L485" s="53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76"/>
      <c r="F486" s="53"/>
      <c r="G486" s="4"/>
      <c r="H486" s="4"/>
      <c r="I486" s="4"/>
      <c r="J486" s="4"/>
      <c r="K486" s="4"/>
      <c r="L486" s="53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76"/>
      <c r="F487" s="53"/>
      <c r="G487" s="4"/>
      <c r="H487" s="4"/>
      <c r="I487" s="4"/>
      <c r="J487" s="4"/>
      <c r="K487" s="4"/>
      <c r="L487" s="53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76"/>
      <c r="F488" s="53"/>
      <c r="G488" s="4"/>
      <c r="H488" s="4"/>
      <c r="I488" s="4"/>
      <c r="J488" s="4"/>
      <c r="K488" s="4"/>
      <c r="L488" s="53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76"/>
      <c r="F489" s="53"/>
      <c r="G489" s="4"/>
      <c r="H489" s="4"/>
      <c r="I489" s="4"/>
      <c r="J489" s="4"/>
      <c r="K489" s="4"/>
      <c r="L489" s="53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76"/>
      <c r="F490" s="53"/>
      <c r="G490" s="4"/>
      <c r="H490" s="4"/>
      <c r="I490" s="4"/>
      <c r="J490" s="4"/>
      <c r="K490" s="4"/>
      <c r="L490" s="53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76"/>
      <c r="F491" s="53"/>
      <c r="G491" s="4"/>
      <c r="H491" s="4"/>
      <c r="I491" s="4"/>
      <c r="J491" s="4"/>
      <c r="K491" s="4"/>
      <c r="L491" s="53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76"/>
      <c r="F492" s="53"/>
      <c r="G492" s="4"/>
      <c r="H492" s="4"/>
      <c r="I492" s="4"/>
      <c r="J492" s="4"/>
      <c r="K492" s="4"/>
      <c r="L492" s="53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76"/>
      <c r="F493" s="53"/>
      <c r="G493" s="4"/>
      <c r="H493" s="4"/>
      <c r="I493" s="4"/>
      <c r="J493" s="4"/>
      <c r="K493" s="4"/>
      <c r="L493" s="53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76"/>
      <c r="F494" s="53"/>
      <c r="G494" s="4"/>
      <c r="H494" s="4"/>
      <c r="I494" s="4"/>
      <c r="J494" s="4"/>
      <c r="K494" s="4"/>
      <c r="L494" s="53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76"/>
      <c r="F495" s="53"/>
      <c r="G495" s="4"/>
      <c r="H495" s="4"/>
      <c r="I495" s="4"/>
      <c r="J495" s="4"/>
      <c r="K495" s="4"/>
      <c r="L495" s="53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76"/>
      <c r="F496" s="53"/>
      <c r="G496" s="4"/>
      <c r="H496" s="4"/>
      <c r="I496" s="4"/>
      <c r="J496" s="4"/>
      <c r="K496" s="4"/>
      <c r="L496" s="53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76"/>
      <c r="F497" s="53"/>
      <c r="G497" s="4"/>
      <c r="H497" s="4"/>
      <c r="I497" s="4"/>
      <c r="J497" s="4"/>
      <c r="K497" s="4"/>
      <c r="L497" s="53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76"/>
      <c r="F498" s="53"/>
      <c r="G498" s="4"/>
      <c r="H498" s="4"/>
      <c r="I498" s="4"/>
      <c r="J498" s="4"/>
      <c r="K498" s="4"/>
      <c r="L498" s="53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76"/>
      <c r="F499" s="53"/>
      <c r="G499" s="4"/>
      <c r="H499" s="4"/>
      <c r="I499" s="4"/>
      <c r="J499" s="4"/>
      <c r="K499" s="4"/>
      <c r="L499" s="53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76"/>
      <c r="F500" s="53"/>
      <c r="G500" s="4"/>
      <c r="H500" s="4"/>
      <c r="I500" s="4"/>
      <c r="J500" s="4"/>
      <c r="K500" s="4"/>
      <c r="L500" s="53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76"/>
      <c r="F501" s="53"/>
      <c r="G501" s="4"/>
      <c r="H501" s="4"/>
      <c r="I501" s="4"/>
      <c r="J501" s="4"/>
      <c r="K501" s="4"/>
      <c r="L501" s="53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76"/>
      <c r="F502" s="53"/>
      <c r="G502" s="4"/>
      <c r="H502" s="4"/>
      <c r="I502" s="4"/>
      <c r="J502" s="4"/>
      <c r="K502" s="4"/>
      <c r="L502" s="53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76"/>
      <c r="F503" s="53"/>
      <c r="G503" s="4"/>
      <c r="H503" s="4"/>
      <c r="I503" s="4"/>
      <c r="J503" s="4"/>
      <c r="K503" s="4"/>
      <c r="L503" s="53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76"/>
      <c r="F504" s="53"/>
      <c r="G504" s="4"/>
      <c r="H504" s="4"/>
      <c r="I504" s="4"/>
      <c r="J504" s="4"/>
      <c r="K504" s="4"/>
      <c r="L504" s="53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76"/>
      <c r="F505" s="53"/>
      <c r="G505" s="4"/>
      <c r="H505" s="4"/>
      <c r="I505" s="4"/>
      <c r="J505" s="4"/>
      <c r="K505" s="4"/>
      <c r="L505" s="53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76"/>
      <c r="F506" s="53"/>
      <c r="G506" s="4"/>
      <c r="H506" s="4"/>
      <c r="I506" s="4"/>
      <c r="J506" s="4"/>
      <c r="K506" s="4"/>
      <c r="L506" s="53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76"/>
      <c r="F507" s="53"/>
      <c r="G507" s="4"/>
      <c r="H507" s="4"/>
      <c r="I507" s="4"/>
      <c r="J507" s="4"/>
      <c r="K507" s="4"/>
      <c r="L507" s="53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76"/>
      <c r="F508" s="53"/>
      <c r="G508" s="4"/>
      <c r="H508" s="4"/>
      <c r="I508" s="4"/>
      <c r="J508" s="4"/>
      <c r="K508" s="4"/>
      <c r="L508" s="53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76"/>
      <c r="F509" s="53"/>
      <c r="G509" s="4"/>
      <c r="H509" s="4"/>
      <c r="I509" s="4"/>
      <c r="J509" s="4"/>
      <c r="K509" s="4"/>
      <c r="L509" s="53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76"/>
      <c r="F510" s="53"/>
      <c r="G510" s="4"/>
      <c r="H510" s="4"/>
      <c r="I510" s="4"/>
      <c r="J510" s="4"/>
      <c r="K510" s="4"/>
      <c r="L510" s="53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76"/>
      <c r="F511" s="53"/>
      <c r="G511" s="4"/>
      <c r="H511" s="4"/>
      <c r="I511" s="4"/>
      <c r="J511" s="4"/>
      <c r="K511" s="4"/>
      <c r="L511" s="53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76"/>
      <c r="F512" s="53"/>
      <c r="G512" s="4"/>
      <c r="H512" s="4"/>
      <c r="I512" s="4"/>
      <c r="J512" s="4"/>
      <c r="K512" s="4"/>
      <c r="L512" s="53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76"/>
      <c r="F513" s="53"/>
      <c r="G513" s="4"/>
      <c r="H513" s="4"/>
      <c r="I513" s="4"/>
      <c r="J513" s="4"/>
      <c r="K513" s="4"/>
      <c r="L513" s="53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76"/>
      <c r="F514" s="53"/>
      <c r="G514" s="4"/>
      <c r="H514" s="4"/>
      <c r="I514" s="4"/>
      <c r="J514" s="4"/>
      <c r="K514" s="4"/>
      <c r="L514" s="53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76"/>
      <c r="F515" s="53"/>
      <c r="G515" s="4"/>
      <c r="H515" s="4"/>
      <c r="I515" s="4"/>
      <c r="J515" s="4"/>
      <c r="K515" s="4"/>
      <c r="L515" s="53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76"/>
      <c r="F516" s="53"/>
      <c r="G516" s="4"/>
      <c r="H516" s="4"/>
      <c r="I516" s="4"/>
      <c r="J516" s="4"/>
      <c r="K516" s="4"/>
      <c r="L516" s="53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76"/>
      <c r="F517" s="53"/>
      <c r="G517" s="4"/>
      <c r="H517" s="4"/>
      <c r="I517" s="4"/>
      <c r="J517" s="4"/>
      <c r="K517" s="4"/>
      <c r="L517" s="53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76"/>
      <c r="F518" s="53"/>
      <c r="G518" s="4"/>
      <c r="H518" s="4"/>
      <c r="I518" s="4"/>
      <c r="J518" s="4"/>
      <c r="K518" s="4"/>
      <c r="L518" s="53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76"/>
      <c r="F519" s="53"/>
      <c r="G519" s="4"/>
      <c r="H519" s="4"/>
      <c r="I519" s="4"/>
      <c r="J519" s="4"/>
      <c r="K519" s="4"/>
      <c r="L519" s="53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76"/>
      <c r="F520" s="53"/>
      <c r="G520" s="4"/>
      <c r="H520" s="4"/>
      <c r="I520" s="4"/>
      <c r="J520" s="4"/>
      <c r="K520" s="4"/>
      <c r="L520" s="53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76"/>
      <c r="F521" s="53"/>
      <c r="G521" s="4"/>
      <c r="H521" s="4"/>
      <c r="I521" s="4"/>
      <c r="J521" s="4"/>
      <c r="K521" s="4"/>
      <c r="L521" s="53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76"/>
      <c r="F522" s="53"/>
      <c r="G522" s="4"/>
      <c r="H522" s="4"/>
      <c r="I522" s="4"/>
      <c r="J522" s="4"/>
      <c r="K522" s="4"/>
      <c r="L522" s="53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76"/>
      <c r="F523" s="53"/>
      <c r="G523" s="4"/>
      <c r="H523" s="4"/>
      <c r="I523" s="4"/>
      <c r="J523" s="4"/>
      <c r="K523" s="4"/>
      <c r="L523" s="53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76"/>
      <c r="F524" s="53"/>
      <c r="G524" s="4"/>
      <c r="H524" s="4"/>
      <c r="I524" s="4"/>
      <c r="J524" s="4"/>
      <c r="K524" s="4"/>
      <c r="L524" s="53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76"/>
      <c r="F525" s="53"/>
      <c r="G525" s="4"/>
      <c r="H525" s="4"/>
      <c r="I525" s="4"/>
      <c r="J525" s="4"/>
      <c r="K525" s="4"/>
      <c r="L525" s="53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76"/>
      <c r="F526" s="53"/>
      <c r="G526" s="4"/>
      <c r="H526" s="4"/>
      <c r="I526" s="4"/>
      <c r="J526" s="4"/>
      <c r="K526" s="4"/>
      <c r="L526" s="53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76"/>
      <c r="F527" s="53"/>
      <c r="G527" s="4"/>
      <c r="H527" s="4"/>
      <c r="I527" s="4"/>
      <c r="J527" s="4"/>
      <c r="K527" s="4"/>
      <c r="L527" s="53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76"/>
      <c r="F528" s="53"/>
      <c r="G528" s="4"/>
      <c r="H528" s="4"/>
      <c r="I528" s="4"/>
      <c r="J528" s="4"/>
      <c r="K528" s="4"/>
      <c r="L528" s="53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76"/>
      <c r="F529" s="53"/>
      <c r="G529" s="4"/>
      <c r="H529" s="4"/>
      <c r="I529" s="4"/>
      <c r="J529" s="4"/>
      <c r="K529" s="4"/>
      <c r="L529" s="53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76"/>
      <c r="F530" s="53"/>
      <c r="G530" s="4"/>
      <c r="H530" s="4"/>
      <c r="I530" s="4"/>
      <c r="J530" s="4"/>
      <c r="K530" s="4"/>
      <c r="L530" s="53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76"/>
      <c r="F531" s="53"/>
      <c r="G531" s="4"/>
      <c r="H531" s="4"/>
      <c r="I531" s="4"/>
      <c r="J531" s="4"/>
      <c r="K531" s="4"/>
      <c r="L531" s="53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76"/>
      <c r="F532" s="53"/>
      <c r="G532" s="4"/>
      <c r="H532" s="4"/>
      <c r="I532" s="4"/>
      <c r="J532" s="4"/>
      <c r="K532" s="4"/>
      <c r="L532" s="53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76"/>
      <c r="F533" s="53"/>
      <c r="G533" s="4"/>
      <c r="H533" s="4"/>
      <c r="I533" s="4"/>
      <c r="J533" s="4"/>
      <c r="K533" s="4"/>
      <c r="L533" s="53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76"/>
      <c r="F534" s="53"/>
      <c r="G534" s="4"/>
      <c r="H534" s="4"/>
      <c r="I534" s="4"/>
      <c r="J534" s="4"/>
      <c r="K534" s="4"/>
      <c r="L534" s="53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76"/>
      <c r="F535" s="53"/>
      <c r="G535" s="4"/>
      <c r="H535" s="4"/>
      <c r="I535" s="4"/>
      <c r="J535" s="4"/>
      <c r="K535" s="4"/>
      <c r="L535" s="53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76"/>
      <c r="F536" s="53"/>
      <c r="G536" s="4"/>
      <c r="H536" s="4"/>
      <c r="I536" s="4"/>
      <c r="J536" s="4"/>
      <c r="K536" s="4"/>
      <c r="L536" s="53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76"/>
      <c r="F537" s="53"/>
      <c r="G537" s="4"/>
      <c r="H537" s="4"/>
      <c r="I537" s="4"/>
      <c r="J537" s="4"/>
      <c r="K537" s="4"/>
      <c r="L537" s="53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76"/>
      <c r="F538" s="53"/>
      <c r="G538" s="4"/>
      <c r="H538" s="4"/>
      <c r="I538" s="4"/>
      <c r="J538" s="4"/>
      <c r="K538" s="4"/>
      <c r="L538" s="53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76"/>
      <c r="F539" s="53"/>
      <c r="G539" s="4"/>
      <c r="H539" s="4"/>
      <c r="I539" s="4"/>
      <c r="J539" s="4"/>
      <c r="K539" s="4"/>
      <c r="L539" s="53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76"/>
      <c r="F540" s="53"/>
      <c r="G540" s="4"/>
      <c r="H540" s="4"/>
      <c r="I540" s="4"/>
      <c r="J540" s="4"/>
      <c r="K540" s="4"/>
      <c r="L540" s="53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76"/>
      <c r="F541" s="53"/>
      <c r="G541" s="4"/>
      <c r="H541" s="4"/>
      <c r="I541" s="4"/>
      <c r="J541" s="4"/>
      <c r="K541" s="4"/>
      <c r="L541" s="53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76"/>
      <c r="F542" s="53"/>
      <c r="G542" s="4"/>
      <c r="H542" s="4"/>
      <c r="I542" s="4"/>
      <c r="J542" s="4"/>
      <c r="K542" s="4"/>
      <c r="L542" s="53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76"/>
      <c r="F543" s="53"/>
      <c r="G543" s="4"/>
      <c r="H543" s="4"/>
      <c r="I543" s="4"/>
      <c r="J543" s="4"/>
      <c r="K543" s="4"/>
      <c r="L543" s="53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76"/>
      <c r="F544" s="53"/>
      <c r="G544" s="4"/>
      <c r="H544" s="4"/>
      <c r="I544" s="4"/>
      <c r="J544" s="4"/>
      <c r="K544" s="4"/>
      <c r="L544" s="53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76"/>
      <c r="F545" s="53"/>
      <c r="G545" s="4"/>
      <c r="H545" s="4"/>
      <c r="I545" s="4"/>
      <c r="J545" s="4"/>
      <c r="K545" s="4"/>
      <c r="L545" s="53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76"/>
      <c r="F546" s="53"/>
      <c r="G546" s="4"/>
      <c r="H546" s="4"/>
      <c r="I546" s="4"/>
      <c r="J546" s="4"/>
      <c r="K546" s="4"/>
      <c r="L546" s="53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76"/>
      <c r="F547" s="53"/>
      <c r="G547" s="4"/>
      <c r="H547" s="4"/>
      <c r="I547" s="4"/>
      <c r="J547" s="4"/>
      <c r="K547" s="4"/>
      <c r="L547" s="53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76"/>
      <c r="F548" s="53"/>
      <c r="G548" s="4"/>
      <c r="H548" s="4"/>
      <c r="I548" s="4"/>
      <c r="J548" s="4"/>
      <c r="K548" s="4"/>
      <c r="L548" s="53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76"/>
      <c r="F549" s="53"/>
      <c r="G549" s="4"/>
      <c r="H549" s="4"/>
      <c r="I549" s="4"/>
      <c r="J549" s="4"/>
      <c r="K549" s="4"/>
      <c r="L549" s="53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76"/>
      <c r="F550" s="53"/>
      <c r="G550" s="4"/>
      <c r="H550" s="4"/>
      <c r="I550" s="4"/>
      <c r="J550" s="4"/>
      <c r="K550" s="4"/>
      <c r="L550" s="53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76"/>
      <c r="F551" s="53"/>
      <c r="G551" s="4"/>
      <c r="H551" s="4"/>
      <c r="I551" s="4"/>
      <c r="J551" s="4"/>
      <c r="K551" s="4"/>
      <c r="L551" s="53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76"/>
      <c r="F552" s="53"/>
      <c r="G552" s="4"/>
      <c r="H552" s="4"/>
      <c r="I552" s="4"/>
      <c r="J552" s="4"/>
      <c r="K552" s="4"/>
      <c r="L552" s="53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76"/>
      <c r="F553" s="53"/>
      <c r="G553" s="4"/>
      <c r="H553" s="4"/>
      <c r="I553" s="4"/>
      <c r="J553" s="4"/>
      <c r="K553" s="4"/>
      <c r="L553" s="53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76"/>
      <c r="F554" s="53"/>
      <c r="G554" s="4"/>
      <c r="H554" s="4"/>
      <c r="I554" s="4"/>
      <c r="J554" s="4"/>
      <c r="K554" s="4"/>
      <c r="L554" s="53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76"/>
      <c r="F555" s="53"/>
      <c r="G555" s="4"/>
      <c r="H555" s="4"/>
      <c r="I555" s="4"/>
      <c r="J555" s="4"/>
      <c r="K555" s="4"/>
      <c r="L555" s="53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76"/>
      <c r="F556" s="53"/>
      <c r="G556" s="4"/>
      <c r="H556" s="4"/>
      <c r="I556" s="4"/>
      <c r="J556" s="4"/>
      <c r="K556" s="4"/>
      <c r="L556" s="53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76"/>
      <c r="F557" s="53"/>
      <c r="G557" s="4"/>
      <c r="H557" s="4"/>
      <c r="I557" s="4"/>
      <c r="J557" s="4"/>
      <c r="K557" s="4"/>
      <c r="L557" s="53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76"/>
      <c r="F558" s="53"/>
      <c r="G558" s="4"/>
      <c r="H558" s="4"/>
      <c r="I558" s="4"/>
      <c r="J558" s="4"/>
      <c r="K558" s="4"/>
      <c r="L558" s="53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76"/>
      <c r="F559" s="53"/>
      <c r="G559" s="4"/>
      <c r="H559" s="4"/>
      <c r="I559" s="4"/>
      <c r="J559" s="4"/>
      <c r="K559" s="4"/>
      <c r="L559" s="53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76"/>
      <c r="F560" s="53"/>
      <c r="G560" s="4"/>
      <c r="H560" s="4"/>
      <c r="I560" s="4"/>
      <c r="J560" s="4"/>
      <c r="K560" s="4"/>
      <c r="L560" s="53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76"/>
      <c r="F561" s="53"/>
      <c r="G561" s="4"/>
      <c r="H561" s="4"/>
      <c r="I561" s="4"/>
      <c r="J561" s="4"/>
      <c r="K561" s="4"/>
      <c r="L561" s="53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76"/>
      <c r="F562" s="53"/>
      <c r="G562" s="4"/>
      <c r="H562" s="4"/>
      <c r="I562" s="4"/>
      <c r="J562" s="4"/>
      <c r="K562" s="4"/>
      <c r="L562" s="53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76"/>
      <c r="F563" s="53"/>
      <c r="G563" s="4"/>
      <c r="H563" s="4"/>
      <c r="I563" s="4"/>
      <c r="J563" s="4"/>
      <c r="K563" s="4"/>
      <c r="L563" s="53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76"/>
      <c r="F564" s="53"/>
      <c r="G564" s="4"/>
      <c r="H564" s="4"/>
      <c r="I564" s="4"/>
      <c r="J564" s="4"/>
      <c r="K564" s="4"/>
      <c r="L564" s="53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76"/>
      <c r="F565" s="53"/>
      <c r="G565" s="4"/>
      <c r="H565" s="4"/>
      <c r="I565" s="4"/>
      <c r="J565" s="4"/>
      <c r="K565" s="4"/>
      <c r="L565" s="53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76"/>
      <c r="F566" s="53"/>
      <c r="G566" s="4"/>
      <c r="H566" s="4"/>
      <c r="I566" s="4"/>
      <c r="J566" s="4"/>
      <c r="K566" s="4"/>
      <c r="L566" s="53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76"/>
      <c r="F567" s="53"/>
      <c r="G567" s="4"/>
      <c r="H567" s="4"/>
      <c r="I567" s="4"/>
      <c r="J567" s="4"/>
      <c r="K567" s="4"/>
      <c r="L567" s="53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76"/>
      <c r="F568" s="53"/>
      <c r="G568" s="4"/>
      <c r="H568" s="4"/>
      <c r="I568" s="4"/>
      <c r="J568" s="4"/>
      <c r="K568" s="4"/>
      <c r="L568" s="53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76"/>
      <c r="F569" s="53"/>
      <c r="G569" s="4"/>
      <c r="H569" s="4"/>
      <c r="I569" s="4"/>
      <c r="J569" s="4"/>
      <c r="K569" s="4"/>
      <c r="L569" s="53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76"/>
      <c r="F570" s="53"/>
      <c r="G570" s="4"/>
      <c r="H570" s="4"/>
      <c r="I570" s="4"/>
      <c r="J570" s="4"/>
      <c r="K570" s="4"/>
      <c r="L570" s="53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76"/>
      <c r="F571" s="53"/>
      <c r="G571" s="4"/>
      <c r="H571" s="4"/>
      <c r="I571" s="4"/>
      <c r="J571" s="4"/>
      <c r="K571" s="4"/>
      <c r="L571" s="53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76"/>
      <c r="F572" s="53"/>
      <c r="G572" s="4"/>
      <c r="H572" s="4"/>
      <c r="I572" s="4"/>
      <c r="J572" s="4"/>
      <c r="K572" s="4"/>
      <c r="L572" s="53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76"/>
      <c r="F573" s="53"/>
      <c r="G573" s="4"/>
      <c r="H573" s="4"/>
      <c r="I573" s="4"/>
      <c r="J573" s="4"/>
      <c r="K573" s="4"/>
      <c r="L573" s="53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76"/>
      <c r="F574" s="53"/>
      <c r="G574" s="4"/>
      <c r="H574" s="4"/>
      <c r="I574" s="4"/>
      <c r="J574" s="4"/>
      <c r="K574" s="4"/>
      <c r="L574" s="53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76"/>
      <c r="F575" s="53"/>
      <c r="G575" s="4"/>
      <c r="H575" s="4"/>
      <c r="I575" s="4"/>
      <c r="J575" s="4"/>
      <c r="K575" s="4"/>
      <c r="L575" s="53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76"/>
      <c r="F576" s="53"/>
      <c r="G576" s="4"/>
      <c r="H576" s="4"/>
      <c r="I576" s="4"/>
      <c r="J576" s="4"/>
      <c r="K576" s="4"/>
      <c r="L576" s="53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76"/>
      <c r="F577" s="53"/>
      <c r="G577" s="4"/>
      <c r="H577" s="4"/>
      <c r="I577" s="4"/>
      <c r="J577" s="4"/>
      <c r="K577" s="4"/>
      <c r="L577" s="53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76"/>
      <c r="F578" s="53"/>
      <c r="G578" s="4"/>
      <c r="H578" s="4"/>
      <c r="I578" s="4"/>
      <c r="J578" s="4"/>
      <c r="K578" s="4"/>
      <c r="L578" s="53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76"/>
      <c r="F579" s="53"/>
      <c r="G579" s="4"/>
      <c r="H579" s="4"/>
      <c r="I579" s="4"/>
      <c r="J579" s="4"/>
      <c r="K579" s="4"/>
      <c r="L579" s="53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76"/>
      <c r="F580" s="53"/>
      <c r="G580" s="4"/>
      <c r="H580" s="4"/>
      <c r="I580" s="4"/>
      <c r="J580" s="4"/>
      <c r="K580" s="4"/>
      <c r="L580" s="53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76"/>
      <c r="F581" s="53"/>
      <c r="G581" s="4"/>
      <c r="H581" s="4"/>
      <c r="I581" s="4"/>
      <c r="J581" s="4"/>
      <c r="K581" s="4"/>
      <c r="L581" s="53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76"/>
      <c r="F582" s="53"/>
      <c r="G582" s="4"/>
      <c r="H582" s="4"/>
      <c r="I582" s="4"/>
      <c r="J582" s="4"/>
      <c r="K582" s="4"/>
      <c r="L582" s="53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76"/>
      <c r="F583" s="53"/>
      <c r="G583" s="4"/>
      <c r="H583" s="4"/>
      <c r="I583" s="4"/>
      <c r="J583" s="4"/>
      <c r="K583" s="4"/>
      <c r="L583" s="53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76"/>
      <c r="F584" s="53"/>
      <c r="G584" s="4"/>
      <c r="H584" s="4"/>
      <c r="I584" s="4"/>
      <c r="J584" s="4"/>
      <c r="K584" s="4"/>
      <c r="L584" s="53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76"/>
      <c r="F585" s="53"/>
      <c r="G585" s="4"/>
      <c r="H585" s="4"/>
      <c r="I585" s="4"/>
      <c r="J585" s="4"/>
      <c r="K585" s="4"/>
      <c r="L585" s="53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76"/>
      <c r="F586" s="53"/>
      <c r="G586" s="4"/>
      <c r="H586" s="4"/>
      <c r="I586" s="4"/>
      <c r="J586" s="4"/>
      <c r="K586" s="4"/>
      <c r="L586" s="53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76"/>
      <c r="F587" s="53"/>
      <c r="G587" s="4"/>
      <c r="H587" s="4"/>
      <c r="I587" s="4"/>
      <c r="J587" s="4"/>
      <c r="K587" s="4"/>
      <c r="L587" s="53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76"/>
      <c r="F588" s="53"/>
      <c r="G588" s="4"/>
      <c r="H588" s="4"/>
      <c r="I588" s="4"/>
      <c r="J588" s="4"/>
      <c r="K588" s="4"/>
      <c r="L588" s="53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76"/>
      <c r="F589" s="53"/>
      <c r="G589" s="4"/>
      <c r="H589" s="4"/>
      <c r="I589" s="4"/>
      <c r="J589" s="4"/>
      <c r="K589" s="4"/>
      <c r="L589" s="53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76"/>
      <c r="F590" s="53"/>
      <c r="G590" s="4"/>
      <c r="H590" s="4"/>
      <c r="I590" s="4"/>
      <c r="J590" s="4"/>
      <c r="K590" s="4"/>
      <c r="L590" s="53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76"/>
      <c r="F591" s="53"/>
      <c r="G591" s="4"/>
      <c r="H591" s="4"/>
      <c r="I591" s="4"/>
      <c r="J591" s="4"/>
      <c r="K591" s="4"/>
      <c r="L591" s="53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76"/>
      <c r="F592" s="53"/>
      <c r="G592" s="4"/>
      <c r="H592" s="4"/>
      <c r="I592" s="4"/>
      <c r="J592" s="4"/>
      <c r="K592" s="4"/>
      <c r="L592" s="53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76"/>
      <c r="F593" s="53"/>
      <c r="G593" s="4"/>
      <c r="H593" s="4"/>
      <c r="I593" s="4"/>
      <c r="J593" s="4"/>
      <c r="K593" s="4"/>
      <c r="L593" s="53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76"/>
      <c r="F594" s="53"/>
      <c r="G594" s="4"/>
      <c r="H594" s="4"/>
      <c r="I594" s="4"/>
      <c r="J594" s="4"/>
      <c r="K594" s="4"/>
      <c r="L594" s="53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76"/>
      <c r="F595" s="53"/>
      <c r="G595" s="4"/>
      <c r="H595" s="4"/>
      <c r="I595" s="4"/>
      <c r="J595" s="4"/>
      <c r="K595" s="4"/>
      <c r="L595" s="53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76"/>
      <c r="F596" s="53"/>
      <c r="G596" s="4"/>
      <c r="H596" s="4"/>
      <c r="I596" s="4"/>
      <c r="J596" s="4"/>
      <c r="K596" s="4"/>
      <c r="L596" s="53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76"/>
      <c r="F597" s="53"/>
      <c r="G597" s="4"/>
      <c r="H597" s="4"/>
      <c r="I597" s="4"/>
      <c r="J597" s="4"/>
      <c r="K597" s="4"/>
      <c r="L597" s="53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76"/>
      <c r="F598" s="53"/>
      <c r="G598" s="4"/>
      <c r="H598" s="4"/>
      <c r="I598" s="4"/>
      <c r="J598" s="4"/>
      <c r="K598" s="4"/>
      <c r="L598" s="53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76"/>
      <c r="F599" s="53"/>
      <c r="G599" s="4"/>
      <c r="H599" s="4"/>
      <c r="I599" s="4"/>
      <c r="J599" s="4"/>
      <c r="K599" s="4"/>
      <c r="L599" s="53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76"/>
      <c r="F600" s="53"/>
      <c r="G600" s="4"/>
      <c r="H600" s="4"/>
      <c r="I600" s="4"/>
      <c r="J600" s="4"/>
      <c r="K600" s="4"/>
      <c r="L600" s="53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76"/>
      <c r="F601" s="53"/>
      <c r="G601" s="4"/>
      <c r="H601" s="4"/>
      <c r="I601" s="4"/>
      <c r="J601" s="4"/>
      <c r="K601" s="4"/>
      <c r="L601" s="53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76"/>
      <c r="F602" s="53"/>
      <c r="G602" s="4"/>
      <c r="H602" s="4"/>
      <c r="I602" s="4"/>
      <c r="J602" s="4"/>
      <c r="K602" s="4"/>
      <c r="L602" s="53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76"/>
      <c r="F603" s="53"/>
      <c r="G603" s="4"/>
      <c r="H603" s="4"/>
      <c r="I603" s="4"/>
      <c r="J603" s="4"/>
      <c r="K603" s="4"/>
      <c r="L603" s="53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76"/>
      <c r="F604" s="53"/>
      <c r="G604" s="4"/>
      <c r="H604" s="4"/>
      <c r="I604" s="4"/>
      <c r="J604" s="4"/>
      <c r="K604" s="4"/>
      <c r="L604" s="53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76"/>
      <c r="F605" s="53"/>
      <c r="G605" s="4"/>
      <c r="H605" s="4"/>
      <c r="I605" s="4"/>
      <c r="J605" s="4"/>
      <c r="K605" s="4"/>
      <c r="L605" s="53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76"/>
      <c r="F606" s="53"/>
      <c r="G606" s="4"/>
      <c r="H606" s="4"/>
      <c r="I606" s="4"/>
      <c r="J606" s="4"/>
      <c r="K606" s="4"/>
      <c r="L606" s="53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76"/>
      <c r="F607" s="53"/>
      <c r="G607" s="4"/>
      <c r="H607" s="4"/>
      <c r="I607" s="4"/>
      <c r="J607" s="4"/>
      <c r="K607" s="4"/>
      <c r="L607" s="53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76"/>
      <c r="F608" s="53"/>
      <c r="G608" s="4"/>
      <c r="H608" s="4"/>
      <c r="I608" s="4"/>
      <c r="J608" s="4"/>
      <c r="K608" s="4"/>
      <c r="L608" s="53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76"/>
      <c r="F609" s="53"/>
      <c r="G609" s="4"/>
      <c r="H609" s="4"/>
      <c r="I609" s="4"/>
      <c r="J609" s="4"/>
      <c r="K609" s="4"/>
      <c r="L609" s="53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76"/>
      <c r="F610" s="53"/>
      <c r="G610" s="4"/>
      <c r="H610" s="4"/>
      <c r="I610" s="4"/>
      <c r="J610" s="4"/>
      <c r="K610" s="4"/>
      <c r="L610" s="53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76"/>
      <c r="F611" s="53"/>
      <c r="G611" s="4"/>
      <c r="H611" s="4"/>
      <c r="I611" s="4"/>
      <c r="J611" s="4"/>
      <c r="K611" s="4"/>
      <c r="L611" s="53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76"/>
      <c r="F612" s="53"/>
      <c r="G612" s="4"/>
      <c r="H612" s="4"/>
      <c r="I612" s="4"/>
      <c r="J612" s="4"/>
      <c r="K612" s="4"/>
      <c r="L612" s="53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76"/>
      <c r="F613" s="53"/>
      <c r="G613" s="4"/>
      <c r="H613" s="4"/>
      <c r="I613" s="4"/>
      <c r="J613" s="4"/>
      <c r="K613" s="4"/>
      <c r="L613" s="53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76"/>
      <c r="F614" s="53"/>
      <c r="G614" s="4"/>
      <c r="H614" s="4"/>
      <c r="I614" s="4"/>
      <c r="J614" s="4"/>
      <c r="K614" s="4"/>
      <c r="L614" s="53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76"/>
      <c r="F615" s="53"/>
      <c r="G615" s="4"/>
      <c r="H615" s="4"/>
      <c r="I615" s="4"/>
      <c r="J615" s="4"/>
      <c r="K615" s="4"/>
      <c r="L615" s="53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76"/>
      <c r="F616" s="53"/>
      <c r="G616" s="4"/>
      <c r="H616" s="4"/>
      <c r="I616" s="4"/>
      <c r="J616" s="4"/>
      <c r="K616" s="4"/>
      <c r="L616" s="53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76"/>
      <c r="F617" s="53"/>
      <c r="G617" s="4"/>
      <c r="H617" s="4"/>
      <c r="I617" s="4"/>
      <c r="J617" s="4"/>
      <c r="K617" s="4"/>
      <c r="L617" s="53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76"/>
      <c r="F618" s="53"/>
      <c r="G618" s="4"/>
      <c r="H618" s="4"/>
      <c r="I618" s="4"/>
      <c r="J618" s="4"/>
      <c r="K618" s="4"/>
      <c r="L618" s="53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76"/>
      <c r="F619" s="53"/>
      <c r="G619" s="4"/>
      <c r="H619" s="4"/>
      <c r="I619" s="4"/>
      <c r="J619" s="4"/>
      <c r="K619" s="4"/>
      <c r="L619" s="53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76"/>
      <c r="F620" s="53"/>
      <c r="G620" s="4"/>
      <c r="H620" s="4"/>
      <c r="I620" s="4"/>
      <c r="J620" s="4"/>
      <c r="K620" s="4"/>
      <c r="L620" s="53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76"/>
      <c r="F621" s="53"/>
      <c r="G621" s="4"/>
      <c r="H621" s="4"/>
      <c r="I621" s="4"/>
      <c r="J621" s="4"/>
      <c r="K621" s="4"/>
      <c r="L621" s="53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76"/>
      <c r="F622" s="53"/>
      <c r="G622" s="4"/>
      <c r="H622" s="4"/>
      <c r="I622" s="4"/>
      <c r="J622" s="4"/>
      <c r="K622" s="4"/>
      <c r="L622" s="53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76"/>
      <c r="F623" s="53"/>
      <c r="G623" s="4"/>
      <c r="H623" s="4"/>
      <c r="I623" s="4"/>
      <c r="J623" s="4"/>
      <c r="K623" s="4"/>
      <c r="L623" s="53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76"/>
      <c r="F624" s="53"/>
      <c r="G624" s="4"/>
      <c r="H624" s="4"/>
      <c r="I624" s="4"/>
      <c r="J624" s="4"/>
      <c r="K624" s="4"/>
      <c r="L624" s="53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76"/>
      <c r="F625" s="53"/>
      <c r="G625" s="4"/>
      <c r="H625" s="4"/>
      <c r="I625" s="4"/>
      <c r="J625" s="4"/>
      <c r="K625" s="4"/>
      <c r="L625" s="53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76"/>
      <c r="F626" s="53"/>
      <c r="G626" s="4"/>
      <c r="H626" s="4"/>
      <c r="I626" s="4"/>
      <c r="J626" s="4"/>
      <c r="K626" s="4"/>
      <c r="L626" s="53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76"/>
      <c r="F627" s="53"/>
      <c r="G627" s="4"/>
      <c r="H627" s="4"/>
      <c r="I627" s="4"/>
      <c r="J627" s="4"/>
      <c r="K627" s="4"/>
      <c r="L627" s="53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76"/>
      <c r="F628" s="53"/>
      <c r="G628" s="4"/>
      <c r="H628" s="4"/>
      <c r="I628" s="4"/>
      <c r="J628" s="4"/>
      <c r="K628" s="4"/>
      <c r="L628" s="53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76"/>
      <c r="F629" s="53"/>
      <c r="G629" s="4"/>
      <c r="H629" s="4"/>
      <c r="I629" s="4"/>
      <c r="J629" s="4"/>
      <c r="K629" s="4"/>
      <c r="L629" s="53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76"/>
      <c r="F630" s="53"/>
      <c r="G630" s="4"/>
      <c r="H630" s="4"/>
      <c r="I630" s="4"/>
      <c r="J630" s="4"/>
      <c r="K630" s="4"/>
      <c r="L630" s="53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76"/>
      <c r="F631" s="53"/>
      <c r="G631" s="4"/>
      <c r="H631" s="4"/>
      <c r="I631" s="4"/>
      <c r="J631" s="4"/>
      <c r="K631" s="4"/>
      <c r="L631" s="53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76"/>
      <c r="F632" s="53"/>
      <c r="G632" s="4"/>
      <c r="H632" s="4"/>
      <c r="I632" s="4"/>
      <c r="J632" s="4"/>
      <c r="K632" s="4"/>
      <c r="L632" s="53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76"/>
      <c r="F633" s="53"/>
      <c r="G633" s="4"/>
      <c r="H633" s="4"/>
      <c r="I633" s="4"/>
      <c r="J633" s="4"/>
      <c r="K633" s="4"/>
      <c r="L633" s="53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76"/>
      <c r="F634" s="53"/>
      <c r="G634" s="4"/>
      <c r="H634" s="4"/>
      <c r="I634" s="4"/>
      <c r="J634" s="4"/>
      <c r="K634" s="4"/>
      <c r="L634" s="53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76"/>
      <c r="F635" s="53"/>
      <c r="G635" s="4"/>
      <c r="H635" s="4"/>
      <c r="I635" s="4"/>
      <c r="J635" s="4"/>
      <c r="K635" s="4"/>
      <c r="L635" s="53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76"/>
      <c r="F636" s="53"/>
      <c r="G636" s="4"/>
      <c r="H636" s="4"/>
      <c r="I636" s="4"/>
      <c r="J636" s="4"/>
      <c r="K636" s="4"/>
      <c r="L636" s="53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76"/>
      <c r="F637" s="53"/>
      <c r="G637" s="4"/>
      <c r="H637" s="4"/>
      <c r="I637" s="4"/>
      <c r="J637" s="4"/>
      <c r="K637" s="4"/>
      <c r="L637" s="53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76"/>
      <c r="F638" s="53"/>
      <c r="G638" s="4"/>
      <c r="H638" s="4"/>
      <c r="I638" s="4"/>
      <c r="J638" s="4"/>
      <c r="K638" s="4"/>
      <c r="L638" s="53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76"/>
      <c r="F639" s="53"/>
      <c r="G639" s="4"/>
      <c r="H639" s="4"/>
      <c r="I639" s="4"/>
      <c r="J639" s="4"/>
      <c r="K639" s="4"/>
      <c r="L639" s="53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76"/>
      <c r="F640" s="53"/>
      <c r="G640" s="4"/>
      <c r="H640" s="4"/>
      <c r="I640" s="4"/>
      <c r="J640" s="4"/>
      <c r="K640" s="4"/>
      <c r="L640" s="53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76"/>
      <c r="F641" s="53"/>
      <c r="G641" s="4"/>
      <c r="H641" s="4"/>
      <c r="I641" s="4"/>
      <c r="J641" s="4"/>
      <c r="K641" s="4"/>
      <c r="L641" s="53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76"/>
      <c r="F642" s="53"/>
      <c r="G642" s="4"/>
      <c r="H642" s="4"/>
      <c r="I642" s="4"/>
      <c r="J642" s="4"/>
      <c r="K642" s="4"/>
      <c r="L642" s="53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76"/>
      <c r="F643" s="53"/>
      <c r="G643" s="4"/>
      <c r="H643" s="4"/>
      <c r="I643" s="4"/>
      <c r="J643" s="4"/>
      <c r="K643" s="4"/>
      <c r="L643" s="53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76"/>
      <c r="F644" s="53"/>
      <c r="G644" s="4"/>
      <c r="H644" s="4"/>
      <c r="I644" s="4"/>
      <c r="J644" s="4"/>
      <c r="K644" s="4"/>
      <c r="L644" s="53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76"/>
      <c r="F645" s="53"/>
      <c r="G645" s="4"/>
      <c r="H645" s="4"/>
      <c r="I645" s="4"/>
      <c r="J645" s="4"/>
      <c r="K645" s="4"/>
      <c r="L645" s="53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76"/>
      <c r="F646" s="53"/>
      <c r="G646" s="4"/>
      <c r="H646" s="4"/>
      <c r="I646" s="4"/>
      <c r="J646" s="4"/>
      <c r="K646" s="4"/>
      <c r="L646" s="53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76"/>
      <c r="F647" s="53"/>
      <c r="G647" s="4"/>
      <c r="H647" s="4"/>
      <c r="I647" s="4"/>
      <c r="J647" s="4"/>
      <c r="K647" s="4"/>
      <c r="L647" s="53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76"/>
      <c r="F648" s="53"/>
      <c r="G648" s="4"/>
      <c r="H648" s="4"/>
      <c r="I648" s="4"/>
      <c r="J648" s="4"/>
      <c r="K648" s="4"/>
      <c r="L648" s="53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76"/>
      <c r="F649" s="53"/>
      <c r="G649" s="4"/>
      <c r="H649" s="4"/>
      <c r="I649" s="4"/>
      <c r="J649" s="4"/>
      <c r="K649" s="4"/>
      <c r="L649" s="53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76"/>
      <c r="F650" s="53"/>
      <c r="G650" s="4"/>
      <c r="H650" s="4"/>
      <c r="I650" s="4"/>
      <c r="J650" s="4"/>
      <c r="K650" s="4"/>
      <c r="L650" s="53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76"/>
      <c r="F651" s="53"/>
      <c r="G651" s="4"/>
      <c r="H651" s="4"/>
      <c r="I651" s="4"/>
      <c r="J651" s="4"/>
      <c r="K651" s="4"/>
      <c r="L651" s="53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76"/>
      <c r="F652" s="53"/>
      <c r="G652" s="4"/>
      <c r="H652" s="4"/>
      <c r="I652" s="4"/>
      <c r="J652" s="4"/>
      <c r="K652" s="4"/>
      <c r="L652" s="53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76"/>
      <c r="F653" s="53"/>
      <c r="G653" s="4"/>
      <c r="H653" s="4"/>
      <c r="I653" s="4"/>
      <c r="J653" s="4"/>
      <c r="K653" s="4"/>
      <c r="L653" s="53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76"/>
      <c r="F654" s="53"/>
      <c r="G654" s="4"/>
      <c r="H654" s="4"/>
      <c r="I654" s="4"/>
      <c r="J654" s="4"/>
      <c r="K654" s="4"/>
      <c r="L654" s="53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76"/>
      <c r="F655" s="53"/>
      <c r="G655" s="4"/>
      <c r="H655" s="4"/>
      <c r="I655" s="4"/>
      <c r="J655" s="4"/>
      <c r="K655" s="4"/>
      <c r="L655" s="53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76"/>
      <c r="F656" s="53"/>
      <c r="G656" s="4"/>
      <c r="H656" s="4"/>
      <c r="I656" s="4"/>
      <c r="J656" s="4"/>
      <c r="K656" s="4"/>
      <c r="L656" s="53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76"/>
      <c r="F657" s="53"/>
      <c r="G657" s="4"/>
      <c r="H657" s="4"/>
      <c r="I657" s="4"/>
      <c r="J657" s="4"/>
      <c r="K657" s="4"/>
      <c r="L657" s="53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76"/>
      <c r="F658" s="53"/>
      <c r="G658" s="4"/>
      <c r="H658" s="4"/>
      <c r="I658" s="4"/>
      <c r="J658" s="4"/>
      <c r="K658" s="4"/>
      <c r="L658" s="53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76"/>
      <c r="F659" s="53"/>
      <c r="G659" s="4"/>
      <c r="H659" s="4"/>
      <c r="I659" s="4"/>
      <c r="J659" s="4"/>
      <c r="K659" s="4"/>
      <c r="L659" s="53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76"/>
      <c r="F660" s="53"/>
      <c r="G660" s="4"/>
      <c r="H660" s="4"/>
      <c r="I660" s="4"/>
      <c r="J660" s="4"/>
      <c r="K660" s="4"/>
      <c r="L660" s="53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76"/>
      <c r="F661" s="53"/>
      <c r="G661" s="4"/>
      <c r="H661" s="4"/>
      <c r="I661" s="4"/>
      <c r="J661" s="4"/>
      <c r="K661" s="4"/>
      <c r="L661" s="53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76"/>
      <c r="F662" s="53"/>
      <c r="G662" s="4"/>
      <c r="H662" s="4"/>
      <c r="I662" s="4"/>
      <c r="J662" s="4"/>
      <c r="K662" s="4"/>
      <c r="L662" s="53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76"/>
      <c r="F663" s="53"/>
      <c r="G663" s="4"/>
      <c r="H663" s="4"/>
      <c r="I663" s="4"/>
      <c r="J663" s="4"/>
      <c r="K663" s="4"/>
      <c r="L663" s="53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76"/>
      <c r="F664" s="53"/>
      <c r="G664" s="4"/>
      <c r="H664" s="4"/>
      <c r="I664" s="4"/>
      <c r="J664" s="4"/>
      <c r="K664" s="4"/>
      <c r="L664" s="53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76"/>
      <c r="F665" s="53"/>
      <c r="G665" s="4"/>
      <c r="H665" s="4"/>
      <c r="I665" s="4"/>
      <c r="J665" s="4"/>
      <c r="K665" s="4"/>
      <c r="L665" s="53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76"/>
      <c r="F666" s="53"/>
      <c r="G666" s="4"/>
      <c r="H666" s="4"/>
      <c r="I666" s="4"/>
      <c r="J666" s="4"/>
      <c r="K666" s="4"/>
      <c r="L666" s="53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76"/>
      <c r="F667" s="53"/>
      <c r="G667" s="4"/>
      <c r="H667" s="4"/>
      <c r="I667" s="4"/>
      <c r="J667" s="4"/>
      <c r="K667" s="4"/>
      <c r="L667" s="53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76"/>
      <c r="F668" s="53"/>
      <c r="G668" s="4"/>
      <c r="H668" s="4"/>
      <c r="I668" s="4"/>
      <c r="J668" s="4"/>
      <c r="K668" s="4"/>
      <c r="L668" s="53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76"/>
      <c r="F669" s="53"/>
      <c r="G669" s="4"/>
      <c r="H669" s="4"/>
      <c r="I669" s="4"/>
      <c r="J669" s="4"/>
      <c r="K669" s="4"/>
      <c r="L669" s="53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76"/>
      <c r="F670" s="53"/>
      <c r="G670" s="4"/>
      <c r="H670" s="4"/>
      <c r="I670" s="4"/>
      <c r="J670" s="4"/>
      <c r="K670" s="4"/>
      <c r="L670" s="53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76"/>
      <c r="F671" s="53"/>
      <c r="G671" s="4"/>
      <c r="H671" s="4"/>
      <c r="I671" s="4"/>
      <c r="J671" s="4"/>
      <c r="K671" s="4"/>
      <c r="L671" s="53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76"/>
      <c r="F672" s="53"/>
      <c r="G672" s="4"/>
      <c r="H672" s="4"/>
      <c r="I672" s="4"/>
      <c r="J672" s="4"/>
      <c r="K672" s="4"/>
      <c r="L672" s="53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76"/>
      <c r="F673" s="53"/>
      <c r="G673" s="4"/>
      <c r="H673" s="4"/>
      <c r="I673" s="4"/>
      <c r="J673" s="4"/>
      <c r="K673" s="4"/>
      <c r="L673" s="53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76"/>
      <c r="F674" s="53"/>
      <c r="G674" s="4"/>
      <c r="H674" s="4"/>
      <c r="I674" s="4"/>
      <c r="J674" s="4"/>
      <c r="K674" s="4"/>
      <c r="L674" s="53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76"/>
      <c r="F675" s="53"/>
      <c r="G675" s="4"/>
      <c r="H675" s="4"/>
      <c r="I675" s="4"/>
      <c r="J675" s="4"/>
      <c r="K675" s="4"/>
      <c r="L675" s="53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76"/>
      <c r="F676" s="53"/>
      <c r="G676" s="4"/>
      <c r="H676" s="4"/>
      <c r="I676" s="4"/>
      <c r="J676" s="4"/>
      <c r="K676" s="4"/>
      <c r="L676" s="53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76"/>
      <c r="F677" s="53"/>
      <c r="G677" s="4"/>
      <c r="H677" s="4"/>
      <c r="I677" s="4"/>
      <c r="J677" s="4"/>
      <c r="K677" s="4"/>
      <c r="L677" s="53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76"/>
      <c r="F678" s="53"/>
      <c r="G678" s="4"/>
      <c r="H678" s="4"/>
      <c r="I678" s="4"/>
      <c r="J678" s="4"/>
      <c r="K678" s="4"/>
      <c r="L678" s="53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76"/>
      <c r="F679" s="53"/>
      <c r="G679" s="4"/>
      <c r="H679" s="4"/>
      <c r="I679" s="4"/>
      <c r="J679" s="4"/>
      <c r="K679" s="4"/>
      <c r="L679" s="53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76"/>
      <c r="F680" s="53"/>
      <c r="G680" s="4"/>
      <c r="H680" s="4"/>
      <c r="I680" s="4"/>
      <c r="J680" s="4"/>
      <c r="K680" s="4"/>
      <c r="L680" s="53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76"/>
      <c r="F681" s="53"/>
      <c r="G681" s="4"/>
      <c r="H681" s="4"/>
      <c r="I681" s="4"/>
      <c r="J681" s="4"/>
      <c r="K681" s="4"/>
      <c r="L681" s="53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76"/>
      <c r="F682" s="53"/>
      <c r="G682" s="4"/>
      <c r="H682" s="4"/>
      <c r="I682" s="4"/>
      <c r="J682" s="4"/>
      <c r="K682" s="4"/>
      <c r="L682" s="53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76"/>
      <c r="F683" s="53"/>
      <c r="G683" s="4"/>
      <c r="H683" s="4"/>
      <c r="I683" s="4"/>
      <c r="J683" s="4"/>
      <c r="K683" s="4"/>
      <c r="L683" s="53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76"/>
      <c r="F684" s="53"/>
      <c r="G684" s="4"/>
      <c r="H684" s="4"/>
      <c r="I684" s="4"/>
      <c r="J684" s="4"/>
      <c r="K684" s="4"/>
      <c r="L684" s="53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76"/>
      <c r="F685" s="53"/>
      <c r="G685" s="4"/>
      <c r="H685" s="4"/>
      <c r="I685" s="4"/>
      <c r="J685" s="4"/>
      <c r="K685" s="4"/>
      <c r="L685" s="53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76"/>
      <c r="F686" s="53"/>
      <c r="G686" s="4"/>
      <c r="H686" s="4"/>
      <c r="I686" s="4"/>
      <c r="J686" s="4"/>
      <c r="K686" s="4"/>
      <c r="L686" s="53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76"/>
      <c r="F687" s="53"/>
      <c r="G687" s="4"/>
      <c r="H687" s="4"/>
      <c r="I687" s="4"/>
      <c r="J687" s="4"/>
      <c r="K687" s="4"/>
      <c r="L687" s="53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76"/>
      <c r="F688" s="53"/>
      <c r="G688" s="4"/>
      <c r="H688" s="4"/>
      <c r="I688" s="4"/>
      <c r="J688" s="4"/>
      <c r="K688" s="4"/>
      <c r="L688" s="53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76"/>
      <c r="F689" s="53"/>
      <c r="G689" s="4"/>
      <c r="H689" s="4"/>
      <c r="I689" s="4"/>
      <c r="J689" s="4"/>
      <c r="K689" s="4"/>
      <c r="L689" s="53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76"/>
      <c r="F690" s="53"/>
      <c r="G690" s="4"/>
      <c r="H690" s="4"/>
      <c r="I690" s="4"/>
      <c r="J690" s="4"/>
      <c r="K690" s="4"/>
      <c r="L690" s="53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76"/>
      <c r="F691" s="53"/>
      <c r="G691" s="4"/>
      <c r="H691" s="4"/>
      <c r="I691" s="4"/>
      <c r="J691" s="4"/>
      <c r="K691" s="4"/>
      <c r="L691" s="53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76"/>
      <c r="F692" s="53"/>
      <c r="G692" s="4"/>
      <c r="H692" s="4"/>
      <c r="I692" s="4"/>
      <c r="J692" s="4"/>
      <c r="K692" s="4"/>
      <c r="L692" s="53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76"/>
      <c r="F693" s="53"/>
      <c r="G693" s="4"/>
      <c r="H693" s="4"/>
      <c r="I693" s="4"/>
      <c r="J693" s="4"/>
      <c r="K693" s="4"/>
      <c r="L693" s="53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76"/>
      <c r="F694" s="53"/>
      <c r="G694" s="4"/>
      <c r="H694" s="4"/>
      <c r="I694" s="4"/>
      <c r="J694" s="4"/>
      <c r="K694" s="4"/>
      <c r="L694" s="53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76"/>
      <c r="F695" s="53"/>
      <c r="G695" s="4"/>
      <c r="H695" s="4"/>
      <c r="I695" s="4"/>
      <c r="J695" s="4"/>
      <c r="K695" s="4"/>
      <c r="L695" s="53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76"/>
      <c r="F696" s="53"/>
      <c r="G696" s="4"/>
      <c r="H696" s="4"/>
      <c r="I696" s="4"/>
      <c r="J696" s="4"/>
      <c r="K696" s="4"/>
      <c r="L696" s="53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76"/>
      <c r="F697" s="53"/>
      <c r="G697" s="4"/>
      <c r="H697" s="4"/>
      <c r="I697" s="4"/>
      <c r="J697" s="4"/>
      <c r="K697" s="4"/>
      <c r="L697" s="53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76"/>
      <c r="F698" s="53"/>
      <c r="G698" s="4"/>
      <c r="H698" s="4"/>
      <c r="I698" s="4"/>
      <c r="J698" s="4"/>
      <c r="K698" s="4"/>
      <c r="L698" s="53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76"/>
      <c r="F699" s="53"/>
      <c r="G699" s="4"/>
      <c r="H699" s="4"/>
      <c r="I699" s="4"/>
      <c r="J699" s="4"/>
      <c r="K699" s="4"/>
      <c r="L699" s="53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76"/>
      <c r="F700" s="53"/>
      <c r="G700" s="4"/>
      <c r="H700" s="4"/>
      <c r="I700" s="4"/>
      <c r="J700" s="4"/>
      <c r="K700" s="4"/>
      <c r="L700" s="53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76"/>
      <c r="F701" s="53"/>
      <c r="G701" s="4"/>
      <c r="H701" s="4"/>
      <c r="I701" s="4"/>
      <c r="J701" s="4"/>
      <c r="K701" s="4"/>
      <c r="L701" s="53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76"/>
      <c r="F702" s="53"/>
      <c r="G702" s="4"/>
      <c r="H702" s="4"/>
      <c r="I702" s="4"/>
      <c r="J702" s="4"/>
      <c r="K702" s="4"/>
      <c r="L702" s="53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76"/>
      <c r="F703" s="53"/>
      <c r="G703" s="4"/>
      <c r="H703" s="4"/>
      <c r="I703" s="4"/>
      <c r="J703" s="4"/>
      <c r="K703" s="4"/>
      <c r="L703" s="53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76"/>
      <c r="F704" s="53"/>
      <c r="G704" s="4"/>
      <c r="H704" s="4"/>
      <c r="I704" s="4"/>
      <c r="J704" s="4"/>
      <c r="K704" s="4"/>
      <c r="L704" s="53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76"/>
      <c r="F705" s="53"/>
      <c r="G705" s="4"/>
      <c r="H705" s="4"/>
      <c r="I705" s="4"/>
      <c r="J705" s="4"/>
      <c r="K705" s="4"/>
      <c r="L705" s="53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76"/>
      <c r="F706" s="53"/>
      <c r="G706" s="4"/>
      <c r="H706" s="4"/>
      <c r="I706" s="4"/>
      <c r="J706" s="4"/>
      <c r="K706" s="4"/>
      <c r="L706" s="53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76"/>
      <c r="F707" s="53"/>
      <c r="G707" s="4"/>
      <c r="H707" s="4"/>
      <c r="I707" s="4"/>
      <c r="J707" s="4"/>
      <c r="K707" s="4"/>
      <c r="L707" s="53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76"/>
      <c r="F708" s="53"/>
      <c r="G708" s="4"/>
      <c r="H708" s="4"/>
      <c r="I708" s="4"/>
      <c r="J708" s="4"/>
      <c r="K708" s="4"/>
      <c r="L708" s="53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76"/>
      <c r="F709" s="53"/>
      <c r="G709" s="4"/>
      <c r="H709" s="4"/>
      <c r="I709" s="4"/>
      <c r="J709" s="4"/>
      <c r="K709" s="4"/>
      <c r="L709" s="53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76"/>
      <c r="F710" s="53"/>
      <c r="G710" s="4"/>
      <c r="H710" s="4"/>
      <c r="I710" s="4"/>
      <c r="J710" s="4"/>
      <c r="K710" s="4"/>
      <c r="L710" s="53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76"/>
      <c r="F711" s="53"/>
      <c r="G711" s="4"/>
      <c r="H711" s="4"/>
      <c r="I711" s="4"/>
      <c r="J711" s="4"/>
      <c r="K711" s="4"/>
      <c r="L711" s="53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76"/>
      <c r="F712" s="53"/>
      <c r="G712" s="4"/>
      <c r="H712" s="4"/>
      <c r="I712" s="4"/>
      <c r="J712" s="4"/>
      <c r="K712" s="4"/>
      <c r="L712" s="53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76"/>
      <c r="F713" s="53"/>
      <c r="G713" s="4"/>
      <c r="H713" s="4"/>
      <c r="I713" s="4"/>
      <c r="J713" s="4"/>
      <c r="K713" s="4"/>
      <c r="L713" s="53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76"/>
      <c r="F714" s="53"/>
      <c r="G714" s="4"/>
      <c r="H714" s="4"/>
      <c r="I714" s="4"/>
      <c r="J714" s="4"/>
      <c r="K714" s="4"/>
      <c r="L714" s="53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76"/>
      <c r="F715" s="53"/>
      <c r="G715" s="4"/>
      <c r="H715" s="4"/>
      <c r="I715" s="4"/>
      <c r="J715" s="4"/>
      <c r="K715" s="4"/>
      <c r="L715" s="53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76"/>
      <c r="F716" s="53"/>
      <c r="G716" s="4"/>
      <c r="H716" s="4"/>
      <c r="I716" s="4"/>
      <c r="J716" s="4"/>
      <c r="K716" s="4"/>
      <c r="L716" s="53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76"/>
      <c r="F717" s="53"/>
      <c r="G717" s="4"/>
      <c r="H717" s="4"/>
      <c r="I717" s="4"/>
      <c r="J717" s="4"/>
      <c r="K717" s="4"/>
      <c r="L717" s="53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76"/>
      <c r="F718" s="53"/>
      <c r="G718" s="4"/>
      <c r="H718" s="4"/>
      <c r="I718" s="4"/>
      <c r="J718" s="4"/>
      <c r="K718" s="4"/>
      <c r="L718" s="53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76"/>
      <c r="F719" s="53"/>
      <c r="G719" s="4"/>
      <c r="H719" s="4"/>
      <c r="I719" s="4"/>
      <c r="J719" s="4"/>
      <c r="K719" s="4"/>
      <c r="L719" s="53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76"/>
      <c r="F720" s="53"/>
      <c r="G720" s="4"/>
      <c r="H720" s="4"/>
      <c r="I720" s="4"/>
      <c r="J720" s="4"/>
      <c r="K720" s="4"/>
      <c r="L720" s="53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76"/>
      <c r="F721" s="53"/>
      <c r="G721" s="4"/>
      <c r="H721" s="4"/>
      <c r="I721" s="4"/>
      <c r="J721" s="4"/>
      <c r="K721" s="4"/>
      <c r="L721" s="53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76"/>
      <c r="F722" s="53"/>
      <c r="G722" s="4"/>
      <c r="H722" s="4"/>
      <c r="I722" s="4"/>
      <c r="J722" s="4"/>
      <c r="K722" s="4"/>
      <c r="L722" s="53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76"/>
      <c r="F723" s="53"/>
      <c r="G723" s="4"/>
      <c r="H723" s="4"/>
      <c r="I723" s="4"/>
      <c r="J723" s="4"/>
      <c r="K723" s="4"/>
      <c r="L723" s="53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76"/>
      <c r="F724" s="53"/>
      <c r="G724" s="4"/>
      <c r="H724" s="4"/>
      <c r="I724" s="4"/>
      <c r="J724" s="4"/>
      <c r="K724" s="4"/>
      <c r="L724" s="53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76"/>
      <c r="F725" s="53"/>
      <c r="G725" s="4"/>
      <c r="H725" s="4"/>
      <c r="I725" s="4"/>
      <c r="J725" s="4"/>
      <c r="K725" s="4"/>
      <c r="L725" s="53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76"/>
      <c r="F726" s="53"/>
      <c r="G726" s="4"/>
      <c r="H726" s="4"/>
      <c r="I726" s="4"/>
      <c r="J726" s="4"/>
      <c r="K726" s="4"/>
      <c r="L726" s="53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76"/>
      <c r="F727" s="53"/>
      <c r="G727" s="4"/>
      <c r="H727" s="4"/>
      <c r="I727" s="4"/>
      <c r="J727" s="4"/>
      <c r="K727" s="4"/>
      <c r="L727" s="53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76"/>
      <c r="F728" s="53"/>
      <c r="G728" s="4"/>
      <c r="H728" s="4"/>
      <c r="I728" s="4"/>
      <c r="J728" s="4"/>
      <c r="K728" s="4"/>
      <c r="L728" s="53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76"/>
      <c r="F729" s="53"/>
      <c r="G729" s="4"/>
      <c r="H729" s="4"/>
      <c r="I729" s="4"/>
      <c r="J729" s="4"/>
      <c r="K729" s="4"/>
      <c r="L729" s="53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76"/>
      <c r="F730" s="53"/>
      <c r="G730" s="4"/>
      <c r="H730" s="4"/>
      <c r="I730" s="4"/>
      <c r="J730" s="4"/>
      <c r="K730" s="4"/>
      <c r="L730" s="53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76"/>
      <c r="F731" s="53"/>
      <c r="G731" s="4"/>
      <c r="H731" s="4"/>
      <c r="I731" s="4"/>
      <c r="J731" s="4"/>
      <c r="K731" s="4"/>
      <c r="L731" s="53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76"/>
      <c r="F732" s="53"/>
      <c r="G732" s="4"/>
      <c r="H732" s="4"/>
      <c r="I732" s="4"/>
      <c r="J732" s="4"/>
      <c r="K732" s="4"/>
      <c r="L732" s="53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76"/>
      <c r="F733" s="53"/>
      <c r="G733" s="4"/>
      <c r="H733" s="4"/>
      <c r="I733" s="4"/>
      <c r="J733" s="4"/>
      <c r="K733" s="4"/>
      <c r="L733" s="53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76"/>
      <c r="F734" s="53"/>
      <c r="G734" s="4"/>
      <c r="H734" s="4"/>
      <c r="I734" s="4"/>
      <c r="J734" s="4"/>
      <c r="K734" s="4"/>
      <c r="L734" s="53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76"/>
      <c r="F735" s="53"/>
      <c r="G735" s="4"/>
      <c r="H735" s="4"/>
      <c r="I735" s="4"/>
      <c r="J735" s="4"/>
      <c r="K735" s="4"/>
      <c r="L735" s="53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76"/>
      <c r="F736" s="53"/>
      <c r="G736" s="4"/>
      <c r="H736" s="4"/>
      <c r="I736" s="4"/>
      <c r="J736" s="4"/>
      <c r="K736" s="4"/>
      <c r="L736" s="53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76"/>
      <c r="F737" s="53"/>
      <c r="G737" s="4"/>
      <c r="H737" s="4"/>
      <c r="I737" s="4"/>
      <c r="J737" s="4"/>
      <c r="K737" s="4"/>
      <c r="L737" s="53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76"/>
      <c r="F738" s="53"/>
      <c r="G738" s="4"/>
      <c r="H738" s="4"/>
      <c r="I738" s="4"/>
      <c r="J738" s="4"/>
      <c r="K738" s="4"/>
      <c r="L738" s="53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76"/>
      <c r="F739" s="53"/>
      <c r="G739" s="4"/>
      <c r="H739" s="4"/>
      <c r="I739" s="4"/>
      <c r="J739" s="4"/>
      <c r="K739" s="4"/>
      <c r="L739" s="53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76"/>
      <c r="F740" s="53"/>
      <c r="G740" s="4"/>
      <c r="H740" s="4"/>
      <c r="I740" s="4"/>
      <c r="J740" s="4"/>
      <c r="K740" s="4"/>
      <c r="L740" s="53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76"/>
      <c r="F741" s="53"/>
      <c r="G741" s="4"/>
      <c r="H741" s="4"/>
      <c r="I741" s="4"/>
      <c r="J741" s="4"/>
      <c r="K741" s="4"/>
      <c r="L741" s="53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76"/>
      <c r="F742" s="53"/>
      <c r="G742" s="4"/>
      <c r="H742" s="4"/>
      <c r="I742" s="4"/>
      <c r="J742" s="4"/>
      <c r="K742" s="4"/>
      <c r="L742" s="53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76"/>
      <c r="F743" s="53"/>
      <c r="G743" s="4"/>
      <c r="H743" s="4"/>
      <c r="I743" s="4"/>
      <c r="J743" s="4"/>
      <c r="K743" s="4"/>
      <c r="L743" s="53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76"/>
      <c r="F744" s="53"/>
      <c r="G744" s="4"/>
      <c r="H744" s="4"/>
      <c r="I744" s="4"/>
      <c r="J744" s="4"/>
      <c r="K744" s="4"/>
      <c r="L744" s="53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76"/>
      <c r="F745" s="53"/>
      <c r="G745" s="4"/>
      <c r="H745" s="4"/>
      <c r="I745" s="4"/>
      <c r="J745" s="4"/>
      <c r="K745" s="4"/>
      <c r="L745" s="53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76"/>
      <c r="F746" s="53"/>
      <c r="G746" s="4"/>
      <c r="H746" s="4"/>
      <c r="I746" s="4"/>
      <c r="J746" s="4"/>
      <c r="K746" s="4"/>
      <c r="L746" s="53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76"/>
      <c r="F747" s="53"/>
      <c r="G747" s="4"/>
      <c r="H747" s="4"/>
      <c r="I747" s="4"/>
      <c r="J747" s="4"/>
      <c r="K747" s="4"/>
      <c r="L747" s="53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76"/>
      <c r="F748" s="53"/>
      <c r="G748" s="4"/>
      <c r="H748" s="4"/>
      <c r="I748" s="4"/>
      <c r="J748" s="4"/>
      <c r="K748" s="4"/>
      <c r="L748" s="53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76"/>
      <c r="F749" s="53"/>
      <c r="G749" s="4"/>
      <c r="H749" s="4"/>
      <c r="I749" s="4"/>
      <c r="J749" s="4"/>
      <c r="K749" s="4"/>
      <c r="L749" s="53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76"/>
      <c r="F750" s="53"/>
      <c r="G750" s="4"/>
      <c r="H750" s="4"/>
      <c r="I750" s="4"/>
      <c r="J750" s="4"/>
      <c r="K750" s="4"/>
      <c r="L750" s="53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76"/>
      <c r="F751" s="53"/>
      <c r="G751" s="4"/>
      <c r="H751" s="4"/>
      <c r="I751" s="4"/>
      <c r="J751" s="4"/>
      <c r="K751" s="4"/>
      <c r="L751" s="53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76"/>
      <c r="F752" s="53"/>
      <c r="G752" s="4"/>
      <c r="H752" s="4"/>
      <c r="I752" s="4"/>
      <c r="J752" s="4"/>
      <c r="K752" s="4"/>
      <c r="L752" s="53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76"/>
      <c r="F753" s="53"/>
      <c r="G753" s="4"/>
      <c r="H753" s="4"/>
      <c r="I753" s="4"/>
      <c r="J753" s="4"/>
      <c r="K753" s="4"/>
      <c r="L753" s="53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76"/>
      <c r="F754" s="53"/>
      <c r="G754" s="4"/>
      <c r="H754" s="4"/>
      <c r="I754" s="4"/>
      <c r="J754" s="4"/>
      <c r="K754" s="4"/>
      <c r="L754" s="53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76"/>
      <c r="F755" s="53"/>
      <c r="G755" s="4"/>
      <c r="H755" s="4"/>
      <c r="I755" s="4"/>
      <c r="J755" s="4"/>
      <c r="K755" s="4"/>
      <c r="L755" s="53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76"/>
      <c r="F756" s="53"/>
      <c r="G756" s="4"/>
      <c r="H756" s="4"/>
      <c r="I756" s="4"/>
      <c r="J756" s="4"/>
      <c r="K756" s="4"/>
      <c r="L756" s="53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76"/>
      <c r="F757" s="53"/>
      <c r="G757" s="4"/>
      <c r="H757" s="4"/>
      <c r="I757" s="4"/>
      <c r="J757" s="4"/>
      <c r="K757" s="4"/>
      <c r="L757" s="53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76"/>
      <c r="F758" s="53"/>
      <c r="G758" s="4"/>
      <c r="H758" s="4"/>
      <c r="I758" s="4"/>
      <c r="J758" s="4"/>
      <c r="K758" s="4"/>
      <c r="L758" s="53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76"/>
      <c r="F759" s="53"/>
      <c r="G759" s="4"/>
      <c r="H759" s="4"/>
      <c r="I759" s="4"/>
      <c r="J759" s="4"/>
      <c r="K759" s="4"/>
      <c r="L759" s="53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76"/>
      <c r="F760" s="53"/>
      <c r="G760" s="4"/>
      <c r="H760" s="4"/>
      <c r="I760" s="4"/>
      <c r="J760" s="4"/>
      <c r="K760" s="4"/>
      <c r="L760" s="53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76"/>
      <c r="F761" s="53"/>
      <c r="G761" s="4"/>
      <c r="H761" s="4"/>
      <c r="I761" s="4"/>
      <c r="J761" s="4"/>
      <c r="K761" s="4"/>
      <c r="L761" s="53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76"/>
      <c r="F762" s="53"/>
      <c r="G762" s="4"/>
      <c r="H762" s="4"/>
      <c r="I762" s="4"/>
      <c r="J762" s="4"/>
      <c r="K762" s="4"/>
      <c r="L762" s="53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76"/>
      <c r="F763" s="53"/>
      <c r="G763" s="4"/>
      <c r="H763" s="4"/>
      <c r="I763" s="4"/>
      <c r="J763" s="4"/>
      <c r="K763" s="4"/>
      <c r="L763" s="53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76"/>
      <c r="F764" s="53"/>
      <c r="G764" s="4"/>
      <c r="H764" s="4"/>
      <c r="I764" s="4"/>
      <c r="J764" s="4"/>
      <c r="K764" s="4"/>
      <c r="L764" s="53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76"/>
      <c r="F765" s="53"/>
      <c r="G765" s="4"/>
      <c r="H765" s="4"/>
      <c r="I765" s="4"/>
      <c r="J765" s="4"/>
      <c r="K765" s="4"/>
      <c r="L765" s="53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76"/>
      <c r="F766" s="53"/>
      <c r="G766" s="4"/>
      <c r="H766" s="4"/>
      <c r="I766" s="4"/>
      <c r="J766" s="4"/>
      <c r="K766" s="4"/>
      <c r="L766" s="53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76"/>
      <c r="F767" s="53"/>
      <c r="G767" s="4"/>
      <c r="H767" s="4"/>
      <c r="I767" s="4"/>
      <c r="J767" s="4"/>
      <c r="K767" s="4"/>
      <c r="L767" s="53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76"/>
      <c r="F768" s="53"/>
      <c r="G768" s="4"/>
      <c r="H768" s="4"/>
      <c r="I768" s="4"/>
      <c r="J768" s="4"/>
      <c r="K768" s="4"/>
      <c r="L768" s="53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76"/>
      <c r="F769" s="53"/>
      <c r="G769" s="4"/>
      <c r="H769" s="4"/>
      <c r="I769" s="4"/>
      <c r="J769" s="4"/>
      <c r="K769" s="4"/>
      <c r="L769" s="53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76"/>
      <c r="F770" s="53"/>
      <c r="G770" s="4"/>
      <c r="H770" s="4"/>
      <c r="I770" s="4"/>
      <c r="J770" s="4"/>
      <c r="K770" s="4"/>
      <c r="L770" s="53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76"/>
      <c r="F771" s="53"/>
      <c r="G771" s="4"/>
      <c r="H771" s="4"/>
      <c r="I771" s="4"/>
      <c r="J771" s="4"/>
      <c r="K771" s="4"/>
      <c r="L771" s="53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76"/>
      <c r="F772" s="53"/>
      <c r="G772" s="4"/>
      <c r="H772" s="4"/>
      <c r="I772" s="4"/>
      <c r="J772" s="4"/>
      <c r="K772" s="4"/>
      <c r="L772" s="53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76"/>
      <c r="F773" s="53"/>
      <c r="G773" s="4"/>
      <c r="H773" s="4"/>
      <c r="I773" s="4"/>
      <c r="J773" s="4"/>
      <c r="K773" s="4"/>
      <c r="L773" s="53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76"/>
      <c r="F774" s="53"/>
      <c r="G774" s="4"/>
      <c r="H774" s="4"/>
      <c r="I774" s="4"/>
      <c r="J774" s="4"/>
      <c r="K774" s="4"/>
      <c r="L774" s="53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76"/>
      <c r="F775" s="53"/>
      <c r="G775" s="4"/>
      <c r="H775" s="4"/>
      <c r="I775" s="4"/>
      <c r="J775" s="4"/>
      <c r="K775" s="4"/>
      <c r="L775" s="53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76"/>
      <c r="F776" s="53"/>
      <c r="G776" s="4"/>
      <c r="H776" s="4"/>
      <c r="I776" s="4"/>
      <c r="J776" s="4"/>
      <c r="K776" s="4"/>
      <c r="L776" s="53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76"/>
      <c r="F777" s="53"/>
      <c r="G777" s="4"/>
      <c r="H777" s="4"/>
      <c r="I777" s="4"/>
      <c r="J777" s="4"/>
      <c r="K777" s="4"/>
      <c r="L777" s="53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76"/>
      <c r="F778" s="53"/>
      <c r="G778" s="4"/>
      <c r="H778" s="4"/>
      <c r="I778" s="4"/>
      <c r="J778" s="4"/>
      <c r="K778" s="4"/>
      <c r="L778" s="53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76"/>
      <c r="F779" s="53"/>
      <c r="G779" s="4"/>
      <c r="H779" s="4"/>
      <c r="I779" s="4"/>
      <c r="J779" s="4"/>
      <c r="K779" s="4"/>
      <c r="L779" s="53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76"/>
      <c r="F780" s="53"/>
      <c r="G780" s="4"/>
      <c r="H780" s="4"/>
      <c r="I780" s="4"/>
      <c r="J780" s="4"/>
      <c r="K780" s="4"/>
      <c r="L780" s="53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76"/>
      <c r="F781" s="53"/>
      <c r="G781" s="4"/>
      <c r="H781" s="4"/>
      <c r="I781" s="4"/>
      <c r="J781" s="4"/>
      <c r="K781" s="4"/>
      <c r="L781" s="53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76"/>
      <c r="F782" s="53"/>
      <c r="G782" s="4"/>
      <c r="H782" s="4"/>
      <c r="I782" s="4"/>
      <c r="J782" s="4"/>
      <c r="K782" s="4"/>
      <c r="L782" s="53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76"/>
      <c r="F783" s="53"/>
      <c r="G783" s="4"/>
      <c r="H783" s="4"/>
      <c r="I783" s="4"/>
      <c r="J783" s="4"/>
      <c r="K783" s="4"/>
      <c r="L783" s="53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76"/>
      <c r="F784" s="53"/>
      <c r="G784" s="4"/>
      <c r="H784" s="4"/>
      <c r="I784" s="4"/>
      <c r="J784" s="4"/>
      <c r="K784" s="4"/>
      <c r="L784" s="53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76"/>
      <c r="F785" s="53"/>
      <c r="G785" s="4"/>
      <c r="H785" s="4"/>
      <c r="I785" s="4"/>
      <c r="J785" s="4"/>
      <c r="K785" s="4"/>
      <c r="L785" s="53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76"/>
      <c r="F786" s="53"/>
      <c r="G786" s="4"/>
      <c r="H786" s="4"/>
      <c r="I786" s="4"/>
      <c r="J786" s="4"/>
      <c r="K786" s="4"/>
      <c r="L786" s="53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76"/>
      <c r="F787" s="53"/>
      <c r="G787" s="4"/>
      <c r="H787" s="4"/>
      <c r="I787" s="4"/>
      <c r="J787" s="4"/>
      <c r="K787" s="4"/>
      <c r="L787" s="53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76"/>
      <c r="F788" s="53"/>
      <c r="G788" s="4"/>
      <c r="H788" s="4"/>
      <c r="I788" s="4"/>
      <c r="J788" s="4"/>
      <c r="K788" s="4"/>
      <c r="L788" s="53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76"/>
      <c r="F789" s="53"/>
      <c r="G789" s="4"/>
      <c r="H789" s="4"/>
      <c r="I789" s="4"/>
      <c r="J789" s="4"/>
      <c r="K789" s="4"/>
      <c r="L789" s="53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76"/>
      <c r="F790" s="53"/>
      <c r="G790" s="4"/>
      <c r="H790" s="4"/>
      <c r="I790" s="4"/>
      <c r="J790" s="4"/>
      <c r="K790" s="4"/>
      <c r="L790" s="53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76"/>
      <c r="F791" s="53"/>
      <c r="G791" s="4"/>
      <c r="H791" s="4"/>
      <c r="I791" s="4"/>
      <c r="J791" s="4"/>
      <c r="K791" s="4"/>
      <c r="L791" s="53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76"/>
      <c r="F792" s="53"/>
      <c r="G792" s="4"/>
      <c r="H792" s="4"/>
      <c r="I792" s="4"/>
      <c r="J792" s="4"/>
      <c r="K792" s="4"/>
      <c r="L792" s="53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76"/>
      <c r="F793" s="53"/>
      <c r="G793" s="4"/>
      <c r="H793" s="4"/>
      <c r="I793" s="4"/>
      <c r="J793" s="4"/>
      <c r="K793" s="4"/>
      <c r="L793" s="53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76"/>
      <c r="F794" s="53"/>
      <c r="G794" s="4"/>
      <c r="H794" s="4"/>
      <c r="I794" s="4"/>
      <c r="J794" s="4"/>
      <c r="K794" s="4"/>
      <c r="L794" s="53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76"/>
      <c r="F795" s="53"/>
      <c r="G795" s="4"/>
      <c r="H795" s="4"/>
      <c r="I795" s="4"/>
      <c r="J795" s="4"/>
      <c r="K795" s="4"/>
      <c r="L795" s="53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76"/>
      <c r="F796" s="53"/>
      <c r="G796" s="4"/>
      <c r="H796" s="4"/>
      <c r="I796" s="4"/>
      <c r="J796" s="4"/>
      <c r="K796" s="4"/>
      <c r="L796" s="53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76"/>
      <c r="F797" s="53"/>
      <c r="G797" s="4"/>
      <c r="H797" s="4"/>
      <c r="I797" s="4"/>
      <c r="J797" s="4"/>
      <c r="K797" s="4"/>
      <c r="L797" s="53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76"/>
      <c r="F798" s="53"/>
      <c r="G798" s="4"/>
      <c r="H798" s="4"/>
      <c r="I798" s="4"/>
      <c r="J798" s="4"/>
      <c r="K798" s="4"/>
      <c r="L798" s="53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76"/>
      <c r="F799" s="53"/>
      <c r="G799" s="4"/>
      <c r="H799" s="4"/>
      <c r="I799" s="4"/>
      <c r="J799" s="4"/>
      <c r="K799" s="4"/>
      <c r="L799" s="53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76"/>
      <c r="F800" s="53"/>
      <c r="G800" s="4"/>
      <c r="H800" s="4"/>
      <c r="I800" s="4"/>
      <c r="J800" s="4"/>
      <c r="K800" s="4"/>
      <c r="L800" s="53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76"/>
      <c r="F801" s="53"/>
      <c r="G801" s="4"/>
      <c r="H801" s="4"/>
      <c r="I801" s="4"/>
      <c r="J801" s="4"/>
      <c r="K801" s="4"/>
      <c r="L801" s="53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76"/>
      <c r="F802" s="53"/>
      <c r="G802" s="4"/>
      <c r="H802" s="4"/>
      <c r="I802" s="4"/>
      <c r="J802" s="4"/>
      <c r="K802" s="4"/>
      <c r="L802" s="53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76"/>
      <c r="F803" s="53"/>
      <c r="G803" s="4"/>
      <c r="H803" s="4"/>
      <c r="I803" s="4"/>
      <c r="J803" s="4"/>
      <c r="K803" s="4"/>
      <c r="L803" s="53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76"/>
      <c r="F804" s="53"/>
      <c r="G804" s="4"/>
      <c r="H804" s="4"/>
      <c r="I804" s="4"/>
      <c r="J804" s="4"/>
      <c r="K804" s="4"/>
      <c r="L804" s="53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76"/>
      <c r="F805" s="53"/>
      <c r="G805" s="4"/>
      <c r="H805" s="4"/>
      <c r="I805" s="4"/>
      <c r="J805" s="4"/>
      <c r="K805" s="4"/>
      <c r="L805" s="53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76"/>
      <c r="F806" s="53"/>
      <c r="G806" s="4"/>
      <c r="H806" s="4"/>
      <c r="I806" s="4"/>
      <c r="J806" s="4"/>
      <c r="K806" s="4"/>
      <c r="L806" s="53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76"/>
      <c r="F807" s="53"/>
      <c r="G807" s="4"/>
      <c r="H807" s="4"/>
      <c r="I807" s="4"/>
      <c r="J807" s="4"/>
      <c r="K807" s="4"/>
      <c r="L807" s="53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76"/>
      <c r="F808" s="53"/>
      <c r="G808" s="4"/>
      <c r="H808" s="4"/>
      <c r="I808" s="4"/>
      <c r="J808" s="4"/>
      <c r="K808" s="4"/>
      <c r="L808" s="53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76"/>
      <c r="F809" s="53"/>
      <c r="G809" s="4"/>
      <c r="H809" s="4"/>
      <c r="I809" s="4"/>
      <c r="J809" s="4"/>
      <c r="K809" s="4"/>
      <c r="L809" s="53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76"/>
      <c r="F810" s="53"/>
      <c r="G810" s="4"/>
      <c r="H810" s="4"/>
      <c r="I810" s="4"/>
      <c r="J810" s="4"/>
      <c r="K810" s="4"/>
      <c r="L810" s="53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76"/>
      <c r="F811" s="53"/>
      <c r="G811" s="4"/>
      <c r="H811" s="4"/>
      <c r="I811" s="4"/>
      <c r="J811" s="4"/>
      <c r="K811" s="4"/>
      <c r="L811" s="53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76"/>
      <c r="F812" s="53"/>
      <c r="G812" s="4"/>
      <c r="H812" s="4"/>
      <c r="I812" s="4"/>
      <c r="J812" s="4"/>
      <c r="K812" s="4"/>
      <c r="L812" s="53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76"/>
      <c r="F813" s="53"/>
      <c r="G813" s="4"/>
      <c r="H813" s="4"/>
      <c r="I813" s="4"/>
      <c r="J813" s="4"/>
      <c r="K813" s="4"/>
      <c r="L813" s="53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76"/>
      <c r="F814" s="53"/>
      <c r="G814" s="4"/>
      <c r="H814" s="4"/>
      <c r="I814" s="4"/>
      <c r="J814" s="4"/>
      <c r="K814" s="4"/>
      <c r="L814" s="53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76"/>
      <c r="F815" s="53"/>
      <c r="G815" s="4"/>
      <c r="H815" s="4"/>
      <c r="I815" s="4"/>
      <c r="J815" s="4"/>
      <c r="K815" s="4"/>
      <c r="L815" s="53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76"/>
      <c r="F816" s="53"/>
      <c r="G816" s="4"/>
      <c r="H816" s="4"/>
      <c r="I816" s="4"/>
      <c r="J816" s="4"/>
      <c r="K816" s="4"/>
      <c r="L816" s="53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76"/>
      <c r="F817" s="53"/>
      <c r="G817" s="4"/>
      <c r="H817" s="4"/>
      <c r="I817" s="4"/>
      <c r="J817" s="4"/>
      <c r="K817" s="4"/>
      <c r="L817" s="53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76"/>
      <c r="F818" s="53"/>
      <c r="G818" s="4"/>
      <c r="H818" s="4"/>
      <c r="I818" s="4"/>
      <c r="J818" s="4"/>
      <c r="K818" s="4"/>
      <c r="L818" s="53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76"/>
      <c r="F819" s="53"/>
      <c r="G819" s="4"/>
      <c r="H819" s="4"/>
      <c r="I819" s="4"/>
      <c r="J819" s="4"/>
      <c r="K819" s="4"/>
      <c r="L819" s="53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76"/>
      <c r="F820" s="53"/>
      <c r="G820" s="4"/>
      <c r="H820" s="4"/>
      <c r="I820" s="4"/>
      <c r="J820" s="4"/>
      <c r="K820" s="4"/>
      <c r="L820" s="53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76"/>
      <c r="F821" s="53"/>
      <c r="G821" s="4"/>
      <c r="H821" s="4"/>
      <c r="I821" s="4"/>
      <c r="J821" s="4"/>
      <c r="K821" s="4"/>
      <c r="L821" s="53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76"/>
      <c r="F822" s="53"/>
      <c r="G822" s="4"/>
      <c r="H822" s="4"/>
      <c r="I822" s="4"/>
      <c r="J822" s="4"/>
      <c r="K822" s="4"/>
      <c r="L822" s="53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76"/>
      <c r="F823" s="53"/>
      <c r="G823" s="4"/>
      <c r="H823" s="4"/>
      <c r="I823" s="4"/>
      <c r="J823" s="4"/>
      <c r="K823" s="4"/>
      <c r="L823" s="53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76"/>
      <c r="F824" s="53"/>
      <c r="G824" s="4"/>
      <c r="H824" s="4"/>
      <c r="I824" s="4"/>
      <c r="J824" s="4"/>
      <c r="K824" s="4"/>
      <c r="L824" s="53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76"/>
      <c r="F825" s="53"/>
      <c r="G825" s="4"/>
      <c r="H825" s="4"/>
      <c r="I825" s="4"/>
      <c r="J825" s="4"/>
      <c r="K825" s="4"/>
      <c r="L825" s="53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76"/>
      <c r="F826" s="53"/>
      <c r="G826" s="4"/>
      <c r="H826" s="4"/>
      <c r="I826" s="4"/>
      <c r="J826" s="4"/>
      <c r="K826" s="4"/>
      <c r="L826" s="53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76"/>
      <c r="F827" s="53"/>
      <c r="G827" s="4"/>
      <c r="H827" s="4"/>
      <c r="I827" s="4"/>
      <c r="J827" s="4"/>
      <c r="K827" s="4"/>
      <c r="L827" s="53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76"/>
      <c r="F828" s="53"/>
      <c r="G828" s="4"/>
      <c r="H828" s="4"/>
      <c r="I828" s="4"/>
      <c r="J828" s="4"/>
      <c r="K828" s="4"/>
      <c r="L828" s="53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76"/>
      <c r="F829" s="53"/>
      <c r="G829" s="4"/>
      <c r="H829" s="4"/>
      <c r="I829" s="4"/>
      <c r="J829" s="4"/>
      <c r="K829" s="4"/>
      <c r="L829" s="53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76"/>
      <c r="F830" s="53"/>
      <c r="G830" s="4"/>
      <c r="H830" s="4"/>
      <c r="I830" s="4"/>
      <c r="J830" s="4"/>
      <c r="K830" s="4"/>
      <c r="L830" s="53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76"/>
      <c r="F831" s="53"/>
      <c r="G831" s="4"/>
      <c r="H831" s="4"/>
      <c r="I831" s="4"/>
      <c r="J831" s="4"/>
      <c r="K831" s="4"/>
      <c r="L831" s="53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76"/>
      <c r="F832" s="53"/>
      <c r="G832" s="4"/>
      <c r="H832" s="4"/>
      <c r="I832" s="4"/>
      <c r="J832" s="4"/>
      <c r="K832" s="4"/>
      <c r="L832" s="53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76"/>
      <c r="F833" s="53"/>
      <c r="G833" s="4"/>
      <c r="H833" s="4"/>
      <c r="I833" s="4"/>
      <c r="J833" s="4"/>
      <c r="K833" s="4"/>
      <c r="L833" s="53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76"/>
      <c r="F834" s="53"/>
      <c r="G834" s="4"/>
      <c r="H834" s="4"/>
      <c r="I834" s="4"/>
      <c r="J834" s="4"/>
      <c r="K834" s="4"/>
      <c r="L834" s="53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76"/>
      <c r="F835" s="53"/>
      <c r="G835" s="4"/>
      <c r="H835" s="4"/>
      <c r="I835" s="4"/>
      <c r="J835" s="4"/>
      <c r="K835" s="4"/>
      <c r="L835" s="53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76"/>
      <c r="F836" s="53"/>
      <c r="G836" s="4"/>
      <c r="H836" s="4"/>
      <c r="I836" s="4"/>
      <c r="J836" s="4"/>
      <c r="K836" s="4"/>
      <c r="L836" s="53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76"/>
      <c r="F837" s="53"/>
      <c r="G837" s="4"/>
      <c r="H837" s="4"/>
      <c r="I837" s="4"/>
      <c r="J837" s="4"/>
      <c r="K837" s="4"/>
      <c r="L837" s="53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76"/>
      <c r="F838" s="53"/>
      <c r="G838" s="4"/>
      <c r="H838" s="4"/>
      <c r="I838" s="4"/>
      <c r="J838" s="4"/>
      <c r="K838" s="4"/>
      <c r="L838" s="53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76"/>
      <c r="F839" s="53"/>
      <c r="G839" s="4"/>
      <c r="H839" s="4"/>
      <c r="I839" s="4"/>
      <c r="J839" s="4"/>
      <c r="K839" s="4"/>
      <c r="L839" s="53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76"/>
      <c r="F840" s="53"/>
      <c r="G840" s="4"/>
      <c r="H840" s="4"/>
      <c r="I840" s="4"/>
      <c r="J840" s="4"/>
      <c r="K840" s="4"/>
      <c r="L840" s="53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76"/>
      <c r="F841" s="53"/>
      <c r="G841" s="4"/>
      <c r="H841" s="4"/>
      <c r="I841" s="4"/>
      <c r="J841" s="4"/>
      <c r="K841" s="4"/>
      <c r="L841" s="53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76"/>
      <c r="F842" s="53"/>
      <c r="G842" s="4"/>
      <c r="H842" s="4"/>
      <c r="I842" s="4"/>
      <c r="J842" s="4"/>
      <c r="K842" s="4"/>
      <c r="L842" s="53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76"/>
      <c r="F843" s="53"/>
      <c r="G843" s="4"/>
      <c r="H843" s="4"/>
      <c r="I843" s="4"/>
      <c r="J843" s="4"/>
      <c r="K843" s="4"/>
      <c r="L843" s="53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76"/>
      <c r="F844" s="53"/>
      <c r="G844" s="4"/>
      <c r="H844" s="4"/>
      <c r="I844" s="4"/>
      <c r="J844" s="4"/>
      <c r="K844" s="4"/>
      <c r="L844" s="53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76"/>
      <c r="F845" s="53"/>
      <c r="G845" s="4"/>
      <c r="H845" s="4"/>
      <c r="I845" s="4"/>
      <c r="J845" s="4"/>
      <c r="K845" s="4"/>
      <c r="L845" s="53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76"/>
      <c r="F846" s="53"/>
      <c r="G846" s="4"/>
      <c r="H846" s="4"/>
      <c r="I846" s="4"/>
      <c r="J846" s="4"/>
      <c r="K846" s="4"/>
      <c r="L846" s="53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76"/>
      <c r="F847" s="53"/>
      <c r="G847" s="4"/>
      <c r="H847" s="4"/>
      <c r="I847" s="4"/>
      <c r="J847" s="4"/>
      <c r="K847" s="4"/>
      <c r="L847" s="53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76"/>
      <c r="F848" s="53"/>
      <c r="G848" s="4"/>
      <c r="H848" s="4"/>
      <c r="I848" s="4"/>
      <c r="J848" s="4"/>
      <c r="K848" s="4"/>
      <c r="L848" s="53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76"/>
      <c r="F849" s="53"/>
      <c r="G849" s="4"/>
      <c r="H849" s="4"/>
      <c r="I849" s="4"/>
      <c r="J849" s="4"/>
      <c r="K849" s="4"/>
      <c r="L849" s="53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76"/>
      <c r="F850" s="53"/>
      <c r="G850" s="4"/>
      <c r="H850" s="4"/>
      <c r="I850" s="4"/>
      <c r="J850" s="4"/>
      <c r="K850" s="4"/>
      <c r="L850" s="53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76"/>
      <c r="F851" s="53"/>
      <c r="G851" s="4"/>
      <c r="H851" s="4"/>
      <c r="I851" s="4"/>
      <c r="J851" s="4"/>
      <c r="K851" s="4"/>
      <c r="L851" s="53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76"/>
      <c r="F852" s="53"/>
      <c r="G852" s="4"/>
      <c r="H852" s="4"/>
      <c r="I852" s="4"/>
      <c r="J852" s="4"/>
      <c r="K852" s="4"/>
      <c r="L852" s="53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76"/>
      <c r="F853" s="53"/>
      <c r="G853" s="4"/>
      <c r="H853" s="4"/>
      <c r="I853" s="4"/>
      <c r="J853" s="4"/>
      <c r="K853" s="4"/>
      <c r="L853" s="53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76"/>
      <c r="F854" s="53"/>
      <c r="G854" s="4"/>
      <c r="H854" s="4"/>
      <c r="I854" s="4"/>
      <c r="J854" s="4"/>
      <c r="K854" s="4"/>
      <c r="L854" s="53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76"/>
      <c r="F855" s="53"/>
      <c r="G855" s="4"/>
      <c r="H855" s="4"/>
      <c r="I855" s="4"/>
      <c r="J855" s="4"/>
      <c r="K855" s="4"/>
      <c r="L855" s="53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76"/>
      <c r="F856" s="53"/>
      <c r="G856" s="4"/>
      <c r="H856" s="4"/>
      <c r="I856" s="4"/>
      <c r="J856" s="4"/>
      <c r="K856" s="4"/>
      <c r="L856" s="53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76"/>
      <c r="F857" s="53"/>
      <c r="G857" s="4"/>
      <c r="H857" s="4"/>
      <c r="I857" s="4"/>
      <c r="J857" s="4"/>
      <c r="K857" s="4"/>
      <c r="L857" s="53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76"/>
      <c r="F858" s="53"/>
      <c r="G858" s="4"/>
      <c r="H858" s="4"/>
      <c r="I858" s="4"/>
      <c r="J858" s="4"/>
      <c r="K858" s="4"/>
      <c r="L858" s="53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76"/>
      <c r="F859" s="53"/>
      <c r="G859" s="4"/>
      <c r="H859" s="4"/>
      <c r="I859" s="4"/>
      <c r="J859" s="4"/>
      <c r="K859" s="4"/>
      <c r="L859" s="53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76"/>
      <c r="F860" s="53"/>
      <c r="G860" s="4"/>
      <c r="H860" s="4"/>
      <c r="I860" s="4"/>
      <c r="J860" s="4"/>
      <c r="K860" s="4"/>
      <c r="L860" s="53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76"/>
      <c r="F861" s="53"/>
      <c r="G861" s="4"/>
      <c r="H861" s="4"/>
      <c r="I861" s="4"/>
      <c r="J861" s="4"/>
      <c r="K861" s="4"/>
      <c r="L861" s="53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76"/>
      <c r="F862" s="53"/>
      <c r="G862" s="4"/>
      <c r="H862" s="4"/>
      <c r="I862" s="4"/>
      <c r="J862" s="4"/>
      <c r="K862" s="4"/>
      <c r="L862" s="53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76"/>
      <c r="F863" s="53"/>
      <c r="G863" s="4"/>
      <c r="H863" s="4"/>
      <c r="I863" s="4"/>
      <c r="J863" s="4"/>
      <c r="K863" s="4"/>
      <c r="L863" s="53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76"/>
      <c r="F864" s="53"/>
      <c r="G864" s="4"/>
      <c r="H864" s="4"/>
      <c r="I864" s="4"/>
      <c r="J864" s="4"/>
      <c r="K864" s="4"/>
      <c r="L864" s="53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76"/>
      <c r="F865" s="53"/>
      <c r="G865" s="4"/>
      <c r="H865" s="4"/>
      <c r="I865" s="4"/>
      <c r="J865" s="4"/>
      <c r="K865" s="4"/>
      <c r="L865" s="53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76"/>
      <c r="F866" s="53"/>
      <c r="G866" s="4"/>
      <c r="H866" s="4"/>
      <c r="I866" s="4"/>
      <c r="J866" s="4"/>
      <c r="K866" s="4"/>
      <c r="L866" s="53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76"/>
      <c r="F867" s="53"/>
      <c r="G867" s="4"/>
      <c r="H867" s="4"/>
      <c r="I867" s="4"/>
      <c r="J867" s="4"/>
      <c r="K867" s="4"/>
      <c r="L867" s="53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76"/>
      <c r="F868" s="53"/>
      <c r="G868" s="4"/>
      <c r="H868" s="4"/>
      <c r="I868" s="4"/>
      <c r="J868" s="4"/>
      <c r="K868" s="4"/>
      <c r="L868" s="53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76"/>
      <c r="F869" s="53"/>
      <c r="G869" s="4"/>
      <c r="H869" s="4"/>
      <c r="I869" s="4"/>
      <c r="J869" s="4"/>
      <c r="K869" s="4"/>
      <c r="L869" s="53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76"/>
      <c r="F870" s="53"/>
      <c r="G870" s="4"/>
      <c r="H870" s="4"/>
      <c r="I870" s="4"/>
      <c r="J870" s="4"/>
      <c r="K870" s="4"/>
      <c r="L870" s="53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76"/>
      <c r="F871" s="53"/>
      <c r="G871" s="4"/>
      <c r="H871" s="4"/>
      <c r="I871" s="4"/>
      <c r="J871" s="4"/>
      <c r="K871" s="4"/>
      <c r="L871" s="53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76"/>
      <c r="F872" s="53"/>
      <c r="G872" s="4"/>
      <c r="H872" s="4"/>
      <c r="I872" s="4"/>
      <c r="J872" s="4"/>
      <c r="K872" s="4"/>
      <c r="L872" s="53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76"/>
      <c r="F873" s="53"/>
      <c r="G873" s="4"/>
      <c r="H873" s="4"/>
      <c r="I873" s="4"/>
      <c r="J873" s="4"/>
      <c r="K873" s="4"/>
      <c r="L873" s="53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76"/>
      <c r="F874" s="53"/>
      <c r="G874" s="4"/>
      <c r="H874" s="4"/>
      <c r="I874" s="4"/>
      <c r="J874" s="4"/>
      <c r="K874" s="4"/>
      <c r="L874" s="53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76"/>
      <c r="F875" s="53"/>
      <c r="G875" s="4"/>
      <c r="H875" s="4"/>
      <c r="I875" s="4"/>
      <c r="J875" s="4"/>
      <c r="K875" s="4"/>
      <c r="L875" s="53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76"/>
      <c r="F876" s="53"/>
      <c r="G876" s="4"/>
      <c r="H876" s="4"/>
      <c r="I876" s="4"/>
      <c r="J876" s="4"/>
      <c r="K876" s="4"/>
      <c r="L876" s="53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76"/>
      <c r="F877" s="53"/>
      <c r="G877" s="4"/>
      <c r="H877" s="4"/>
      <c r="I877" s="4"/>
      <c r="J877" s="4"/>
      <c r="K877" s="4"/>
      <c r="L877" s="53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76"/>
      <c r="F878" s="53"/>
      <c r="G878" s="4"/>
      <c r="H878" s="4"/>
      <c r="I878" s="4"/>
      <c r="J878" s="4"/>
      <c r="K878" s="4"/>
      <c r="L878" s="53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76"/>
      <c r="F879" s="53"/>
      <c r="G879" s="4"/>
      <c r="H879" s="4"/>
      <c r="I879" s="4"/>
      <c r="J879" s="4"/>
      <c r="K879" s="4"/>
      <c r="L879" s="53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76"/>
      <c r="F880" s="53"/>
      <c r="G880" s="4"/>
      <c r="H880" s="4"/>
      <c r="I880" s="4"/>
      <c r="J880" s="4"/>
      <c r="K880" s="4"/>
      <c r="L880" s="53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76"/>
      <c r="F881" s="53"/>
      <c r="G881" s="4"/>
      <c r="H881" s="4"/>
      <c r="I881" s="4"/>
      <c r="J881" s="4"/>
      <c r="K881" s="4"/>
      <c r="L881" s="53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76"/>
      <c r="F882" s="53"/>
      <c r="G882" s="4"/>
      <c r="H882" s="4"/>
      <c r="I882" s="4"/>
      <c r="J882" s="4"/>
      <c r="K882" s="4"/>
      <c r="L882" s="53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76"/>
      <c r="F883" s="53"/>
      <c r="G883" s="4"/>
      <c r="H883" s="4"/>
      <c r="I883" s="4"/>
      <c r="J883" s="4"/>
      <c r="K883" s="4"/>
      <c r="L883" s="53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76"/>
      <c r="F884" s="53"/>
      <c r="G884" s="4"/>
      <c r="H884" s="4"/>
      <c r="I884" s="4"/>
      <c r="J884" s="4"/>
      <c r="K884" s="4"/>
      <c r="L884" s="53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76"/>
      <c r="F885" s="53"/>
      <c r="G885" s="4"/>
      <c r="H885" s="4"/>
      <c r="I885" s="4"/>
      <c r="J885" s="4"/>
      <c r="K885" s="4"/>
      <c r="L885" s="53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76"/>
      <c r="F886" s="53"/>
      <c r="G886" s="4"/>
      <c r="H886" s="4"/>
      <c r="I886" s="4"/>
      <c r="J886" s="4"/>
      <c r="K886" s="4"/>
      <c r="L886" s="53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76"/>
      <c r="F887" s="53"/>
      <c r="G887" s="4"/>
      <c r="H887" s="4"/>
      <c r="I887" s="4"/>
      <c r="J887" s="4"/>
      <c r="K887" s="4"/>
      <c r="L887" s="53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76"/>
      <c r="F888" s="53"/>
      <c r="G888" s="4"/>
      <c r="H888" s="4"/>
      <c r="I888" s="4"/>
      <c r="J888" s="4"/>
      <c r="K888" s="4"/>
      <c r="L888" s="53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76"/>
      <c r="F889" s="53"/>
      <c r="G889" s="4"/>
      <c r="H889" s="4"/>
      <c r="I889" s="4"/>
      <c r="J889" s="4"/>
      <c r="K889" s="4"/>
      <c r="L889" s="53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76"/>
      <c r="F890" s="53"/>
      <c r="G890" s="4"/>
      <c r="H890" s="4"/>
      <c r="I890" s="4"/>
      <c r="J890" s="4"/>
      <c r="K890" s="4"/>
      <c r="L890" s="53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76"/>
      <c r="F891" s="53"/>
      <c r="G891" s="4"/>
      <c r="H891" s="4"/>
      <c r="I891" s="4"/>
      <c r="J891" s="4"/>
      <c r="K891" s="4"/>
      <c r="L891" s="53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76"/>
      <c r="F892" s="53"/>
      <c r="G892" s="4"/>
      <c r="H892" s="4"/>
      <c r="I892" s="4"/>
      <c r="J892" s="4"/>
      <c r="K892" s="4"/>
      <c r="L892" s="53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76"/>
      <c r="F893" s="53"/>
      <c r="G893" s="4"/>
      <c r="H893" s="4"/>
      <c r="I893" s="4"/>
      <c r="J893" s="4"/>
      <c r="K893" s="4"/>
      <c r="L893" s="53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76"/>
      <c r="F894" s="53"/>
      <c r="G894" s="4"/>
      <c r="H894" s="4"/>
      <c r="I894" s="4"/>
      <c r="J894" s="4"/>
      <c r="K894" s="4"/>
      <c r="L894" s="53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76"/>
      <c r="F895" s="53"/>
      <c r="G895" s="4"/>
      <c r="H895" s="4"/>
      <c r="I895" s="4"/>
      <c r="J895" s="4"/>
      <c r="K895" s="4"/>
      <c r="L895" s="53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76"/>
      <c r="F896" s="53"/>
      <c r="G896" s="4"/>
      <c r="H896" s="4"/>
      <c r="I896" s="4"/>
      <c r="J896" s="4"/>
      <c r="K896" s="4"/>
      <c r="L896" s="53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76"/>
      <c r="F897" s="53"/>
      <c r="G897" s="4"/>
      <c r="H897" s="4"/>
      <c r="I897" s="4"/>
      <c r="J897" s="4"/>
      <c r="K897" s="4"/>
      <c r="L897" s="53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76"/>
      <c r="F898" s="53"/>
      <c r="G898" s="4"/>
      <c r="H898" s="4"/>
      <c r="I898" s="4"/>
      <c r="J898" s="4"/>
      <c r="K898" s="4"/>
      <c r="L898" s="53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76"/>
      <c r="F899" s="53"/>
      <c r="G899" s="4"/>
      <c r="H899" s="4"/>
      <c r="I899" s="4"/>
      <c r="J899" s="4"/>
      <c r="K899" s="4"/>
      <c r="L899" s="53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76"/>
      <c r="F900" s="53"/>
      <c r="G900" s="4"/>
      <c r="H900" s="4"/>
      <c r="I900" s="4"/>
      <c r="J900" s="4"/>
      <c r="K900" s="4"/>
      <c r="L900" s="53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76"/>
      <c r="F901" s="53"/>
      <c r="G901" s="4"/>
      <c r="H901" s="4"/>
      <c r="I901" s="4"/>
      <c r="J901" s="4"/>
      <c r="K901" s="4"/>
      <c r="L901" s="53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76"/>
      <c r="F902" s="53"/>
      <c r="G902" s="4"/>
      <c r="H902" s="4"/>
      <c r="I902" s="4"/>
      <c r="J902" s="4"/>
      <c r="K902" s="4"/>
      <c r="L902" s="53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76"/>
      <c r="F903" s="53"/>
      <c r="G903" s="4"/>
      <c r="H903" s="4"/>
      <c r="I903" s="4"/>
      <c r="J903" s="4"/>
      <c r="K903" s="4"/>
      <c r="L903" s="53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76"/>
      <c r="F904" s="53"/>
      <c r="G904" s="4"/>
      <c r="H904" s="4"/>
      <c r="I904" s="4"/>
      <c r="J904" s="4"/>
      <c r="K904" s="4"/>
      <c r="L904" s="53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76"/>
      <c r="F905" s="53"/>
      <c r="G905" s="4"/>
      <c r="H905" s="4"/>
      <c r="I905" s="4"/>
      <c r="J905" s="4"/>
      <c r="K905" s="4"/>
      <c r="L905" s="53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76"/>
      <c r="F906" s="53"/>
      <c r="G906" s="4"/>
      <c r="H906" s="4"/>
      <c r="I906" s="4"/>
      <c r="J906" s="4"/>
      <c r="K906" s="4"/>
      <c r="L906" s="53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76"/>
      <c r="F907" s="53"/>
      <c r="G907" s="4"/>
      <c r="H907" s="4"/>
      <c r="I907" s="4"/>
      <c r="J907" s="4"/>
      <c r="K907" s="4"/>
      <c r="L907" s="53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76"/>
      <c r="F908" s="53"/>
      <c r="G908" s="4"/>
      <c r="H908" s="4"/>
      <c r="I908" s="4"/>
      <c r="J908" s="4"/>
      <c r="K908" s="4"/>
      <c r="L908" s="53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76"/>
      <c r="F909" s="53"/>
      <c r="G909" s="4"/>
      <c r="H909" s="4"/>
      <c r="I909" s="4"/>
      <c r="J909" s="4"/>
      <c r="K909" s="4"/>
      <c r="L909" s="53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76"/>
      <c r="F910" s="53"/>
      <c r="G910" s="4"/>
      <c r="H910" s="4"/>
      <c r="I910" s="4"/>
      <c r="J910" s="4"/>
      <c r="K910" s="4"/>
      <c r="L910" s="53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76"/>
      <c r="F911" s="53"/>
      <c r="G911" s="4"/>
      <c r="H911" s="4"/>
      <c r="I911" s="4"/>
      <c r="J911" s="4"/>
      <c r="K911" s="4"/>
      <c r="L911" s="53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76"/>
      <c r="F912" s="53"/>
      <c r="G912" s="4"/>
      <c r="H912" s="4"/>
      <c r="I912" s="4"/>
      <c r="J912" s="4"/>
      <c r="K912" s="4"/>
      <c r="L912" s="53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76"/>
      <c r="F913" s="53"/>
      <c r="G913" s="4"/>
      <c r="H913" s="4"/>
      <c r="I913" s="4"/>
      <c r="J913" s="4"/>
      <c r="K913" s="4"/>
      <c r="L913" s="53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76"/>
      <c r="F914" s="53"/>
      <c r="G914" s="4"/>
      <c r="H914" s="4"/>
      <c r="I914" s="4"/>
      <c r="J914" s="4"/>
      <c r="K914" s="4"/>
      <c r="L914" s="53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76"/>
      <c r="F915" s="53"/>
      <c r="G915" s="4"/>
      <c r="H915" s="4"/>
      <c r="I915" s="4"/>
      <c r="J915" s="4"/>
      <c r="K915" s="4"/>
      <c r="L915" s="53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76"/>
      <c r="F916" s="53"/>
      <c r="G916" s="4"/>
      <c r="H916" s="4"/>
      <c r="I916" s="4"/>
      <c r="J916" s="4"/>
      <c r="K916" s="4"/>
      <c r="L916" s="53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76"/>
      <c r="F917" s="53"/>
      <c r="G917" s="4"/>
      <c r="H917" s="4"/>
      <c r="I917" s="4"/>
      <c r="J917" s="4"/>
      <c r="K917" s="4"/>
      <c r="L917" s="53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76"/>
      <c r="F918" s="53"/>
      <c r="G918" s="4"/>
      <c r="H918" s="4"/>
      <c r="I918" s="4"/>
      <c r="J918" s="4"/>
      <c r="K918" s="4"/>
      <c r="L918" s="53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76"/>
      <c r="F919" s="53"/>
      <c r="G919" s="4"/>
      <c r="H919" s="4"/>
      <c r="I919" s="4"/>
      <c r="J919" s="4"/>
      <c r="K919" s="4"/>
      <c r="L919" s="53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76"/>
      <c r="F920" s="53"/>
      <c r="G920" s="4"/>
      <c r="H920" s="4"/>
      <c r="I920" s="4"/>
      <c r="J920" s="4"/>
      <c r="K920" s="4"/>
      <c r="L920" s="53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76"/>
      <c r="F921" s="53"/>
      <c r="G921" s="4"/>
      <c r="H921" s="4"/>
      <c r="I921" s="4"/>
      <c r="J921" s="4"/>
      <c r="K921" s="4"/>
      <c r="L921" s="53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76"/>
      <c r="F922" s="53"/>
      <c r="G922" s="4"/>
      <c r="H922" s="4"/>
      <c r="I922" s="4"/>
      <c r="J922" s="4"/>
      <c r="K922" s="4"/>
      <c r="L922" s="53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76"/>
      <c r="F923" s="53"/>
      <c r="G923" s="4"/>
      <c r="H923" s="4"/>
      <c r="I923" s="4"/>
      <c r="J923" s="4"/>
      <c r="K923" s="4"/>
      <c r="L923" s="53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76"/>
      <c r="F924" s="53"/>
      <c r="G924" s="4"/>
      <c r="H924" s="4"/>
      <c r="I924" s="4"/>
      <c r="J924" s="4"/>
      <c r="K924" s="4"/>
      <c r="L924" s="53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76"/>
      <c r="F925" s="53"/>
      <c r="G925" s="4"/>
      <c r="H925" s="4"/>
      <c r="I925" s="4"/>
      <c r="J925" s="4"/>
      <c r="K925" s="4"/>
      <c r="L925" s="53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76"/>
      <c r="F926" s="53"/>
      <c r="G926" s="4"/>
      <c r="H926" s="4"/>
      <c r="I926" s="4"/>
      <c r="J926" s="4"/>
      <c r="K926" s="4"/>
      <c r="L926" s="53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76"/>
      <c r="F927" s="53"/>
      <c r="G927" s="4"/>
      <c r="H927" s="4"/>
      <c r="I927" s="4"/>
      <c r="J927" s="4"/>
      <c r="K927" s="4"/>
      <c r="L927" s="53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76"/>
      <c r="F928" s="53"/>
      <c r="G928" s="4"/>
      <c r="H928" s="4"/>
      <c r="I928" s="4"/>
      <c r="J928" s="4"/>
      <c r="K928" s="4"/>
      <c r="L928" s="53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76"/>
      <c r="F929" s="53"/>
      <c r="G929" s="4"/>
      <c r="H929" s="4"/>
      <c r="I929" s="4"/>
      <c r="J929" s="4"/>
      <c r="K929" s="4"/>
      <c r="L929" s="53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76"/>
      <c r="F930" s="53"/>
      <c r="G930" s="4"/>
      <c r="H930" s="4"/>
      <c r="I930" s="4"/>
      <c r="J930" s="4"/>
      <c r="K930" s="4"/>
      <c r="L930" s="53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76"/>
      <c r="F931" s="53"/>
      <c r="G931" s="4"/>
      <c r="H931" s="4"/>
      <c r="I931" s="4"/>
      <c r="J931" s="4"/>
      <c r="K931" s="4"/>
      <c r="L931" s="53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76"/>
      <c r="F932" s="53"/>
      <c r="G932" s="4"/>
      <c r="H932" s="4"/>
      <c r="I932" s="4"/>
      <c r="J932" s="4"/>
      <c r="K932" s="4"/>
      <c r="L932" s="53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76"/>
      <c r="F933" s="53"/>
      <c r="G933" s="4"/>
      <c r="H933" s="4"/>
      <c r="I933" s="4"/>
      <c r="J933" s="4"/>
      <c r="K933" s="4"/>
      <c r="L933" s="53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76"/>
      <c r="F934" s="53"/>
      <c r="G934" s="4"/>
      <c r="H934" s="4"/>
      <c r="I934" s="4"/>
      <c r="J934" s="4"/>
      <c r="K934" s="4"/>
      <c r="L934" s="53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76"/>
      <c r="F935" s="53"/>
      <c r="G935" s="4"/>
      <c r="H935" s="4"/>
      <c r="I935" s="4"/>
      <c r="J935" s="4"/>
      <c r="K935" s="4"/>
      <c r="L935" s="53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76"/>
      <c r="F936" s="53"/>
      <c r="G936" s="4"/>
      <c r="H936" s="4"/>
      <c r="I936" s="4"/>
      <c r="J936" s="4"/>
      <c r="K936" s="4"/>
      <c r="L936" s="53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76"/>
      <c r="F937" s="53"/>
      <c r="G937" s="4"/>
      <c r="H937" s="4"/>
      <c r="I937" s="4"/>
      <c r="J937" s="4"/>
      <c r="K937" s="4"/>
      <c r="L937" s="53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76"/>
      <c r="F938" s="53"/>
      <c r="G938" s="4"/>
      <c r="H938" s="4"/>
      <c r="I938" s="4"/>
      <c r="J938" s="4"/>
      <c r="K938" s="4"/>
      <c r="L938" s="53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76"/>
      <c r="F939" s="53"/>
      <c r="G939" s="4"/>
      <c r="H939" s="4"/>
      <c r="I939" s="4"/>
      <c r="J939" s="4"/>
      <c r="K939" s="4"/>
      <c r="L939" s="53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76"/>
      <c r="F940" s="53"/>
      <c r="G940" s="4"/>
      <c r="H940" s="4"/>
      <c r="I940" s="4"/>
      <c r="J940" s="4"/>
      <c r="K940" s="4"/>
      <c r="L940" s="53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76"/>
      <c r="F941" s="53"/>
      <c r="G941" s="4"/>
      <c r="H941" s="4"/>
      <c r="I941" s="4"/>
      <c r="J941" s="4"/>
      <c r="K941" s="4"/>
      <c r="L941" s="53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76"/>
      <c r="F942" s="53"/>
      <c r="G942" s="4"/>
      <c r="H942" s="4"/>
      <c r="I942" s="4"/>
      <c r="J942" s="4"/>
      <c r="K942" s="4"/>
      <c r="L942" s="53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76"/>
      <c r="F943" s="53"/>
      <c r="G943" s="4"/>
      <c r="H943" s="4"/>
      <c r="I943" s="4"/>
      <c r="J943" s="4"/>
      <c r="K943" s="4"/>
      <c r="L943" s="53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76"/>
      <c r="F944" s="53"/>
      <c r="G944" s="4"/>
      <c r="H944" s="4"/>
      <c r="I944" s="4"/>
      <c r="J944" s="4"/>
      <c r="K944" s="4"/>
      <c r="L944" s="53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76"/>
      <c r="F945" s="53"/>
      <c r="G945" s="4"/>
      <c r="H945" s="4"/>
      <c r="I945" s="4"/>
      <c r="J945" s="4"/>
      <c r="K945" s="4"/>
      <c r="L945" s="53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76"/>
      <c r="F946" s="53"/>
      <c r="G946" s="4"/>
      <c r="H946" s="4"/>
      <c r="I946" s="4"/>
      <c r="J946" s="4"/>
      <c r="K946" s="4"/>
      <c r="L946" s="53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76"/>
      <c r="F947" s="53"/>
      <c r="G947" s="4"/>
      <c r="H947" s="4"/>
      <c r="I947" s="4"/>
      <c r="J947" s="4"/>
      <c r="K947" s="4"/>
      <c r="L947" s="53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76"/>
      <c r="F948" s="53"/>
      <c r="G948" s="4"/>
      <c r="H948" s="4"/>
      <c r="I948" s="4"/>
      <c r="J948" s="4"/>
      <c r="K948" s="4"/>
      <c r="L948" s="53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76"/>
      <c r="F949" s="53"/>
      <c r="G949" s="4"/>
      <c r="H949" s="4"/>
      <c r="I949" s="4"/>
      <c r="J949" s="4"/>
      <c r="K949" s="4"/>
      <c r="L949" s="53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76"/>
      <c r="F950" s="53"/>
      <c r="G950" s="4"/>
      <c r="H950" s="4"/>
      <c r="I950" s="4"/>
      <c r="J950" s="4"/>
      <c r="K950" s="4"/>
      <c r="L950" s="53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76"/>
      <c r="F951" s="53"/>
      <c r="G951" s="4"/>
      <c r="H951" s="4"/>
      <c r="I951" s="4"/>
      <c r="J951" s="4"/>
      <c r="K951" s="4"/>
      <c r="L951" s="53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76"/>
      <c r="F952" s="53"/>
      <c r="G952" s="4"/>
      <c r="H952" s="4"/>
      <c r="I952" s="4"/>
      <c r="J952" s="4"/>
      <c r="K952" s="4"/>
      <c r="L952" s="53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76"/>
      <c r="F953" s="53"/>
      <c r="G953" s="4"/>
      <c r="H953" s="4"/>
      <c r="I953" s="4"/>
      <c r="J953" s="4"/>
      <c r="K953" s="4"/>
      <c r="L953" s="53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76"/>
      <c r="F954" s="53"/>
      <c r="G954" s="4"/>
      <c r="H954" s="4"/>
      <c r="I954" s="4"/>
      <c r="J954" s="4"/>
      <c r="K954" s="4"/>
      <c r="L954" s="53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76"/>
      <c r="F955" s="53"/>
      <c r="G955" s="4"/>
      <c r="H955" s="4"/>
      <c r="I955" s="4"/>
      <c r="J955" s="4"/>
      <c r="K955" s="4"/>
      <c r="L955" s="53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76"/>
      <c r="F956" s="53"/>
      <c r="G956" s="4"/>
      <c r="H956" s="4"/>
      <c r="I956" s="4"/>
      <c r="J956" s="4"/>
      <c r="K956" s="4"/>
      <c r="L956" s="53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76"/>
      <c r="F957" s="53"/>
      <c r="G957" s="4"/>
      <c r="H957" s="4"/>
      <c r="I957" s="4"/>
      <c r="J957" s="4"/>
      <c r="K957" s="4"/>
      <c r="L957" s="53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76"/>
      <c r="F958" s="53"/>
      <c r="G958" s="4"/>
      <c r="H958" s="4"/>
      <c r="I958" s="4"/>
      <c r="J958" s="4"/>
      <c r="K958" s="4"/>
      <c r="L958" s="53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76"/>
      <c r="F959" s="53"/>
      <c r="G959" s="4"/>
      <c r="H959" s="4"/>
      <c r="I959" s="4"/>
      <c r="J959" s="4"/>
      <c r="K959" s="4"/>
      <c r="L959" s="53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76"/>
      <c r="F960" s="53"/>
      <c r="G960" s="4"/>
      <c r="H960" s="4"/>
      <c r="I960" s="4"/>
      <c r="J960" s="4"/>
      <c r="K960" s="4"/>
      <c r="L960" s="53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76"/>
      <c r="F961" s="53"/>
      <c r="G961" s="4"/>
      <c r="H961" s="4"/>
      <c r="I961" s="4"/>
      <c r="J961" s="4"/>
      <c r="K961" s="4"/>
      <c r="L961" s="53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76"/>
      <c r="F962" s="53"/>
      <c r="G962" s="4"/>
      <c r="H962" s="4"/>
      <c r="I962" s="4"/>
      <c r="J962" s="4"/>
      <c r="K962" s="4"/>
      <c r="L962" s="53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76"/>
      <c r="F963" s="53"/>
      <c r="G963" s="4"/>
      <c r="H963" s="4"/>
      <c r="I963" s="4"/>
      <c r="J963" s="4"/>
      <c r="K963" s="4"/>
      <c r="L963" s="53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76"/>
      <c r="F964" s="53"/>
      <c r="G964" s="4"/>
      <c r="H964" s="4"/>
      <c r="I964" s="4"/>
      <c r="J964" s="4"/>
      <c r="K964" s="4"/>
      <c r="L964" s="53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76"/>
      <c r="F965" s="53"/>
      <c r="G965" s="4"/>
      <c r="H965" s="4"/>
      <c r="I965" s="4"/>
      <c r="J965" s="4"/>
      <c r="K965" s="4"/>
      <c r="L965" s="53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76"/>
      <c r="F966" s="53"/>
      <c r="G966" s="4"/>
      <c r="H966" s="4"/>
      <c r="I966" s="4"/>
      <c r="J966" s="4"/>
      <c r="K966" s="4"/>
      <c r="L966" s="53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76"/>
      <c r="F967" s="53"/>
      <c r="G967" s="4"/>
      <c r="H967" s="4"/>
      <c r="I967" s="4"/>
      <c r="J967" s="4"/>
      <c r="K967" s="4"/>
      <c r="L967" s="53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76"/>
      <c r="F968" s="53"/>
      <c r="G968" s="4"/>
      <c r="H968" s="4"/>
      <c r="I968" s="4"/>
      <c r="J968" s="4"/>
      <c r="K968" s="4"/>
      <c r="L968" s="53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76"/>
      <c r="F969" s="53"/>
      <c r="G969" s="4"/>
      <c r="H969" s="4"/>
      <c r="I969" s="4"/>
      <c r="J969" s="4"/>
      <c r="K969" s="4"/>
      <c r="L969" s="53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76"/>
      <c r="F970" s="53"/>
      <c r="G970" s="4"/>
      <c r="H970" s="4"/>
      <c r="I970" s="4"/>
      <c r="J970" s="4"/>
      <c r="K970" s="4"/>
      <c r="L970" s="53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76"/>
      <c r="F971" s="53"/>
      <c r="G971" s="4"/>
      <c r="H971" s="4"/>
      <c r="I971" s="4"/>
      <c r="J971" s="4"/>
      <c r="K971" s="4"/>
      <c r="L971" s="53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76"/>
      <c r="F972" s="53"/>
      <c r="G972" s="4"/>
      <c r="H972" s="4"/>
      <c r="I972" s="4"/>
      <c r="J972" s="4"/>
      <c r="K972" s="4"/>
      <c r="L972" s="53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76"/>
      <c r="F973" s="53"/>
      <c r="G973" s="4"/>
      <c r="H973" s="4"/>
      <c r="I973" s="4"/>
      <c r="J973" s="4"/>
      <c r="K973" s="4"/>
      <c r="L973" s="53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76"/>
      <c r="F974" s="53"/>
      <c r="G974" s="4"/>
      <c r="H974" s="4"/>
      <c r="I974" s="4"/>
      <c r="J974" s="4"/>
      <c r="K974" s="4"/>
      <c r="L974" s="53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76"/>
      <c r="F975" s="53"/>
      <c r="G975" s="4"/>
      <c r="H975" s="4"/>
      <c r="I975" s="4"/>
      <c r="J975" s="4"/>
      <c r="K975" s="4"/>
      <c r="L975" s="53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76"/>
      <c r="F976" s="53"/>
      <c r="G976" s="4"/>
      <c r="H976" s="4"/>
      <c r="I976" s="4"/>
      <c r="J976" s="4"/>
      <c r="K976" s="4"/>
      <c r="L976" s="53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76"/>
      <c r="F977" s="53"/>
      <c r="G977" s="4"/>
      <c r="H977" s="4"/>
      <c r="I977" s="4"/>
      <c r="J977" s="4"/>
      <c r="K977" s="4"/>
      <c r="L977" s="53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76"/>
      <c r="F978" s="53"/>
      <c r="G978" s="4"/>
      <c r="H978" s="4"/>
      <c r="I978" s="4"/>
      <c r="J978" s="4"/>
      <c r="K978" s="4"/>
      <c r="L978" s="53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76"/>
      <c r="F979" s="53"/>
      <c r="G979" s="4"/>
      <c r="H979" s="4"/>
      <c r="I979" s="4"/>
      <c r="J979" s="4"/>
      <c r="K979" s="4"/>
      <c r="L979" s="53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76"/>
      <c r="F980" s="53"/>
      <c r="G980" s="4"/>
      <c r="H980" s="4"/>
      <c r="I980" s="4"/>
      <c r="J980" s="4"/>
      <c r="K980" s="4"/>
      <c r="L980" s="53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76"/>
      <c r="F981" s="53"/>
      <c r="G981" s="4"/>
      <c r="H981" s="4"/>
      <c r="I981" s="4"/>
      <c r="J981" s="4"/>
      <c r="K981" s="4"/>
      <c r="L981" s="53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76"/>
      <c r="F982" s="53"/>
      <c r="G982" s="4"/>
      <c r="H982" s="4"/>
      <c r="I982" s="4"/>
      <c r="J982" s="4"/>
      <c r="K982" s="4"/>
      <c r="L982" s="53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76"/>
      <c r="F983" s="53"/>
      <c r="G983" s="4"/>
      <c r="H983" s="4"/>
      <c r="I983" s="4"/>
      <c r="J983" s="4"/>
      <c r="K983" s="4"/>
      <c r="L983" s="53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76"/>
      <c r="F984" s="53"/>
      <c r="G984" s="4"/>
      <c r="H984" s="4"/>
      <c r="I984" s="4"/>
      <c r="J984" s="4"/>
      <c r="K984" s="4"/>
      <c r="L984" s="53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76"/>
      <c r="F985" s="53"/>
      <c r="G985" s="4"/>
      <c r="H985" s="4"/>
      <c r="I985" s="4"/>
      <c r="J985" s="4"/>
      <c r="K985" s="4"/>
      <c r="L985" s="53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76"/>
      <c r="F986" s="53"/>
      <c r="G986" s="4"/>
      <c r="H986" s="4"/>
      <c r="I986" s="4"/>
      <c r="J986" s="4"/>
      <c r="K986" s="4"/>
      <c r="L986" s="53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76"/>
      <c r="F987" s="53"/>
      <c r="G987" s="4"/>
      <c r="H987" s="4"/>
      <c r="I987" s="4"/>
      <c r="J987" s="4"/>
      <c r="K987" s="4"/>
      <c r="L987" s="53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76"/>
      <c r="F988" s="53"/>
      <c r="G988" s="4"/>
      <c r="H988" s="4"/>
      <c r="I988" s="4"/>
      <c r="J988" s="4"/>
      <c r="K988" s="4"/>
      <c r="L988" s="53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76"/>
      <c r="F989" s="53"/>
      <c r="G989" s="4"/>
      <c r="H989" s="4"/>
      <c r="I989" s="4"/>
      <c r="J989" s="4"/>
      <c r="K989" s="4"/>
      <c r="L989" s="53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76"/>
      <c r="F990" s="53"/>
      <c r="G990" s="4"/>
      <c r="H990" s="4"/>
      <c r="I990" s="4"/>
      <c r="J990" s="4"/>
      <c r="K990" s="4"/>
      <c r="L990" s="53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76"/>
      <c r="F991" s="53"/>
      <c r="G991" s="4"/>
      <c r="H991" s="4"/>
      <c r="I991" s="4"/>
      <c r="J991" s="4"/>
      <c r="K991" s="4"/>
      <c r="L991" s="53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76"/>
      <c r="F992" s="53"/>
      <c r="G992" s="4"/>
      <c r="H992" s="4"/>
      <c r="I992" s="4"/>
      <c r="J992" s="4"/>
      <c r="K992" s="4"/>
      <c r="L992" s="53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76"/>
      <c r="F993" s="53"/>
      <c r="G993" s="4"/>
      <c r="H993" s="4"/>
      <c r="I993" s="4"/>
      <c r="J993" s="4"/>
      <c r="K993" s="4"/>
      <c r="L993" s="53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76"/>
      <c r="F994" s="53"/>
      <c r="G994" s="4"/>
      <c r="H994" s="4"/>
      <c r="I994" s="4"/>
      <c r="J994" s="4"/>
      <c r="K994" s="4"/>
      <c r="L994" s="53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76"/>
      <c r="F995" s="53"/>
      <c r="G995" s="4"/>
      <c r="H995" s="4"/>
      <c r="I995" s="4"/>
      <c r="J995" s="4"/>
      <c r="K995" s="4"/>
      <c r="L995" s="53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76"/>
      <c r="F996" s="53"/>
      <c r="G996" s="4"/>
      <c r="H996" s="4"/>
      <c r="I996" s="4"/>
      <c r="J996" s="4"/>
      <c r="K996" s="4"/>
      <c r="L996" s="53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76"/>
      <c r="F997" s="53"/>
      <c r="G997" s="4"/>
      <c r="H997" s="4"/>
      <c r="I997" s="4"/>
      <c r="J997" s="4"/>
      <c r="K997" s="4"/>
      <c r="L997" s="53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76"/>
      <c r="F998" s="53"/>
      <c r="G998" s="4"/>
      <c r="H998" s="4"/>
      <c r="I998" s="4"/>
      <c r="J998" s="4"/>
      <c r="K998" s="4"/>
      <c r="L998" s="53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76"/>
      <c r="F999" s="53"/>
      <c r="G999" s="4"/>
      <c r="H999" s="4"/>
      <c r="I999" s="4"/>
      <c r="J999" s="4"/>
      <c r="K999" s="4"/>
      <c r="L999" s="53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76"/>
      <c r="F1000" s="53"/>
      <c r="G1000" s="4"/>
      <c r="H1000" s="4"/>
      <c r="I1000" s="4"/>
      <c r="J1000" s="4"/>
      <c r="K1000" s="4"/>
      <c r="L1000" s="53"/>
      <c r="P1000" s="4"/>
      <c r="Q1000" s="4"/>
      <c r="R1000" s="4"/>
      <c r="S1000" s="4"/>
      <c r="T1000" s="4"/>
      <c r="U1000" s="4"/>
      <c r="V1000" s="4"/>
    </row>
  </sheetData>
  <mergeCells count="2">
    <mergeCell ref="A1:H1"/>
    <mergeCell ref="A2:H2"/>
  </mergeCells>
  <conditionalFormatting sqref="D5:D25 D28:D39">
    <cfRule type="containsBlanks" dxfId="0" priority="1">
      <formula>LEN(TRIM(D5))=0</formula>
    </cfRule>
  </conditionalFormatting>
  <conditionalFormatting sqref="F5:F25 F28:F39">
    <cfRule type="cellIs" dxfId="1" priority="2" operator="equal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11.13"/>
    <col customWidth="1" min="3" max="3" width="14.5"/>
    <col customWidth="1" min="4" max="4" width="8.63"/>
    <col customWidth="1" min="5" max="5" width="14.63"/>
    <col customWidth="1" min="6" max="6" width="7.5"/>
    <col customWidth="1" min="7" max="7" width="5.13"/>
    <col customWidth="1" min="8" max="8" width="13.25"/>
    <col customWidth="1" min="9" max="9" width="15.25"/>
    <col customWidth="1" min="10" max="10" width="8.63"/>
    <col customWidth="1" min="11" max="11" width="14.63"/>
    <col customWidth="1" min="12" max="12" width="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P1" s="4"/>
      <c r="Q1" s="4"/>
      <c r="R1" s="4"/>
      <c r="S1" s="4"/>
      <c r="T1" s="4"/>
      <c r="U1" s="4"/>
      <c r="V1" s="4"/>
    </row>
    <row r="2">
      <c r="A2" s="5" t="s">
        <v>59</v>
      </c>
      <c r="P2" s="4"/>
      <c r="Q2" s="4"/>
      <c r="R2" s="4"/>
      <c r="S2" s="4"/>
      <c r="T2" s="4"/>
      <c r="U2" s="4"/>
      <c r="V2" s="4"/>
    </row>
    <row r="3">
      <c r="A3" s="8" t="s">
        <v>4</v>
      </c>
      <c r="B3" s="10"/>
      <c r="C3" s="10"/>
      <c r="D3" s="10"/>
      <c r="E3" s="10"/>
      <c r="F3" s="10"/>
      <c r="G3" s="10"/>
      <c r="H3" s="13"/>
      <c r="P3" s="4"/>
      <c r="Q3" s="4"/>
      <c r="R3" s="4"/>
      <c r="S3" s="4"/>
      <c r="T3" s="4"/>
      <c r="U3" s="4"/>
      <c r="V3" s="4"/>
    </row>
    <row r="4">
      <c r="A4" s="15" t="s">
        <v>6</v>
      </c>
      <c r="B4" s="17" t="s">
        <v>7</v>
      </c>
      <c r="C4" s="19" t="s">
        <v>8</v>
      </c>
      <c r="D4" s="21" t="s">
        <v>9</v>
      </c>
      <c r="E4" s="23" t="s">
        <v>10</v>
      </c>
      <c r="F4" s="24" t="s">
        <v>11</v>
      </c>
      <c r="H4" s="26" t="s">
        <v>12</v>
      </c>
      <c r="P4" s="4"/>
      <c r="Q4" s="4"/>
      <c r="R4" s="4"/>
      <c r="S4" s="4"/>
      <c r="T4" s="4"/>
      <c r="U4" s="4"/>
      <c r="V4" s="4"/>
    </row>
    <row r="5">
      <c r="A5" s="29" t="s">
        <v>13</v>
      </c>
      <c r="B5" s="30" t="s">
        <v>14</v>
      </c>
      <c r="C5" s="32">
        <v>46171.99930555555</v>
      </c>
      <c r="D5" s="33" t="s">
        <v>15</v>
      </c>
      <c r="E5" s="32">
        <f t="shared" ref="E5:E25" si="1">IF(D5&lt;&gt;"",IF(E5="",NOW(),E5),"")</f>
        <v>46170.3274</v>
      </c>
      <c r="F5" s="37">
        <f t="shared" ref="F5:F25" si="2">if(D5 = "", 0,IF(E5&lt;C5,0.5,0))</f>
        <v>0.5</v>
      </c>
      <c r="H5" s="38">
        <f t="shared" ref="H5:H25" si="3">if(D5 &lt;&gt; "", ABS(E5-C5), "0")</f>
        <v>1.671902083</v>
      </c>
      <c r="P5" s="4"/>
      <c r="Q5" s="4"/>
      <c r="R5" s="4"/>
      <c r="S5" s="4"/>
      <c r="T5" s="4"/>
      <c r="U5" s="4"/>
      <c r="V5" s="4"/>
    </row>
    <row r="6">
      <c r="A6" s="39" t="s">
        <v>16</v>
      </c>
      <c r="B6" s="30" t="s">
        <v>14</v>
      </c>
      <c r="C6" s="32">
        <v>46171.99930555555</v>
      </c>
      <c r="D6" s="33" t="s">
        <v>15</v>
      </c>
      <c r="E6" s="32">
        <f t="shared" si="1"/>
        <v>46170.32743</v>
      </c>
      <c r="F6" s="37">
        <f t="shared" si="2"/>
        <v>0.5</v>
      </c>
      <c r="H6" s="38">
        <f t="shared" si="3"/>
        <v>1.671875035</v>
      </c>
      <c r="P6" s="4"/>
      <c r="Q6" s="4"/>
      <c r="R6" s="4"/>
      <c r="S6" s="4"/>
      <c r="T6" s="4"/>
      <c r="U6" s="4"/>
      <c r="V6" s="4"/>
    </row>
    <row r="7">
      <c r="A7" s="39" t="s">
        <v>17</v>
      </c>
      <c r="B7" s="30" t="s">
        <v>18</v>
      </c>
      <c r="C7" s="32">
        <v>46143.99930555555</v>
      </c>
      <c r="D7" s="33" t="s">
        <v>15</v>
      </c>
      <c r="E7" s="32">
        <f t="shared" si="1"/>
        <v>46143.20848</v>
      </c>
      <c r="F7" s="37">
        <f t="shared" si="2"/>
        <v>0.5</v>
      </c>
      <c r="H7" s="38">
        <f t="shared" si="3"/>
        <v>0.7908290972</v>
      </c>
      <c r="P7" s="4"/>
      <c r="Q7" s="4"/>
      <c r="R7" s="4"/>
      <c r="S7" s="4"/>
      <c r="T7" s="4"/>
      <c r="U7" s="4"/>
      <c r="V7" s="4"/>
    </row>
    <row r="8">
      <c r="A8" s="39" t="s">
        <v>19</v>
      </c>
      <c r="B8" s="30" t="s">
        <v>20</v>
      </c>
      <c r="C8" s="32">
        <v>46143.99930555555</v>
      </c>
      <c r="D8" s="33" t="s">
        <v>21</v>
      </c>
      <c r="E8" s="32">
        <f t="shared" si="1"/>
        <v>46144.24505</v>
      </c>
      <c r="F8" s="37">
        <f t="shared" si="2"/>
        <v>0</v>
      </c>
      <c r="H8" s="38">
        <f t="shared" si="3"/>
        <v>0.2457425694</v>
      </c>
      <c r="P8" s="4"/>
      <c r="Q8" s="4"/>
      <c r="R8" s="4"/>
      <c r="S8" s="4"/>
      <c r="T8" s="4"/>
      <c r="U8" s="4"/>
      <c r="V8" s="4"/>
    </row>
    <row r="9">
      <c r="A9" s="39" t="s">
        <v>22</v>
      </c>
      <c r="B9" s="30" t="s">
        <v>23</v>
      </c>
      <c r="C9" s="32">
        <v>46147.99930555555</v>
      </c>
      <c r="D9" s="33" t="s">
        <v>21</v>
      </c>
      <c r="E9" s="32">
        <f t="shared" si="1"/>
        <v>46146.01225</v>
      </c>
      <c r="F9" s="37">
        <f t="shared" si="2"/>
        <v>0.5</v>
      </c>
      <c r="H9" s="38">
        <f t="shared" si="3"/>
        <v>1.987057535</v>
      </c>
      <c r="P9" s="4"/>
      <c r="Q9" s="4"/>
      <c r="R9" s="4"/>
      <c r="S9" s="4"/>
      <c r="T9" s="4"/>
      <c r="U9" s="4"/>
      <c r="V9" s="4"/>
    </row>
    <row r="10">
      <c r="A10" s="39" t="s">
        <v>24</v>
      </c>
      <c r="B10" s="30" t="s">
        <v>23</v>
      </c>
      <c r="C10" s="32">
        <v>46147.99930555555</v>
      </c>
      <c r="D10" s="33" t="s">
        <v>21</v>
      </c>
      <c r="E10" s="32">
        <f t="shared" si="1"/>
        <v>46146.01225</v>
      </c>
      <c r="F10" s="37">
        <f t="shared" si="2"/>
        <v>0.5</v>
      </c>
      <c r="H10" s="38">
        <f t="shared" si="3"/>
        <v>1.987053137</v>
      </c>
      <c r="P10" s="4"/>
      <c r="Q10" s="4"/>
      <c r="R10" s="4"/>
      <c r="S10" s="4"/>
      <c r="T10" s="4"/>
      <c r="U10" s="4"/>
      <c r="V10" s="4"/>
    </row>
    <row r="11">
      <c r="A11" s="39" t="s">
        <v>25</v>
      </c>
      <c r="B11" s="30" t="s">
        <v>14</v>
      </c>
      <c r="C11" s="32">
        <v>46150.99930555555</v>
      </c>
      <c r="D11" s="33" t="s">
        <v>15</v>
      </c>
      <c r="E11" s="32">
        <f t="shared" si="1"/>
        <v>46149.30902</v>
      </c>
      <c r="F11" s="37">
        <f t="shared" si="2"/>
        <v>0.5</v>
      </c>
      <c r="H11" s="38">
        <f t="shared" si="3"/>
        <v>1.690281539</v>
      </c>
      <c r="P11" s="4"/>
      <c r="Q11" s="4"/>
      <c r="R11" s="4"/>
      <c r="S11" s="4"/>
      <c r="T11" s="4"/>
      <c r="U11" s="4"/>
      <c r="V11" s="4"/>
    </row>
    <row r="12">
      <c r="A12" s="49" t="s">
        <v>26</v>
      </c>
      <c r="B12" s="30" t="s">
        <v>14</v>
      </c>
      <c r="C12" s="32">
        <v>46150.99930555555</v>
      </c>
      <c r="D12" s="33" t="s">
        <v>15</v>
      </c>
      <c r="E12" s="32">
        <f t="shared" si="1"/>
        <v>46149.3091</v>
      </c>
      <c r="F12" s="37">
        <f t="shared" si="2"/>
        <v>0.5</v>
      </c>
      <c r="H12" s="38">
        <f t="shared" si="3"/>
        <v>1.690207604</v>
      </c>
      <c r="P12" s="4"/>
      <c r="Q12" s="4"/>
      <c r="R12" s="4"/>
      <c r="S12" s="4"/>
      <c r="T12" s="4"/>
      <c r="U12" s="4"/>
      <c r="V12" s="4"/>
    </row>
    <row r="13">
      <c r="A13" s="49" t="s">
        <v>27</v>
      </c>
      <c r="B13" s="30" t="s">
        <v>23</v>
      </c>
      <c r="C13" s="32">
        <v>46150.99930555555</v>
      </c>
      <c r="D13" s="33" t="s">
        <v>21</v>
      </c>
      <c r="E13" s="32">
        <f t="shared" si="1"/>
        <v>46149.168</v>
      </c>
      <c r="F13" s="37">
        <f t="shared" si="2"/>
        <v>0.5</v>
      </c>
      <c r="H13" s="38">
        <f t="shared" si="3"/>
        <v>1.831305336</v>
      </c>
      <c r="P13" s="4"/>
      <c r="Q13" s="4"/>
      <c r="R13" s="4"/>
      <c r="S13" s="4"/>
      <c r="T13" s="4"/>
      <c r="U13" s="4"/>
      <c r="V13" s="4"/>
    </row>
    <row r="14">
      <c r="A14" s="49" t="s">
        <v>29</v>
      </c>
      <c r="B14" s="30" t="s">
        <v>30</v>
      </c>
      <c r="C14" s="32">
        <v>46154.99930555555</v>
      </c>
      <c r="D14" s="33" t="s">
        <v>21</v>
      </c>
      <c r="E14" s="32">
        <f t="shared" si="1"/>
        <v>46156.11687</v>
      </c>
      <c r="F14" s="37">
        <f t="shared" si="2"/>
        <v>0</v>
      </c>
      <c r="H14" s="38">
        <f t="shared" si="3"/>
        <v>1.117566157</v>
      </c>
      <c r="P14" s="4"/>
      <c r="Q14" s="4"/>
      <c r="R14" s="4"/>
      <c r="S14" s="4"/>
      <c r="T14" s="4"/>
      <c r="U14" s="4"/>
      <c r="V14" s="4"/>
    </row>
    <row r="15">
      <c r="A15" s="49" t="s">
        <v>32</v>
      </c>
      <c r="B15" s="30" t="s">
        <v>20</v>
      </c>
      <c r="C15" s="32">
        <v>46154.99930555555</v>
      </c>
      <c r="D15" s="33" t="s">
        <v>21</v>
      </c>
      <c r="E15" s="32">
        <f t="shared" si="1"/>
        <v>46155.03737</v>
      </c>
      <c r="F15" s="37">
        <f t="shared" si="2"/>
        <v>0</v>
      </c>
      <c r="H15" s="38">
        <f t="shared" si="3"/>
        <v>0.03806063658</v>
      </c>
      <c r="K15" s="50"/>
      <c r="P15" s="4"/>
      <c r="Q15" s="4"/>
      <c r="R15" s="4"/>
      <c r="S15" s="4"/>
      <c r="T15" s="4"/>
      <c r="U15" s="4"/>
      <c r="V15" s="4"/>
    </row>
    <row r="16">
      <c r="A16" s="49" t="s">
        <v>33</v>
      </c>
      <c r="B16" s="30" t="s">
        <v>20</v>
      </c>
      <c r="C16" s="32">
        <v>46157.99930555555</v>
      </c>
      <c r="D16" s="33" t="s">
        <v>21</v>
      </c>
      <c r="E16" s="32">
        <f t="shared" si="1"/>
        <v>46156.43655</v>
      </c>
      <c r="F16" s="37">
        <f t="shared" si="2"/>
        <v>0.5</v>
      </c>
      <c r="H16" s="38">
        <f t="shared" si="3"/>
        <v>1.562754178</v>
      </c>
      <c r="K16" s="50"/>
      <c r="P16" s="4"/>
      <c r="Q16" s="4"/>
      <c r="R16" s="4"/>
      <c r="S16" s="4"/>
      <c r="T16" s="4"/>
      <c r="U16" s="4"/>
      <c r="V16" s="4"/>
    </row>
    <row r="17">
      <c r="A17" s="49" t="s">
        <v>34</v>
      </c>
      <c r="B17" s="30" t="s">
        <v>30</v>
      </c>
      <c r="C17" s="32">
        <v>46157.99930555555</v>
      </c>
      <c r="D17" s="33" t="s">
        <v>21</v>
      </c>
      <c r="E17" s="32">
        <f t="shared" si="1"/>
        <v>46156.11693</v>
      </c>
      <c r="F17" s="37">
        <f t="shared" si="2"/>
        <v>0.5</v>
      </c>
      <c r="G17" s="4"/>
      <c r="H17" s="38">
        <f t="shared" si="3"/>
        <v>1.882372766</v>
      </c>
      <c r="I17" s="70"/>
      <c r="J17" s="4"/>
      <c r="K17" s="50">
        <v>1.0</v>
      </c>
      <c r="L17" s="53"/>
      <c r="P17" s="4"/>
      <c r="Q17" s="4"/>
      <c r="R17" s="4"/>
      <c r="S17" s="4"/>
      <c r="T17" s="4"/>
      <c r="U17" s="4"/>
      <c r="V17" s="4"/>
    </row>
    <row r="18">
      <c r="A18" s="49" t="s">
        <v>35</v>
      </c>
      <c r="B18" s="30" t="s">
        <v>14</v>
      </c>
      <c r="C18" s="32">
        <v>46157.99930555555</v>
      </c>
      <c r="D18" s="33" t="s">
        <v>15</v>
      </c>
      <c r="E18" s="32">
        <f t="shared" si="1"/>
        <v>46157.30209</v>
      </c>
      <c r="F18" s="37">
        <f t="shared" si="2"/>
        <v>0.5</v>
      </c>
      <c r="G18" s="4"/>
      <c r="H18" s="38">
        <f t="shared" si="3"/>
        <v>0.6972152662</v>
      </c>
      <c r="I18" s="4"/>
      <c r="J18" s="70"/>
      <c r="K18" s="81">
        <v>1.0</v>
      </c>
      <c r="L18" s="53"/>
      <c r="P18" s="4"/>
      <c r="Q18" s="4"/>
      <c r="R18" s="4"/>
      <c r="S18" s="4"/>
      <c r="T18" s="4"/>
      <c r="U18" s="4"/>
      <c r="V18" s="4"/>
    </row>
    <row r="19">
      <c r="A19" s="49" t="s">
        <v>36</v>
      </c>
      <c r="B19" s="30" t="s">
        <v>37</v>
      </c>
      <c r="C19" s="32">
        <v>46157.99930555555</v>
      </c>
      <c r="D19" s="82" t="s">
        <v>49</v>
      </c>
      <c r="E19" s="32">
        <f t="shared" si="1"/>
        <v>46156.30201</v>
      </c>
      <c r="F19" s="37">
        <f t="shared" si="2"/>
        <v>0.5</v>
      </c>
      <c r="G19" s="4"/>
      <c r="H19" s="38">
        <f t="shared" si="3"/>
        <v>1.697296088</v>
      </c>
      <c r="I19" s="70"/>
      <c r="J19" s="4"/>
      <c r="K19" s="70">
        <v>0.0</v>
      </c>
      <c r="L19" s="53"/>
      <c r="P19" s="4"/>
      <c r="Q19" s="4"/>
      <c r="R19" s="4"/>
      <c r="S19" s="4"/>
      <c r="T19" s="4"/>
      <c r="U19" s="4"/>
      <c r="V19" s="4"/>
    </row>
    <row r="20">
      <c r="A20" s="49" t="s">
        <v>38</v>
      </c>
      <c r="B20" s="30" t="s">
        <v>30</v>
      </c>
      <c r="C20" s="32">
        <v>46163.99930555555</v>
      </c>
      <c r="D20" s="33" t="s">
        <v>21</v>
      </c>
      <c r="E20" s="32">
        <f t="shared" si="1"/>
        <v>46161.26076</v>
      </c>
      <c r="F20" s="37">
        <f t="shared" si="2"/>
        <v>0.5</v>
      </c>
      <c r="G20" s="4"/>
      <c r="H20" s="38">
        <f t="shared" si="3"/>
        <v>2.738542581</v>
      </c>
      <c r="I20" s="70"/>
      <c r="J20" s="4"/>
      <c r="K20" s="70">
        <v>0.0</v>
      </c>
      <c r="L20" s="53"/>
      <c r="P20" s="4"/>
      <c r="Q20" s="4"/>
      <c r="R20" s="4"/>
      <c r="S20" s="4"/>
      <c r="T20" s="4"/>
      <c r="U20" s="4"/>
      <c r="V20" s="4"/>
    </row>
    <row r="21">
      <c r="A21" s="49" t="s">
        <v>39</v>
      </c>
      <c r="B21" s="30" t="s">
        <v>18</v>
      </c>
      <c r="C21" s="32">
        <v>46163.99930555555</v>
      </c>
      <c r="D21" s="33" t="s">
        <v>15</v>
      </c>
      <c r="E21" s="32">
        <f t="shared" si="1"/>
        <v>46162.33288</v>
      </c>
      <c r="F21" s="37">
        <f t="shared" si="2"/>
        <v>0.5</v>
      </c>
      <c r="G21" s="4"/>
      <c r="H21" s="38">
        <f t="shared" si="3"/>
        <v>1.666426863</v>
      </c>
      <c r="I21" s="4"/>
      <c r="J21" s="4"/>
      <c r="K21" s="83"/>
      <c r="L21" s="72"/>
      <c r="P21" s="4"/>
      <c r="Q21" s="4"/>
      <c r="R21" s="4"/>
      <c r="S21" s="4"/>
      <c r="T21" s="4"/>
      <c r="U21" s="4"/>
      <c r="V21" s="4"/>
    </row>
    <row r="22">
      <c r="A22" s="49" t="s">
        <v>40</v>
      </c>
      <c r="B22" s="30" t="s">
        <v>37</v>
      </c>
      <c r="C22" s="32">
        <v>46164.99930555555</v>
      </c>
      <c r="D22" s="33" t="s">
        <v>21</v>
      </c>
      <c r="E22" s="32">
        <f t="shared" si="1"/>
        <v>46164.30633</v>
      </c>
      <c r="F22" s="37">
        <f t="shared" si="2"/>
        <v>0.5</v>
      </c>
      <c r="G22" s="4"/>
      <c r="H22" s="38">
        <f t="shared" si="3"/>
        <v>0.6929765509</v>
      </c>
      <c r="I22" s="4"/>
      <c r="J22" s="4"/>
      <c r="K22" s="4"/>
      <c r="L22" s="53"/>
      <c r="P22" s="4"/>
      <c r="Q22" s="4"/>
      <c r="R22" s="4"/>
      <c r="S22" s="4"/>
      <c r="T22" s="4"/>
      <c r="U22" s="4"/>
      <c r="V22" s="4"/>
    </row>
    <row r="23">
      <c r="A23" s="49" t="s">
        <v>41</v>
      </c>
      <c r="B23" s="30" t="s">
        <v>18</v>
      </c>
      <c r="C23" s="32">
        <v>46164.99930555555</v>
      </c>
      <c r="D23" s="33" t="s">
        <v>15</v>
      </c>
      <c r="E23" s="32">
        <f t="shared" si="1"/>
        <v>46164.32221</v>
      </c>
      <c r="F23" s="37">
        <f t="shared" si="2"/>
        <v>0.5</v>
      </c>
      <c r="G23" s="4"/>
      <c r="H23" s="38">
        <f t="shared" si="3"/>
        <v>0.6770935648</v>
      </c>
      <c r="I23" s="4"/>
      <c r="J23" s="4"/>
      <c r="K23" s="4"/>
      <c r="L23" s="53"/>
      <c r="P23" s="4"/>
      <c r="Q23" s="4"/>
      <c r="R23" s="4"/>
      <c r="S23" s="4"/>
      <c r="T23" s="4"/>
      <c r="U23" s="4"/>
      <c r="V23" s="4"/>
    </row>
    <row r="24">
      <c r="A24" s="49" t="s">
        <v>42</v>
      </c>
      <c r="B24" s="30" t="s">
        <v>23</v>
      </c>
      <c r="C24" s="32">
        <v>46168.99930555555</v>
      </c>
      <c r="D24" s="33" t="s">
        <v>21</v>
      </c>
      <c r="E24" s="32">
        <f t="shared" si="1"/>
        <v>46167.29535</v>
      </c>
      <c r="F24" s="37">
        <f t="shared" si="2"/>
        <v>0.5</v>
      </c>
      <c r="G24" s="4"/>
      <c r="H24" s="38">
        <f t="shared" si="3"/>
        <v>1.703954572</v>
      </c>
      <c r="I24" s="4"/>
      <c r="J24" s="4"/>
      <c r="K24" s="83"/>
      <c r="L24" s="72"/>
      <c r="P24" s="4"/>
      <c r="Q24" s="4"/>
      <c r="R24" s="4"/>
      <c r="S24" s="4"/>
      <c r="T24" s="4"/>
      <c r="U24" s="4"/>
      <c r="V24" s="4"/>
    </row>
    <row r="25">
      <c r="A25" s="55" t="s">
        <v>43</v>
      </c>
      <c r="B25" s="30" t="s">
        <v>37</v>
      </c>
      <c r="C25" s="84">
        <v>46168.99930555555</v>
      </c>
      <c r="D25" s="33" t="s">
        <v>21</v>
      </c>
      <c r="E25" s="32">
        <f t="shared" si="1"/>
        <v>46169.29168</v>
      </c>
      <c r="F25" s="57">
        <f t="shared" si="2"/>
        <v>0</v>
      </c>
      <c r="G25" s="4"/>
      <c r="H25" s="58">
        <f t="shared" si="3"/>
        <v>0.2923713542</v>
      </c>
      <c r="I25" s="4"/>
      <c r="J25" s="4"/>
      <c r="K25" s="4"/>
      <c r="L25" s="53"/>
      <c r="P25" s="4"/>
      <c r="Q25" s="4"/>
      <c r="R25" s="4"/>
      <c r="S25" s="4"/>
      <c r="T25" s="4"/>
      <c r="U25" s="4"/>
      <c r="V25" s="4"/>
    </row>
    <row r="26">
      <c r="A26" s="59" t="s">
        <v>44</v>
      </c>
      <c r="B26" s="60"/>
      <c r="C26" s="60"/>
      <c r="D26" s="60"/>
      <c r="E26" s="60"/>
      <c r="F26" s="60"/>
      <c r="G26" s="60"/>
      <c r="H26" s="61"/>
      <c r="I26" s="4"/>
      <c r="J26" s="4"/>
      <c r="K26" s="4"/>
      <c r="L26" s="53"/>
      <c r="P26" s="4"/>
      <c r="Q26" s="4"/>
      <c r="R26" s="4"/>
      <c r="S26" s="4"/>
      <c r="T26" s="4"/>
      <c r="U26" s="4"/>
      <c r="V26" s="4"/>
    </row>
    <row r="27">
      <c r="A27" s="63" t="s">
        <v>6</v>
      </c>
      <c r="B27" s="17" t="s">
        <v>7</v>
      </c>
      <c r="C27" s="64" t="s">
        <v>8</v>
      </c>
      <c r="D27" s="65" t="s">
        <v>9</v>
      </c>
      <c r="E27" s="27" t="s">
        <v>10</v>
      </c>
      <c r="F27" s="28" t="s">
        <v>11</v>
      </c>
      <c r="G27" s="4"/>
      <c r="H27" s="26" t="s">
        <v>12</v>
      </c>
      <c r="K27" s="4"/>
      <c r="L27" s="53"/>
      <c r="P27" s="4"/>
      <c r="Q27" s="4"/>
      <c r="R27" s="4"/>
      <c r="S27" s="4"/>
      <c r="T27" s="4"/>
      <c r="U27" s="4"/>
      <c r="V27" s="4"/>
    </row>
    <row r="28">
      <c r="A28" s="29" t="s">
        <v>45</v>
      </c>
      <c r="B28" s="30" t="s">
        <v>20</v>
      </c>
      <c r="C28" s="32">
        <v>46171.99930555555</v>
      </c>
      <c r="D28" s="33" t="s">
        <v>21</v>
      </c>
      <c r="E28" s="32">
        <f t="shared" ref="E28:E39" si="4">IF(D28&lt;&gt;"",IF(E28="",NOW(),E28),"")</f>
        <v>46171.34133</v>
      </c>
      <c r="F28" s="37">
        <f t="shared" ref="F28:F39" si="5">if(D28 = "", 0,IF(E28&lt;C28,0.5,0))</f>
        <v>0.5</v>
      </c>
      <c r="G28" s="4"/>
      <c r="H28" s="38">
        <f t="shared" ref="H28:H39" si="6">if(D28 &lt;&gt; "", ABS(E28-C28), "0")</f>
        <v>0.6579791667</v>
      </c>
      <c r="K28" s="4"/>
      <c r="L28" s="53"/>
      <c r="P28" s="4"/>
      <c r="Q28" s="4"/>
      <c r="R28" s="4"/>
      <c r="S28" s="4"/>
      <c r="T28" s="4"/>
      <c r="U28" s="4"/>
      <c r="V28" s="4"/>
    </row>
    <row r="29">
      <c r="A29" s="68" t="s">
        <v>46</v>
      </c>
      <c r="B29" s="30" t="s">
        <v>20</v>
      </c>
      <c r="C29" s="32">
        <v>46171.99930555555</v>
      </c>
      <c r="D29" s="33" t="s">
        <v>21</v>
      </c>
      <c r="E29" s="32">
        <f t="shared" si="4"/>
        <v>46171.34136</v>
      </c>
      <c r="F29" s="37">
        <f t="shared" si="5"/>
        <v>0.5</v>
      </c>
      <c r="G29" s="4"/>
      <c r="H29" s="38">
        <f t="shared" si="6"/>
        <v>0.6579498958</v>
      </c>
      <c r="K29" s="4"/>
      <c r="L29" s="53"/>
      <c r="P29" s="4"/>
      <c r="Q29" s="4"/>
      <c r="R29" s="4"/>
      <c r="S29" s="4"/>
      <c r="T29" s="4"/>
      <c r="U29" s="4"/>
      <c r="V29" s="4"/>
    </row>
    <row r="30">
      <c r="A30" s="68" t="s">
        <v>47</v>
      </c>
      <c r="B30" s="30" t="s">
        <v>23</v>
      </c>
      <c r="C30" s="32">
        <v>46143.99930555555</v>
      </c>
      <c r="D30" s="33" t="s">
        <v>21</v>
      </c>
      <c r="E30" s="32">
        <f t="shared" si="4"/>
        <v>46142.40783</v>
      </c>
      <c r="F30" s="37">
        <f t="shared" si="5"/>
        <v>0.5</v>
      </c>
      <c r="G30" s="4"/>
      <c r="H30" s="38">
        <f t="shared" si="6"/>
        <v>1.591479062</v>
      </c>
      <c r="K30" s="4"/>
      <c r="L30" s="53"/>
      <c r="P30" s="4"/>
      <c r="Q30" s="4"/>
      <c r="R30" s="4"/>
      <c r="S30" s="4"/>
      <c r="T30" s="4"/>
      <c r="U30" s="4"/>
      <c r="V30" s="4"/>
    </row>
    <row r="31">
      <c r="A31" s="68" t="s">
        <v>48</v>
      </c>
      <c r="B31" s="30" t="s">
        <v>14</v>
      </c>
      <c r="C31" s="32">
        <v>46147.99930555555</v>
      </c>
      <c r="D31" s="33" t="s">
        <v>15</v>
      </c>
      <c r="E31" s="32">
        <f t="shared" si="4"/>
        <v>46146.16742</v>
      </c>
      <c r="F31" s="37">
        <f t="shared" si="5"/>
        <v>0.5</v>
      </c>
      <c r="G31" s="4"/>
      <c r="H31" s="38">
        <f t="shared" si="6"/>
        <v>1.831888484</v>
      </c>
      <c r="K31" s="4"/>
      <c r="L31" s="53"/>
      <c r="P31" s="4"/>
      <c r="Q31" s="4"/>
      <c r="R31" s="4"/>
      <c r="S31" s="4"/>
      <c r="T31" s="4"/>
      <c r="U31" s="4"/>
      <c r="V31" s="4"/>
    </row>
    <row r="32">
      <c r="A32" s="69" t="s">
        <v>50</v>
      </c>
      <c r="B32" s="30" t="s">
        <v>23</v>
      </c>
      <c r="C32" s="32">
        <v>46150.99930555555</v>
      </c>
      <c r="D32" s="33" t="s">
        <v>15</v>
      </c>
      <c r="E32" s="32">
        <f t="shared" si="4"/>
        <v>46149.16825</v>
      </c>
      <c r="F32" s="37">
        <f t="shared" si="5"/>
        <v>0.5</v>
      </c>
      <c r="G32" s="4"/>
      <c r="H32" s="38">
        <f t="shared" si="6"/>
        <v>1.831060556</v>
      </c>
      <c r="K32" s="4"/>
      <c r="L32" s="53"/>
      <c r="P32" s="4"/>
      <c r="Q32" s="4"/>
      <c r="R32" s="4"/>
      <c r="S32" s="4"/>
      <c r="T32" s="4"/>
      <c r="U32" s="4"/>
      <c r="V32" s="4"/>
    </row>
    <row r="33">
      <c r="A33" s="69" t="s">
        <v>51</v>
      </c>
      <c r="B33" s="30" t="s">
        <v>20</v>
      </c>
      <c r="C33" s="32">
        <v>46154.99930555555</v>
      </c>
      <c r="D33" s="33" t="s">
        <v>21</v>
      </c>
      <c r="E33" s="32">
        <f t="shared" si="4"/>
        <v>46155.03729</v>
      </c>
      <c r="F33" s="37">
        <f t="shared" si="5"/>
        <v>0</v>
      </c>
      <c r="G33" s="4"/>
      <c r="H33" s="38">
        <f t="shared" si="6"/>
        <v>0.03798807871</v>
      </c>
      <c r="K33" s="4"/>
      <c r="L33" s="53"/>
      <c r="P33" s="4"/>
      <c r="Q33" s="4"/>
      <c r="R33" s="4"/>
      <c r="S33" s="4"/>
      <c r="T33" s="4"/>
      <c r="U33" s="4"/>
      <c r="V33" s="4"/>
    </row>
    <row r="34">
      <c r="A34" s="69" t="s">
        <v>52</v>
      </c>
      <c r="B34" s="30" t="s">
        <v>14</v>
      </c>
      <c r="C34" s="32">
        <v>46157.99930555555</v>
      </c>
      <c r="D34" s="33" t="s">
        <v>15</v>
      </c>
      <c r="E34" s="32">
        <f t="shared" si="4"/>
        <v>46157.30215</v>
      </c>
      <c r="F34" s="37">
        <f t="shared" si="5"/>
        <v>0.5</v>
      </c>
      <c r="G34" s="4"/>
      <c r="H34" s="38">
        <f t="shared" si="6"/>
        <v>0.697153912</v>
      </c>
      <c r="I34" s="4"/>
      <c r="J34" s="4"/>
      <c r="K34" s="4"/>
      <c r="L34" s="53"/>
      <c r="P34" s="4"/>
      <c r="Q34" s="4"/>
      <c r="R34" s="4"/>
      <c r="S34" s="4"/>
      <c r="T34" s="4"/>
      <c r="U34" s="4"/>
      <c r="V34" s="4"/>
    </row>
    <row r="35">
      <c r="A35" s="69" t="s">
        <v>53</v>
      </c>
      <c r="B35" s="30" t="s">
        <v>20</v>
      </c>
      <c r="C35" s="32">
        <v>46157.99930555555</v>
      </c>
      <c r="D35" s="33" t="s">
        <v>21</v>
      </c>
      <c r="E35" s="32">
        <f t="shared" si="4"/>
        <v>46156.43667</v>
      </c>
      <c r="F35" s="37">
        <f t="shared" si="5"/>
        <v>0.5</v>
      </c>
      <c r="G35" s="4"/>
      <c r="H35" s="38">
        <f t="shared" si="6"/>
        <v>1.562633032</v>
      </c>
      <c r="I35" s="70"/>
      <c r="J35" s="70"/>
      <c r="K35" s="4"/>
      <c r="L35" s="71"/>
      <c r="P35" s="4"/>
      <c r="Q35" s="4"/>
      <c r="R35" s="4"/>
      <c r="S35" s="4"/>
      <c r="T35" s="4"/>
      <c r="U35" s="4"/>
      <c r="V35" s="4"/>
    </row>
    <row r="36">
      <c r="A36" s="69" t="s">
        <v>54</v>
      </c>
      <c r="B36" s="30" t="s">
        <v>55</v>
      </c>
      <c r="C36" s="32">
        <v>46163.99930555555</v>
      </c>
      <c r="D36" s="33" t="s">
        <v>21</v>
      </c>
      <c r="E36" s="32">
        <f t="shared" si="4"/>
        <v>46164.19737</v>
      </c>
      <c r="F36" s="37">
        <f t="shared" si="5"/>
        <v>0</v>
      </c>
      <c r="G36" s="4"/>
      <c r="H36" s="38">
        <f t="shared" si="6"/>
        <v>0.1980645949</v>
      </c>
      <c r="J36" s="70"/>
      <c r="K36" s="70"/>
      <c r="L36" s="72"/>
      <c r="P36" s="4"/>
      <c r="Q36" s="4"/>
      <c r="R36" s="4"/>
      <c r="S36" s="4"/>
      <c r="T36" s="4"/>
      <c r="U36" s="4"/>
      <c r="V36" s="4"/>
    </row>
    <row r="37">
      <c r="A37" s="69" t="s">
        <v>56</v>
      </c>
      <c r="B37" s="30" t="s">
        <v>55</v>
      </c>
      <c r="C37" s="32">
        <v>46164.99930555555</v>
      </c>
      <c r="D37" s="33" t="s">
        <v>21</v>
      </c>
      <c r="E37" s="32">
        <f t="shared" si="4"/>
        <v>46164.19738</v>
      </c>
      <c r="F37" s="37">
        <f t="shared" si="5"/>
        <v>0.5</v>
      </c>
      <c r="G37" s="4"/>
      <c r="H37" s="38">
        <f t="shared" si="6"/>
        <v>0.8019282523</v>
      </c>
      <c r="J37" s="70"/>
      <c r="K37" s="70"/>
      <c r="L37" s="72"/>
      <c r="P37" s="4"/>
      <c r="Q37" s="4"/>
      <c r="R37" s="4"/>
      <c r="S37" s="4"/>
      <c r="T37" s="4"/>
      <c r="U37" s="4"/>
      <c r="V37" s="4"/>
    </row>
    <row r="38">
      <c r="A38" s="69" t="s">
        <v>57</v>
      </c>
      <c r="B38" s="30" t="s">
        <v>55</v>
      </c>
      <c r="C38" s="32">
        <v>46168.99930555555</v>
      </c>
      <c r="D38" s="33" t="s">
        <v>21</v>
      </c>
      <c r="E38" s="32">
        <f t="shared" si="4"/>
        <v>46168.54842</v>
      </c>
      <c r="F38" s="37">
        <f t="shared" si="5"/>
        <v>0.5</v>
      </c>
      <c r="G38" s="4"/>
      <c r="H38" s="38">
        <f t="shared" si="6"/>
        <v>0.4508869792</v>
      </c>
      <c r="J38" s="70"/>
      <c r="K38" s="70"/>
      <c r="L38" s="72"/>
      <c r="P38" s="4"/>
      <c r="Q38" s="4"/>
      <c r="R38" s="4"/>
      <c r="S38" s="4"/>
      <c r="T38" s="4"/>
      <c r="U38" s="4"/>
      <c r="V38" s="4"/>
    </row>
    <row r="39">
      <c r="A39" s="69" t="s">
        <v>58</v>
      </c>
      <c r="B39" s="30" t="s">
        <v>37</v>
      </c>
      <c r="C39" s="32">
        <v>46168.99930555555</v>
      </c>
      <c r="D39" s="33"/>
      <c r="E39" s="32" t="str">
        <f t="shared" si="4"/>
        <v/>
      </c>
      <c r="F39" s="37">
        <f t="shared" si="5"/>
        <v>0</v>
      </c>
      <c r="G39" s="4"/>
      <c r="H39" s="38" t="str">
        <f t="shared" si="6"/>
        <v>0</v>
      </c>
      <c r="J39" s="70"/>
      <c r="K39" s="70"/>
      <c r="L39" s="72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76"/>
      <c r="F40" s="53"/>
      <c r="G40" s="4"/>
      <c r="H40" s="4"/>
      <c r="J40" s="70"/>
      <c r="K40" s="70"/>
      <c r="L40" s="72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76"/>
      <c r="F41" s="53"/>
      <c r="G41" s="4"/>
      <c r="H41" s="4"/>
      <c r="J41" s="70"/>
      <c r="K41" s="70"/>
      <c r="L41" s="72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76"/>
      <c r="F42" s="53"/>
      <c r="G42" s="4"/>
      <c r="H42" s="4"/>
      <c r="I42" s="4"/>
      <c r="J42" s="4"/>
      <c r="K42" s="4"/>
      <c r="L42" s="53"/>
      <c r="P42" s="4"/>
      <c r="Q42" s="4"/>
      <c r="R42" s="4"/>
      <c r="S42" s="4"/>
      <c r="T42" s="4"/>
      <c r="U42" s="4"/>
      <c r="V42" s="4"/>
    </row>
    <row r="43">
      <c r="C43" s="4"/>
      <c r="D43" s="4"/>
      <c r="E43" s="76"/>
      <c r="F43" s="53"/>
      <c r="G43" s="4"/>
      <c r="H43" s="4"/>
      <c r="I43" s="4"/>
      <c r="J43" s="4"/>
      <c r="K43" s="4"/>
      <c r="L43" s="53"/>
      <c r="P43" s="4"/>
      <c r="Q43" s="4"/>
      <c r="R43" s="4"/>
      <c r="S43" s="4"/>
      <c r="T43" s="4"/>
      <c r="U43" s="4"/>
      <c r="V43" s="4"/>
    </row>
    <row r="44">
      <c r="C44" s="4"/>
      <c r="D44" s="4"/>
      <c r="E44" s="76"/>
      <c r="F44" s="53"/>
      <c r="G44" s="4"/>
      <c r="H44" s="4"/>
      <c r="I44" s="4"/>
      <c r="J44" s="4"/>
      <c r="K44" s="4"/>
      <c r="L44" s="53"/>
      <c r="P44" s="4"/>
      <c r="Q44" s="4"/>
      <c r="R44" s="4"/>
      <c r="S44" s="4"/>
      <c r="T44" s="4"/>
      <c r="U44" s="4"/>
      <c r="V44" s="4"/>
    </row>
    <row r="45">
      <c r="C45" s="4"/>
      <c r="D45" s="4"/>
      <c r="E45" s="76"/>
      <c r="F45" s="53"/>
      <c r="G45" s="4"/>
      <c r="H45" s="4"/>
      <c r="I45" s="4"/>
      <c r="J45" s="4"/>
      <c r="K45" s="4"/>
      <c r="L45" s="53"/>
      <c r="P45" s="4"/>
      <c r="Q45" s="4"/>
      <c r="R45" s="4"/>
      <c r="S45" s="4"/>
      <c r="T45" s="4"/>
      <c r="U45" s="4"/>
      <c r="V45" s="4"/>
    </row>
    <row r="46">
      <c r="C46" s="4"/>
      <c r="D46" s="4"/>
      <c r="E46" s="76"/>
      <c r="F46" s="53"/>
      <c r="G46" s="4"/>
      <c r="H46" s="4"/>
      <c r="I46" s="4"/>
      <c r="J46" s="4"/>
      <c r="K46" s="4"/>
      <c r="L46" s="53"/>
      <c r="P46" s="4"/>
      <c r="Q46" s="4"/>
      <c r="R46" s="4"/>
      <c r="S46" s="4"/>
      <c r="T46" s="4"/>
      <c r="U46" s="4"/>
      <c r="V46" s="4"/>
    </row>
    <row r="47">
      <c r="C47" s="4"/>
      <c r="D47" s="4"/>
      <c r="E47" s="76"/>
      <c r="F47" s="53"/>
      <c r="G47" s="4"/>
      <c r="H47" s="4"/>
      <c r="I47" s="4"/>
      <c r="J47" s="4"/>
      <c r="K47" s="4"/>
      <c r="L47" s="53"/>
      <c r="P47" s="4"/>
      <c r="Q47" s="4"/>
      <c r="R47" s="4"/>
      <c r="S47" s="4"/>
      <c r="T47" s="4"/>
      <c r="U47" s="4"/>
      <c r="V47" s="4"/>
    </row>
    <row r="48">
      <c r="C48" s="4"/>
      <c r="D48" s="4"/>
      <c r="E48" s="76"/>
      <c r="F48" s="53"/>
      <c r="G48" s="4"/>
      <c r="H48" s="4"/>
      <c r="I48" s="4"/>
      <c r="J48" s="4"/>
      <c r="K48" s="4"/>
      <c r="L48" s="53"/>
      <c r="P48" s="4"/>
      <c r="Q48" s="4"/>
      <c r="R48" s="4"/>
      <c r="S48" s="4"/>
      <c r="T48" s="4"/>
      <c r="U48" s="4"/>
      <c r="V48" s="4"/>
    </row>
    <row r="49">
      <c r="C49" s="4"/>
      <c r="D49" s="4"/>
      <c r="E49" s="76"/>
      <c r="F49" s="53"/>
      <c r="G49" s="4"/>
      <c r="H49" s="4"/>
      <c r="I49" s="4"/>
      <c r="J49" s="4"/>
      <c r="K49" s="4"/>
      <c r="L49" s="53"/>
      <c r="P49" s="4"/>
      <c r="Q49" s="4"/>
      <c r="R49" s="4"/>
      <c r="S49" s="4"/>
      <c r="T49" s="4"/>
      <c r="U49" s="4"/>
      <c r="V49" s="4"/>
    </row>
    <row r="50">
      <c r="C50" s="4"/>
      <c r="D50" s="4"/>
      <c r="E50" s="76"/>
      <c r="F50" s="53"/>
      <c r="G50" s="4"/>
      <c r="H50" s="4"/>
      <c r="I50" s="4"/>
      <c r="J50" s="4"/>
      <c r="K50" s="4"/>
      <c r="L50" s="53"/>
      <c r="P50" s="4"/>
      <c r="Q50" s="4"/>
      <c r="R50" s="4"/>
      <c r="S50" s="4"/>
      <c r="T50" s="4"/>
      <c r="U50" s="4"/>
      <c r="V50" s="4"/>
    </row>
    <row r="51">
      <c r="C51" s="4"/>
      <c r="D51" s="4"/>
      <c r="E51" s="76"/>
      <c r="F51" s="53"/>
      <c r="G51" s="4"/>
      <c r="H51" s="4"/>
      <c r="I51" s="4"/>
      <c r="J51" s="4"/>
      <c r="K51" s="4"/>
      <c r="L51" s="53"/>
      <c r="P51" s="4"/>
      <c r="Q51" s="4"/>
      <c r="R51" s="4"/>
      <c r="S51" s="4"/>
      <c r="T51" s="4"/>
      <c r="U51" s="4"/>
      <c r="V51" s="4"/>
    </row>
    <row r="52">
      <c r="C52" s="4"/>
      <c r="D52" s="4"/>
      <c r="E52" s="76"/>
      <c r="F52" s="53"/>
      <c r="G52" s="4"/>
      <c r="H52" s="4"/>
      <c r="I52" s="4"/>
      <c r="J52" s="4"/>
      <c r="K52" s="4"/>
      <c r="L52" s="53"/>
      <c r="P52" s="4"/>
      <c r="Q52" s="4"/>
      <c r="R52" s="4"/>
      <c r="S52" s="4"/>
      <c r="T52" s="4"/>
      <c r="U52" s="4"/>
      <c r="V52" s="4"/>
    </row>
    <row r="53">
      <c r="C53" s="4"/>
      <c r="D53" s="4"/>
      <c r="E53" s="76"/>
      <c r="F53" s="53"/>
      <c r="G53" s="4"/>
      <c r="H53" s="4"/>
      <c r="I53" s="4"/>
      <c r="J53" s="4"/>
      <c r="K53" s="4"/>
      <c r="L53" s="53"/>
      <c r="P53" s="4"/>
      <c r="Q53" s="4"/>
      <c r="R53" s="4"/>
      <c r="S53" s="4"/>
      <c r="T53" s="4"/>
      <c r="U53" s="4"/>
      <c r="V53" s="4"/>
    </row>
    <row r="54">
      <c r="C54" s="4"/>
      <c r="D54" s="4"/>
      <c r="E54" s="76"/>
      <c r="F54" s="53"/>
      <c r="G54" s="4"/>
      <c r="H54" s="4"/>
      <c r="I54" s="4"/>
      <c r="J54" s="4"/>
      <c r="K54" s="4"/>
      <c r="L54" s="53"/>
      <c r="P54" s="4"/>
      <c r="Q54" s="4"/>
      <c r="R54" s="4"/>
      <c r="S54" s="4"/>
      <c r="T54" s="4"/>
      <c r="U54" s="4"/>
      <c r="V54" s="4"/>
    </row>
    <row r="55">
      <c r="C55" s="4"/>
      <c r="D55" s="4"/>
      <c r="E55" s="76"/>
      <c r="F55" s="53"/>
      <c r="G55" s="4"/>
      <c r="H55" s="4"/>
      <c r="I55" s="4"/>
      <c r="J55" s="4"/>
      <c r="K55" s="4"/>
      <c r="L55" s="53"/>
      <c r="P55" s="4"/>
      <c r="Q55" s="4"/>
      <c r="R55" s="4"/>
      <c r="S55" s="4"/>
      <c r="T55" s="4"/>
      <c r="U55" s="4"/>
      <c r="V55" s="4"/>
    </row>
    <row r="56">
      <c r="C56" s="4"/>
      <c r="D56" s="4"/>
      <c r="E56" s="76"/>
      <c r="F56" s="53"/>
      <c r="G56" s="4"/>
      <c r="H56" s="4"/>
      <c r="I56" s="4"/>
      <c r="J56" s="4"/>
      <c r="K56" s="4"/>
      <c r="L56" s="53"/>
      <c r="P56" s="4"/>
      <c r="Q56" s="4"/>
      <c r="R56" s="4"/>
      <c r="S56" s="4"/>
      <c r="T56" s="4"/>
      <c r="U56" s="4"/>
      <c r="V56" s="4"/>
    </row>
    <row r="57">
      <c r="C57" s="4"/>
      <c r="D57" s="4"/>
      <c r="E57" s="76"/>
      <c r="F57" s="53"/>
      <c r="G57" s="4"/>
      <c r="H57" s="4"/>
      <c r="I57" s="4"/>
      <c r="J57" s="4"/>
      <c r="K57" s="4"/>
      <c r="L57" s="53"/>
      <c r="P57" s="4"/>
      <c r="Q57" s="4"/>
      <c r="R57" s="4"/>
      <c r="S57" s="4"/>
      <c r="T57" s="4"/>
      <c r="U57" s="4"/>
      <c r="V57" s="4"/>
    </row>
    <row r="58">
      <c r="C58" s="4"/>
      <c r="D58" s="4"/>
      <c r="E58" s="76"/>
      <c r="F58" s="53"/>
      <c r="G58" s="4"/>
      <c r="H58" s="4"/>
      <c r="I58" s="4"/>
      <c r="J58" s="4"/>
      <c r="K58" s="4"/>
      <c r="L58" s="53"/>
      <c r="P58" s="4"/>
      <c r="Q58" s="4"/>
      <c r="R58" s="4"/>
      <c r="S58" s="4"/>
      <c r="T58" s="4"/>
      <c r="U58" s="4"/>
      <c r="V58" s="4"/>
    </row>
    <row r="59">
      <c r="C59" s="4"/>
      <c r="D59" s="4"/>
      <c r="E59" s="76"/>
      <c r="F59" s="53"/>
      <c r="G59" s="4"/>
      <c r="H59" s="4"/>
      <c r="I59" s="4"/>
      <c r="J59" s="4"/>
      <c r="K59" s="4"/>
      <c r="L59" s="53"/>
      <c r="P59" s="4"/>
      <c r="Q59" s="4"/>
      <c r="R59" s="4"/>
      <c r="S59" s="4"/>
      <c r="T59" s="4"/>
      <c r="U59" s="4"/>
      <c r="V59" s="4"/>
    </row>
    <row r="60">
      <c r="C60" s="4"/>
      <c r="D60" s="4"/>
      <c r="E60" s="76"/>
      <c r="F60" s="53"/>
      <c r="G60" s="4"/>
      <c r="H60" s="4"/>
      <c r="I60" s="4"/>
      <c r="J60" s="4"/>
      <c r="K60" s="4"/>
      <c r="L60" s="53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76"/>
      <c r="F61" s="53"/>
      <c r="G61" s="4"/>
      <c r="H61" s="4"/>
      <c r="I61" s="4"/>
      <c r="J61" s="4"/>
      <c r="K61" s="4"/>
      <c r="L61" s="53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76"/>
      <c r="F62" s="53"/>
      <c r="G62" s="4"/>
      <c r="H62" s="4"/>
      <c r="I62" s="4"/>
      <c r="J62" s="4"/>
      <c r="K62" s="4"/>
      <c r="L62" s="53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76"/>
      <c r="F63" s="53"/>
      <c r="G63" s="4"/>
      <c r="H63" s="4"/>
      <c r="I63" s="4"/>
      <c r="J63" s="4"/>
      <c r="K63" s="4"/>
      <c r="L63" s="53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76"/>
      <c r="F64" s="53"/>
      <c r="G64" s="4"/>
      <c r="H64" s="4"/>
      <c r="I64" s="4"/>
      <c r="J64" s="4"/>
      <c r="K64" s="4"/>
      <c r="L64" s="53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76"/>
      <c r="F65" s="53"/>
      <c r="G65" s="4"/>
      <c r="H65" s="4"/>
      <c r="I65" s="4"/>
      <c r="J65" s="4"/>
      <c r="K65" s="4"/>
      <c r="L65" s="53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76"/>
      <c r="F66" s="53"/>
      <c r="G66" s="4"/>
      <c r="H66" s="4"/>
      <c r="I66" s="4"/>
      <c r="J66" s="4"/>
      <c r="K66" s="4"/>
      <c r="L66" s="53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76"/>
      <c r="F67" s="53"/>
      <c r="G67" s="4"/>
      <c r="H67" s="4"/>
      <c r="I67" s="4"/>
      <c r="J67" s="4"/>
      <c r="K67" s="4"/>
      <c r="L67" s="53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76"/>
      <c r="F68" s="53"/>
      <c r="G68" s="4"/>
      <c r="H68" s="4"/>
      <c r="I68" s="4"/>
      <c r="J68" s="4"/>
      <c r="K68" s="4"/>
      <c r="L68" s="53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76"/>
      <c r="F69" s="53"/>
      <c r="G69" s="4"/>
      <c r="H69" s="4"/>
      <c r="I69" s="4"/>
      <c r="J69" s="4"/>
      <c r="K69" s="4"/>
      <c r="L69" s="53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76"/>
      <c r="F70" s="53"/>
      <c r="G70" s="4"/>
      <c r="H70" s="4"/>
      <c r="I70" s="4"/>
      <c r="J70" s="4"/>
      <c r="K70" s="4"/>
      <c r="L70" s="53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76"/>
      <c r="F71" s="53"/>
      <c r="G71" s="4"/>
      <c r="H71" s="4"/>
      <c r="I71" s="4"/>
      <c r="J71" s="4"/>
      <c r="K71" s="4"/>
      <c r="L71" s="53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76"/>
      <c r="F72" s="53"/>
      <c r="G72" s="4"/>
      <c r="H72" s="4"/>
      <c r="I72" s="4"/>
      <c r="J72" s="4"/>
      <c r="K72" s="4"/>
      <c r="L72" s="53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76"/>
      <c r="F73" s="53"/>
      <c r="G73" s="4"/>
      <c r="H73" s="4"/>
      <c r="I73" s="4"/>
      <c r="J73" s="4"/>
      <c r="K73" s="4"/>
      <c r="L73" s="53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76"/>
      <c r="F74" s="53"/>
      <c r="G74" s="4"/>
      <c r="H74" s="4"/>
      <c r="I74" s="4"/>
      <c r="J74" s="4"/>
      <c r="K74" s="4"/>
      <c r="L74" s="53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76"/>
      <c r="F75" s="53"/>
      <c r="G75" s="4"/>
      <c r="H75" s="4"/>
      <c r="I75" s="4"/>
      <c r="J75" s="4"/>
      <c r="K75" s="4"/>
      <c r="L75" s="53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76"/>
      <c r="F76" s="53"/>
      <c r="G76" s="4"/>
      <c r="H76" s="4"/>
      <c r="I76" s="4"/>
      <c r="J76" s="4"/>
      <c r="K76" s="4"/>
      <c r="L76" s="53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76"/>
      <c r="F77" s="53"/>
      <c r="G77" s="4"/>
      <c r="H77" s="4"/>
      <c r="I77" s="4"/>
      <c r="J77" s="4"/>
      <c r="K77" s="4"/>
      <c r="L77" s="53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76"/>
      <c r="F78" s="53"/>
      <c r="G78" s="4"/>
      <c r="H78" s="4"/>
      <c r="I78" s="4"/>
      <c r="J78" s="4"/>
      <c r="K78" s="4"/>
      <c r="L78" s="53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76"/>
      <c r="F79" s="53"/>
      <c r="G79" s="4"/>
      <c r="H79" s="4"/>
      <c r="I79" s="4"/>
      <c r="J79" s="4"/>
      <c r="K79" s="4"/>
      <c r="L79" s="53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76"/>
      <c r="F80" s="53"/>
      <c r="G80" s="4"/>
      <c r="H80" s="4"/>
      <c r="I80" s="4"/>
      <c r="J80" s="4"/>
      <c r="K80" s="4"/>
      <c r="L80" s="53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76"/>
      <c r="F81" s="53"/>
      <c r="G81" s="4"/>
      <c r="H81" s="4"/>
      <c r="I81" s="4"/>
      <c r="J81" s="4"/>
      <c r="K81" s="4"/>
      <c r="L81" s="53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76"/>
      <c r="F82" s="53"/>
      <c r="G82" s="4"/>
      <c r="H82" s="4"/>
      <c r="I82" s="4"/>
      <c r="J82" s="4"/>
      <c r="K82" s="4"/>
      <c r="L82" s="53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76"/>
      <c r="F83" s="53"/>
      <c r="G83" s="4"/>
      <c r="H83" s="4"/>
      <c r="I83" s="4"/>
      <c r="J83" s="4"/>
      <c r="K83" s="4"/>
      <c r="L83" s="53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76"/>
      <c r="F84" s="53"/>
      <c r="G84" s="4"/>
      <c r="H84" s="4"/>
      <c r="I84" s="4"/>
      <c r="J84" s="4"/>
      <c r="K84" s="4"/>
      <c r="L84" s="53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76"/>
      <c r="F85" s="53"/>
      <c r="G85" s="4"/>
      <c r="H85" s="4"/>
      <c r="I85" s="4"/>
      <c r="J85" s="4"/>
      <c r="K85" s="4"/>
      <c r="L85" s="53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76"/>
      <c r="F86" s="53"/>
      <c r="G86" s="4"/>
      <c r="H86" s="4"/>
      <c r="I86" s="4"/>
      <c r="J86" s="4"/>
      <c r="K86" s="4"/>
      <c r="L86" s="53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76"/>
      <c r="F87" s="53"/>
      <c r="G87" s="4"/>
      <c r="H87" s="4"/>
      <c r="I87" s="4"/>
      <c r="J87" s="4"/>
      <c r="K87" s="4"/>
      <c r="L87" s="53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76"/>
      <c r="F88" s="53"/>
      <c r="G88" s="4"/>
      <c r="H88" s="4"/>
      <c r="I88" s="4"/>
      <c r="J88" s="4"/>
      <c r="K88" s="4"/>
      <c r="L88" s="53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76"/>
      <c r="F89" s="53"/>
      <c r="G89" s="4"/>
      <c r="H89" s="4"/>
      <c r="I89" s="4"/>
      <c r="J89" s="4"/>
      <c r="K89" s="4"/>
      <c r="L89" s="53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76"/>
      <c r="F90" s="53"/>
      <c r="G90" s="4"/>
      <c r="H90" s="4"/>
      <c r="I90" s="4"/>
      <c r="J90" s="4"/>
      <c r="K90" s="4"/>
      <c r="L90" s="53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76"/>
      <c r="F91" s="53"/>
      <c r="G91" s="4"/>
      <c r="H91" s="4"/>
      <c r="I91" s="4"/>
      <c r="J91" s="4"/>
      <c r="K91" s="4"/>
      <c r="L91" s="53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76"/>
      <c r="F92" s="53"/>
      <c r="G92" s="4"/>
      <c r="H92" s="4"/>
      <c r="I92" s="4"/>
      <c r="J92" s="4"/>
      <c r="K92" s="4"/>
      <c r="L92" s="53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76"/>
      <c r="F93" s="53"/>
      <c r="G93" s="4"/>
      <c r="H93" s="4"/>
      <c r="I93" s="4"/>
      <c r="J93" s="4"/>
      <c r="K93" s="4"/>
      <c r="L93" s="53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76"/>
      <c r="F94" s="53"/>
      <c r="G94" s="4"/>
      <c r="H94" s="4"/>
      <c r="I94" s="4"/>
      <c r="J94" s="4"/>
      <c r="K94" s="4"/>
      <c r="L94" s="53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76"/>
      <c r="F95" s="53"/>
      <c r="G95" s="4"/>
      <c r="H95" s="4"/>
      <c r="I95" s="4"/>
      <c r="J95" s="4"/>
      <c r="K95" s="4"/>
      <c r="L95" s="53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76"/>
      <c r="F96" s="53"/>
      <c r="G96" s="4"/>
      <c r="H96" s="4"/>
      <c r="I96" s="4"/>
      <c r="J96" s="4"/>
      <c r="K96" s="4"/>
      <c r="L96" s="53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76"/>
      <c r="F97" s="53"/>
      <c r="G97" s="4"/>
      <c r="H97" s="4"/>
      <c r="I97" s="4"/>
      <c r="J97" s="4"/>
      <c r="K97" s="4"/>
      <c r="L97" s="53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76"/>
      <c r="F98" s="53"/>
      <c r="G98" s="4"/>
      <c r="H98" s="4"/>
      <c r="I98" s="4"/>
      <c r="J98" s="4"/>
      <c r="K98" s="4"/>
      <c r="L98" s="53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76"/>
      <c r="F99" s="53"/>
      <c r="G99" s="4"/>
      <c r="H99" s="4"/>
      <c r="I99" s="4"/>
      <c r="J99" s="4"/>
      <c r="K99" s="4"/>
      <c r="L99" s="53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76"/>
      <c r="F100" s="53"/>
      <c r="G100" s="4"/>
      <c r="H100" s="4"/>
      <c r="I100" s="4"/>
      <c r="J100" s="4"/>
      <c r="K100" s="4"/>
      <c r="L100" s="53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76"/>
      <c r="F101" s="53"/>
      <c r="G101" s="4"/>
      <c r="H101" s="4"/>
      <c r="I101" s="4"/>
      <c r="J101" s="4"/>
      <c r="K101" s="4"/>
      <c r="L101" s="53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76"/>
      <c r="F102" s="53"/>
      <c r="G102" s="4"/>
      <c r="H102" s="4"/>
      <c r="I102" s="4"/>
      <c r="J102" s="4"/>
      <c r="K102" s="4"/>
      <c r="L102" s="53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76"/>
      <c r="F103" s="53"/>
      <c r="G103" s="4"/>
      <c r="H103" s="4"/>
      <c r="I103" s="4"/>
      <c r="J103" s="4"/>
      <c r="K103" s="4"/>
      <c r="L103" s="53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76"/>
      <c r="F104" s="53"/>
      <c r="G104" s="4"/>
      <c r="H104" s="4"/>
      <c r="I104" s="4"/>
      <c r="J104" s="4"/>
      <c r="K104" s="4"/>
      <c r="L104" s="53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76"/>
      <c r="F105" s="53"/>
      <c r="G105" s="4"/>
      <c r="H105" s="4"/>
      <c r="I105" s="4"/>
      <c r="J105" s="4"/>
      <c r="K105" s="4"/>
      <c r="L105" s="53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76"/>
      <c r="F106" s="53"/>
      <c r="G106" s="4"/>
      <c r="H106" s="4"/>
      <c r="I106" s="4"/>
      <c r="J106" s="4"/>
      <c r="K106" s="4"/>
      <c r="L106" s="53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76"/>
      <c r="F107" s="53"/>
      <c r="G107" s="4"/>
      <c r="H107" s="4"/>
      <c r="I107" s="4"/>
      <c r="J107" s="4"/>
      <c r="K107" s="4"/>
      <c r="L107" s="53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76"/>
      <c r="F108" s="53"/>
      <c r="G108" s="4"/>
      <c r="H108" s="4"/>
      <c r="I108" s="4"/>
      <c r="J108" s="4"/>
      <c r="K108" s="4"/>
      <c r="L108" s="53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76"/>
      <c r="F109" s="53"/>
      <c r="G109" s="4"/>
      <c r="H109" s="4"/>
      <c r="I109" s="4"/>
      <c r="J109" s="4"/>
      <c r="K109" s="4"/>
      <c r="L109" s="53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76"/>
      <c r="F110" s="53"/>
      <c r="G110" s="4"/>
      <c r="H110" s="4"/>
      <c r="I110" s="4"/>
      <c r="J110" s="4"/>
      <c r="K110" s="4"/>
      <c r="L110" s="53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76"/>
      <c r="F111" s="53"/>
      <c r="G111" s="4"/>
      <c r="H111" s="4"/>
      <c r="I111" s="4"/>
      <c r="J111" s="4"/>
      <c r="K111" s="4"/>
      <c r="L111" s="53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76"/>
      <c r="F112" s="53"/>
      <c r="G112" s="4"/>
      <c r="H112" s="4"/>
      <c r="I112" s="4"/>
      <c r="J112" s="4"/>
      <c r="K112" s="4"/>
      <c r="L112" s="53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76"/>
      <c r="F113" s="53"/>
      <c r="G113" s="4"/>
      <c r="H113" s="4"/>
      <c r="I113" s="4"/>
      <c r="J113" s="4"/>
      <c r="K113" s="4"/>
      <c r="L113" s="53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76"/>
      <c r="F114" s="53"/>
      <c r="G114" s="4"/>
      <c r="H114" s="4"/>
      <c r="I114" s="4"/>
      <c r="J114" s="4"/>
      <c r="K114" s="4"/>
      <c r="L114" s="53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76"/>
      <c r="F115" s="53"/>
      <c r="G115" s="4"/>
      <c r="H115" s="4"/>
      <c r="I115" s="4"/>
      <c r="J115" s="4"/>
      <c r="K115" s="4"/>
      <c r="L115" s="53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76"/>
      <c r="F116" s="53"/>
      <c r="G116" s="4"/>
      <c r="H116" s="4"/>
      <c r="I116" s="4"/>
      <c r="J116" s="4"/>
      <c r="K116" s="4"/>
      <c r="L116" s="53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76"/>
      <c r="F117" s="53"/>
      <c r="G117" s="4"/>
      <c r="H117" s="4"/>
      <c r="I117" s="4"/>
      <c r="J117" s="4"/>
      <c r="K117" s="4"/>
      <c r="L117" s="53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76"/>
      <c r="F118" s="53"/>
      <c r="G118" s="4"/>
      <c r="H118" s="4"/>
      <c r="I118" s="4"/>
      <c r="J118" s="4"/>
      <c r="K118" s="4"/>
      <c r="L118" s="53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76"/>
      <c r="F119" s="53"/>
      <c r="G119" s="4"/>
      <c r="H119" s="4"/>
      <c r="I119" s="4"/>
      <c r="J119" s="4"/>
      <c r="K119" s="4"/>
      <c r="L119" s="53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76"/>
      <c r="F120" s="53"/>
      <c r="G120" s="4"/>
      <c r="H120" s="4"/>
      <c r="I120" s="4"/>
      <c r="J120" s="4"/>
      <c r="K120" s="4"/>
      <c r="L120" s="53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76"/>
      <c r="F121" s="53"/>
      <c r="G121" s="4"/>
      <c r="H121" s="4"/>
      <c r="I121" s="4"/>
      <c r="J121" s="4"/>
      <c r="K121" s="4"/>
      <c r="L121" s="53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76"/>
      <c r="F122" s="53"/>
      <c r="G122" s="4"/>
      <c r="H122" s="4"/>
      <c r="I122" s="4"/>
      <c r="J122" s="4"/>
      <c r="K122" s="4"/>
      <c r="L122" s="53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76"/>
      <c r="F123" s="53"/>
      <c r="G123" s="4"/>
      <c r="H123" s="4"/>
      <c r="I123" s="4"/>
      <c r="J123" s="4"/>
      <c r="K123" s="4"/>
      <c r="L123" s="53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76"/>
      <c r="F124" s="53"/>
      <c r="G124" s="4"/>
      <c r="H124" s="4"/>
      <c r="I124" s="4"/>
      <c r="J124" s="4"/>
      <c r="K124" s="4"/>
      <c r="L124" s="53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76"/>
      <c r="F125" s="53"/>
      <c r="G125" s="4"/>
      <c r="H125" s="4"/>
      <c r="I125" s="4"/>
      <c r="J125" s="4"/>
      <c r="K125" s="4"/>
      <c r="L125" s="53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76"/>
      <c r="F126" s="53"/>
      <c r="G126" s="4"/>
      <c r="H126" s="4"/>
      <c r="I126" s="4"/>
      <c r="J126" s="4"/>
      <c r="K126" s="4"/>
      <c r="L126" s="53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76"/>
      <c r="F127" s="53"/>
      <c r="G127" s="4"/>
      <c r="H127" s="4"/>
      <c r="I127" s="4"/>
      <c r="J127" s="4"/>
      <c r="K127" s="4"/>
      <c r="L127" s="53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76"/>
      <c r="F128" s="53"/>
      <c r="G128" s="4"/>
      <c r="H128" s="4"/>
      <c r="I128" s="4"/>
      <c r="J128" s="4"/>
      <c r="K128" s="4"/>
      <c r="L128" s="53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76"/>
      <c r="F129" s="53"/>
      <c r="G129" s="4"/>
      <c r="H129" s="4"/>
      <c r="I129" s="4"/>
      <c r="J129" s="4"/>
      <c r="K129" s="4"/>
      <c r="L129" s="53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76"/>
      <c r="F130" s="53"/>
      <c r="G130" s="4"/>
      <c r="H130" s="4"/>
      <c r="I130" s="4"/>
      <c r="J130" s="4"/>
      <c r="K130" s="4"/>
      <c r="L130" s="53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76"/>
      <c r="F131" s="53"/>
      <c r="G131" s="4"/>
      <c r="H131" s="4"/>
      <c r="I131" s="4"/>
      <c r="J131" s="4"/>
      <c r="K131" s="4"/>
      <c r="L131" s="53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76"/>
      <c r="F132" s="53"/>
      <c r="G132" s="4"/>
      <c r="H132" s="4"/>
      <c r="I132" s="4"/>
      <c r="J132" s="4"/>
      <c r="K132" s="4"/>
      <c r="L132" s="53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76"/>
      <c r="F133" s="53"/>
      <c r="G133" s="4"/>
      <c r="H133" s="4"/>
      <c r="I133" s="4"/>
      <c r="J133" s="4"/>
      <c r="K133" s="4"/>
      <c r="L133" s="53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76"/>
      <c r="F134" s="53"/>
      <c r="G134" s="4"/>
      <c r="H134" s="4"/>
      <c r="I134" s="4"/>
      <c r="J134" s="4"/>
      <c r="K134" s="4"/>
      <c r="L134" s="53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76"/>
      <c r="F135" s="53"/>
      <c r="G135" s="4"/>
      <c r="H135" s="4"/>
      <c r="I135" s="4"/>
      <c r="J135" s="4"/>
      <c r="K135" s="4"/>
      <c r="L135" s="53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76"/>
      <c r="F136" s="53"/>
      <c r="G136" s="4"/>
      <c r="H136" s="4"/>
      <c r="I136" s="4"/>
      <c r="J136" s="4"/>
      <c r="K136" s="4"/>
      <c r="L136" s="53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76"/>
      <c r="F137" s="53"/>
      <c r="G137" s="4"/>
      <c r="H137" s="4"/>
      <c r="I137" s="4"/>
      <c r="J137" s="4"/>
      <c r="K137" s="4"/>
      <c r="L137" s="53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76"/>
      <c r="F138" s="53"/>
      <c r="G138" s="4"/>
      <c r="H138" s="4"/>
      <c r="I138" s="4"/>
      <c r="J138" s="4"/>
      <c r="K138" s="4"/>
      <c r="L138" s="53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76"/>
      <c r="F139" s="53"/>
      <c r="G139" s="4"/>
      <c r="H139" s="4"/>
      <c r="I139" s="4"/>
      <c r="J139" s="4"/>
      <c r="K139" s="4"/>
      <c r="L139" s="53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76"/>
      <c r="F140" s="53"/>
      <c r="G140" s="4"/>
      <c r="H140" s="4"/>
      <c r="I140" s="4"/>
      <c r="J140" s="4"/>
      <c r="K140" s="4"/>
      <c r="L140" s="53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76"/>
      <c r="F141" s="53"/>
      <c r="G141" s="4"/>
      <c r="H141" s="4"/>
      <c r="I141" s="4"/>
      <c r="J141" s="4"/>
      <c r="K141" s="4"/>
      <c r="L141" s="53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76"/>
      <c r="F142" s="53"/>
      <c r="G142" s="4"/>
      <c r="H142" s="4"/>
      <c r="I142" s="4"/>
      <c r="J142" s="4"/>
      <c r="K142" s="4"/>
      <c r="L142" s="53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76"/>
      <c r="F143" s="53"/>
      <c r="G143" s="4"/>
      <c r="H143" s="4"/>
      <c r="I143" s="4"/>
      <c r="J143" s="4"/>
      <c r="K143" s="4"/>
      <c r="L143" s="53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76"/>
      <c r="F144" s="53"/>
      <c r="G144" s="4"/>
      <c r="H144" s="4"/>
      <c r="I144" s="4"/>
      <c r="J144" s="4"/>
      <c r="K144" s="4"/>
      <c r="L144" s="53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76"/>
      <c r="F145" s="53"/>
      <c r="G145" s="4"/>
      <c r="H145" s="4"/>
      <c r="I145" s="4"/>
      <c r="J145" s="4"/>
      <c r="K145" s="4"/>
      <c r="L145" s="53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76"/>
      <c r="F146" s="53"/>
      <c r="G146" s="4"/>
      <c r="H146" s="4"/>
      <c r="I146" s="4"/>
      <c r="J146" s="4"/>
      <c r="K146" s="4"/>
      <c r="L146" s="53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76"/>
      <c r="F147" s="53"/>
      <c r="G147" s="4"/>
      <c r="H147" s="4"/>
      <c r="I147" s="4"/>
      <c r="J147" s="4"/>
      <c r="K147" s="4"/>
      <c r="L147" s="53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76"/>
      <c r="F148" s="53"/>
      <c r="G148" s="4"/>
      <c r="H148" s="4"/>
      <c r="I148" s="4"/>
      <c r="J148" s="4"/>
      <c r="K148" s="4"/>
      <c r="L148" s="53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76"/>
      <c r="F149" s="53"/>
      <c r="G149" s="4"/>
      <c r="H149" s="4"/>
      <c r="I149" s="4"/>
      <c r="J149" s="4"/>
      <c r="K149" s="4"/>
      <c r="L149" s="53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76"/>
      <c r="F150" s="53"/>
      <c r="G150" s="4"/>
      <c r="H150" s="4"/>
      <c r="I150" s="4"/>
      <c r="J150" s="4"/>
      <c r="K150" s="4"/>
      <c r="L150" s="53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76"/>
      <c r="F151" s="53"/>
      <c r="G151" s="4"/>
      <c r="H151" s="4"/>
      <c r="I151" s="4"/>
      <c r="J151" s="4"/>
      <c r="K151" s="4"/>
      <c r="L151" s="53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76"/>
      <c r="F152" s="53"/>
      <c r="G152" s="4"/>
      <c r="H152" s="4"/>
      <c r="I152" s="4"/>
      <c r="J152" s="4"/>
      <c r="K152" s="4"/>
      <c r="L152" s="53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76"/>
      <c r="F153" s="53"/>
      <c r="G153" s="4"/>
      <c r="H153" s="4"/>
      <c r="I153" s="4"/>
      <c r="J153" s="4"/>
      <c r="K153" s="4"/>
      <c r="L153" s="53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76"/>
      <c r="F154" s="53"/>
      <c r="G154" s="4"/>
      <c r="H154" s="4"/>
      <c r="I154" s="4"/>
      <c r="J154" s="4"/>
      <c r="K154" s="4"/>
      <c r="L154" s="53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76"/>
      <c r="F155" s="53"/>
      <c r="G155" s="4"/>
      <c r="H155" s="4"/>
      <c r="I155" s="4"/>
      <c r="J155" s="4"/>
      <c r="K155" s="4"/>
      <c r="L155" s="53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76"/>
      <c r="F156" s="53"/>
      <c r="G156" s="4"/>
      <c r="H156" s="4"/>
      <c r="I156" s="4"/>
      <c r="J156" s="4"/>
      <c r="K156" s="4"/>
      <c r="L156" s="53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76"/>
      <c r="F157" s="53"/>
      <c r="G157" s="4"/>
      <c r="H157" s="4"/>
      <c r="I157" s="4"/>
      <c r="J157" s="4"/>
      <c r="K157" s="4"/>
      <c r="L157" s="53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76"/>
      <c r="F158" s="53"/>
      <c r="G158" s="4"/>
      <c r="H158" s="4"/>
      <c r="I158" s="4"/>
      <c r="J158" s="4"/>
      <c r="K158" s="4"/>
      <c r="L158" s="53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76"/>
      <c r="F159" s="53"/>
      <c r="G159" s="4"/>
      <c r="H159" s="4"/>
      <c r="I159" s="4"/>
      <c r="J159" s="4"/>
      <c r="K159" s="4"/>
      <c r="L159" s="53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76"/>
      <c r="F160" s="53"/>
      <c r="G160" s="4"/>
      <c r="H160" s="4"/>
      <c r="I160" s="4"/>
      <c r="J160" s="4"/>
      <c r="K160" s="4"/>
      <c r="L160" s="53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76"/>
      <c r="F161" s="53"/>
      <c r="G161" s="4"/>
      <c r="H161" s="4"/>
      <c r="I161" s="4"/>
      <c r="J161" s="4"/>
      <c r="K161" s="4"/>
      <c r="L161" s="53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76"/>
      <c r="F162" s="53"/>
      <c r="G162" s="4"/>
      <c r="H162" s="4"/>
      <c r="I162" s="4"/>
      <c r="J162" s="4"/>
      <c r="K162" s="4"/>
      <c r="L162" s="53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76"/>
      <c r="F163" s="53"/>
      <c r="G163" s="4"/>
      <c r="H163" s="4"/>
      <c r="I163" s="4"/>
      <c r="J163" s="4"/>
      <c r="K163" s="4"/>
      <c r="L163" s="53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76"/>
      <c r="F164" s="53"/>
      <c r="G164" s="4"/>
      <c r="H164" s="4"/>
      <c r="I164" s="4"/>
      <c r="J164" s="4"/>
      <c r="K164" s="4"/>
      <c r="L164" s="53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76"/>
      <c r="F165" s="53"/>
      <c r="G165" s="4"/>
      <c r="H165" s="4"/>
      <c r="I165" s="4"/>
      <c r="J165" s="4"/>
      <c r="K165" s="4"/>
      <c r="L165" s="53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76"/>
      <c r="F166" s="53"/>
      <c r="G166" s="4"/>
      <c r="H166" s="4"/>
      <c r="I166" s="4"/>
      <c r="J166" s="4"/>
      <c r="K166" s="4"/>
      <c r="L166" s="53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76"/>
      <c r="F167" s="53"/>
      <c r="G167" s="4"/>
      <c r="H167" s="4"/>
      <c r="I167" s="4"/>
      <c r="J167" s="4"/>
      <c r="K167" s="4"/>
      <c r="L167" s="53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76"/>
      <c r="F168" s="53"/>
      <c r="G168" s="4"/>
      <c r="H168" s="4"/>
      <c r="I168" s="4"/>
      <c r="J168" s="4"/>
      <c r="K168" s="4"/>
      <c r="L168" s="53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76"/>
      <c r="F169" s="53"/>
      <c r="G169" s="4"/>
      <c r="H169" s="4"/>
      <c r="I169" s="4"/>
      <c r="J169" s="4"/>
      <c r="K169" s="4"/>
      <c r="L169" s="53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76"/>
      <c r="F170" s="53"/>
      <c r="G170" s="4"/>
      <c r="H170" s="4"/>
      <c r="I170" s="4"/>
      <c r="J170" s="4"/>
      <c r="K170" s="4"/>
      <c r="L170" s="53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76"/>
      <c r="F171" s="53"/>
      <c r="G171" s="4"/>
      <c r="H171" s="4"/>
      <c r="I171" s="4"/>
      <c r="J171" s="4"/>
      <c r="K171" s="4"/>
      <c r="L171" s="53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76"/>
      <c r="F172" s="53"/>
      <c r="G172" s="4"/>
      <c r="H172" s="4"/>
      <c r="I172" s="4"/>
      <c r="J172" s="4"/>
      <c r="K172" s="4"/>
      <c r="L172" s="53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76"/>
      <c r="F173" s="53"/>
      <c r="G173" s="4"/>
      <c r="H173" s="4"/>
      <c r="I173" s="4"/>
      <c r="J173" s="4"/>
      <c r="K173" s="4"/>
      <c r="L173" s="53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76"/>
      <c r="F174" s="53"/>
      <c r="G174" s="4"/>
      <c r="H174" s="4"/>
      <c r="I174" s="4"/>
      <c r="J174" s="4"/>
      <c r="K174" s="4"/>
      <c r="L174" s="53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76"/>
      <c r="F175" s="53"/>
      <c r="G175" s="4"/>
      <c r="H175" s="4"/>
      <c r="I175" s="4"/>
      <c r="J175" s="4"/>
      <c r="K175" s="4"/>
      <c r="L175" s="53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76"/>
      <c r="F176" s="53"/>
      <c r="G176" s="4"/>
      <c r="H176" s="4"/>
      <c r="I176" s="4"/>
      <c r="J176" s="4"/>
      <c r="K176" s="4"/>
      <c r="L176" s="53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76"/>
      <c r="F177" s="53"/>
      <c r="G177" s="4"/>
      <c r="H177" s="4"/>
      <c r="I177" s="4"/>
      <c r="J177" s="4"/>
      <c r="K177" s="4"/>
      <c r="L177" s="53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76"/>
      <c r="F178" s="53"/>
      <c r="G178" s="4"/>
      <c r="H178" s="4"/>
      <c r="I178" s="4"/>
      <c r="J178" s="4"/>
      <c r="K178" s="4"/>
      <c r="L178" s="53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76"/>
      <c r="F179" s="53"/>
      <c r="G179" s="4"/>
      <c r="H179" s="4"/>
      <c r="I179" s="4"/>
      <c r="J179" s="4"/>
      <c r="K179" s="4"/>
      <c r="L179" s="53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76"/>
      <c r="F180" s="53"/>
      <c r="G180" s="4"/>
      <c r="H180" s="4"/>
      <c r="I180" s="4"/>
      <c r="J180" s="4"/>
      <c r="K180" s="4"/>
      <c r="L180" s="53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76"/>
      <c r="F181" s="53"/>
      <c r="G181" s="4"/>
      <c r="H181" s="4"/>
      <c r="I181" s="4"/>
      <c r="J181" s="4"/>
      <c r="K181" s="4"/>
      <c r="L181" s="53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76"/>
      <c r="F182" s="53"/>
      <c r="G182" s="4"/>
      <c r="H182" s="4"/>
      <c r="I182" s="4"/>
      <c r="J182" s="4"/>
      <c r="K182" s="4"/>
      <c r="L182" s="53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76"/>
      <c r="F183" s="53"/>
      <c r="G183" s="4"/>
      <c r="H183" s="4"/>
      <c r="I183" s="4"/>
      <c r="J183" s="4"/>
      <c r="K183" s="4"/>
      <c r="L183" s="53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76"/>
      <c r="F184" s="53"/>
      <c r="G184" s="4"/>
      <c r="H184" s="4"/>
      <c r="I184" s="4"/>
      <c r="J184" s="4"/>
      <c r="K184" s="4"/>
      <c r="L184" s="53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76"/>
      <c r="F185" s="53"/>
      <c r="G185" s="4"/>
      <c r="H185" s="4"/>
      <c r="I185" s="4"/>
      <c r="J185" s="4"/>
      <c r="K185" s="4"/>
      <c r="L185" s="53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76"/>
      <c r="F186" s="53"/>
      <c r="G186" s="4"/>
      <c r="H186" s="4"/>
      <c r="I186" s="4"/>
      <c r="J186" s="4"/>
      <c r="K186" s="4"/>
      <c r="L186" s="53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76"/>
      <c r="F187" s="53"/>
      <c r="G187" s="4"/>
      <c r="H187" s="4"/>
      <c r="I187" s="4"/>
      <c r="J187" s="4"/>
      <c r="K187" s="4"/>
      <c r="L187" s="53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76"/>
      <c r="F188" s="53"/>
      <c r="G188" s="4"/>
      <c r="H188" s="4"/>
      <c r="I188" s="4"/>
      <c r="J188" s="4"/>
      <c r="K188" s="4"/>
      <c r="L188" s="53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76"/>
      <c r="F189" s="53"/>
      <c r="G189" s="4"/>
      <c r="H189" s="4"/>
      <c r="I189" s="4"/>
      <c r="J189" s="4"/>
      <c r="K189" s="4"/>
      <c r="L189" s="53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76"/>
      <c r="F190" s="53"/>
      <c r="G190" s="4"/>
      <c r="H190" s="4"/>
      <c r="I190" s="4"/>
      <c r="J190" s="4"/>
      <c r="K190" s="4"/>
      <c r="L190" s="53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76"/>
      <c r="F191" s="53"/>
      <c r="G191" s="4"/>
      <c r="H191" s="4"/>
      <c r="I191" s="4"/>
      <c r="J191" s="4"/>
      <c r="K191" s="4"/>
      <c r="L191" s="53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76"/>
      <c r="F192" s="53"/>
      <c r="G192" s="4"/>
      <c r="H192" s="4"/>
      <c r="I192" s="4"/>
      <c r="J192" s="4"/>
      <c r="K192" s="4"/>
      <c r="L192" s="53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76"/>
      <c r="F193" s="53"/>
      <c r="G193" s="4"/>
      <c r="H193" s="4"/>
      <c r="I193" s="4"/>
      <c r="J193" s="4"/>
      <c r="K193" s="4"/>
      <c r="L193" s="53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76"/>
      <c r="F194" s="53"/>
      <c r="G194" s="4"/>
      <c r="H194" s="4"/>
      <c r="I194" s="4"/>
      <c r="J194" s="4"/>
      <c r="K194" s="4"/>
      <c r="L194" s="53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76"/>
      <c r="F195" s="53"/>
      <c r="G195" s="4"/>
      <c r="H195" s="4"/>
      <c r="I195" s="4"/>
      <c r="J195" s="4"/>
      <c r="K195" s="4"/>
      <c r="L195" s="53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76"/>
      <c r="F196" s="53"/>
      <c r="G196" s="4"/>
      <c r="H196" s="4"/>
      <c r="I196" s="4"/>
      <c r="J196" s="4"/>
      <c r="K196" s="4"/>
      <c r="L196" s="53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76"/>
      <c r="F197" s="53"/>
      <c r="G197" s="4"/>
      <c r="H197" s="4"/>
      <c r="I197" s="4"/>
      <c r="J197" s="4"/>
      <c r="K197" s="4"/>
      <c r="L197" s="53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76"/>
      <c r="F198" s="53"/>
      <c r="G198" s="4"/>
      <c r="H198" s="4"/>
      <c r="I198" s="4"/>
      <c r="J198" s="4"/>
      <c r="K198" s="4"/>
      <c r="L198" s="53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76"/>
      <c r="F199" s="53"/>
      <c r="G199" s="4"/>
      <c r="H199" s="4"/>
      <c r="I199" s="4"/>
      <c r="J199" s="4"/>
      <c r="K199" s="4"/>
      <c r="L199" s="53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76"/>
      <c r="F200" s="53"/>
      <c r="G200" s="4"/>
      <c r="H200" s="4"/>
      <c r="I200" s="4"/>
      <c r="J200" s="4"/>
      <c r="K200" s="4"/>
      <c r="L200" s="53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76"/>
      <c r="F201" s="53"/>
      <c r="G201" s="4"/>
      <c r="H201" s="4"/>
      <c r="I201" s="4"/>
      <c r="J201" s="4"/>
      <c r="K201" s="4"/>
      <c r="L201" s="53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76"/>
      <c r="F202" s="53"/>
      <c r="G202" s="4"/>
      <c r="H202" s="4"/>
      <c r="I202" s="4"/>
      <c r="J202" s="4"/>
      <c r="K202" s="4"/>
      <c r="L202" s="53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76"/>
      <c r="F203" s="53"/>
      <c r="G203" s="4"/>
      <c r="H203" s="4"/>
      <c r="I203" s="4"/>
      <c r="J203" s="4"/>
      <c r="K203" s="4"/>
      <c r="L203" s="53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76"/>
      <c r="F204" s="53"/>
      <c r="G204" s="4"/>
      <c r="H204" s="4"/>
      <c r="I204" s="4"/>
      <c r="J204" s="4"/>
      <c r="K204" s="4"/>
      <c r="L204" s="53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76"/>
      <c r="F205" s="53"/>
      <c r="G205" s="4"/>
      <c r="H205" s="4"/>
      <c r="I205" s="4"/>
      <c r="J205" s="4"/>
      <c r="K205" s="4"/>
      <c r="L205" s="53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76"/>
      <c r="F206" s="53"/>
      <c r="G206" s="4"/>
      <c r="H206" s="4"/>
      <c r="I206" s="4"/>
      <c r="J206" s="4"/>
      <c r="K206" s="4"/>
      <c r="L206" s="53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76"/>
      <c r="F207" s="53"/>
      <c r="G207" s="4"/>
      <c r="H207" s="4"/>
      <c r="I207" s="4"/>
      <c r="J207" s="4"/>
      <c r="K207" s="4"/>
      <c r="L207" s="53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76"/>
      <c r="F208" s="53"/>
      <c r="G208" s="4"/>
      <c r="H208" s="4"/>
      <c r="I208" s="4"/>
      <c r="J208" s="4"/>
      <c r="K208" s="4"/>
      <c r="L208" s="53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76"/>
      <c r="F209" s="53"/>
      <c r="G209" s="4"/>
      <c r="H209" s="4"/>
      <c r="I209" s="4"/>
      <c r="J209" s="4"/>
      <c r="K209" s="4"/>
      <c r="L209" s="53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76"/>
      <c r="F210" s="53"/>
      <c r="G210" s="4"/>
      <c r="H210" s="4"/>
      <c r="I210" s="4"/>
      <c r="J210" s="4"/>
      <c r="K210" s="4"/>
      <c r="L210" s="53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76"/>
      <c r="F211" s="53"/>
      <c r="G211" s="4"/>
      <c r="H211" s="4"/>
      <c r="I211" s="4"/>
      <c r="J211" s="4"/>
      <c r="K211" s="4"/>
      <c r="L211" s="53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76"/>
      <c r="F212" s="53"/>
      <c r="G212" s="4"/>
      <c r="H212" s="4"/>
      <c r="I212" s="4"/>
      <c r="J212" s="4"/>
      <c r="K212" s="4"/>
      <c r="L212" s="53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76"/>
      <c r="F213" s="53"/>
      <c r="G213" s="4"/>
      <c r="H213" s="4"/>
      <c r="I213" s="4"/>
      <c r="J213" s="4"/>
      <c r="K213" s="4"/>
      <c r="L213" s="53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76"/>
      <c r="F214" s="53"/>
      <c r="G214" s="4"/>
      <c r="H214" s="4"/>
      <c r="I214" s="4"/>
      <c r="J214" s="4"/>
      <c r="K214" s="4"/>
      <c r="L214" s="53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76"/>
      <c r="F215" s="53"/>
      <c r="G215" s="4"/>
      <c r="H215" s="4"/>
      <c r="I215" s="4"/>
      <c r="J215" s="4"/>
      <c r="K215" s="4"/>
      <c r="L215" s="53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76"/>
      <c r="F216" s="53"/>
      <c r="G216" s="4"/>
      <c r="H216" s="4"/>
      <c r="I216" s="4"/>
      <c r="J216" s="4"/>
      <c r="K216" s="4"/>
      <c r="L216" s="53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76"/>
      <c r="F217" s="53"/>
      <c r="G217" s="4"/>
      <c r="H217" s="4"/>
      <c r="I217" s="4"/>
      <c r="J217" s="4"/>
      <c r="K217" s="4"/>
      <c r="L217" s="53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76"/>
      <c r="F218" s="53"/>
      <c r="G218" s="4"/>
      <c r="H218" s="4"/>
      <c r="I218" s="4"/>
      <c r="J218" s="4"/>
      <c r="K218" s="4"/>
      <c r="L218" s="53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76"/>
      <c r="F219" s="53"/>
      <c r="G219" s="4"/>
      <c r="H219" s="4"/>
      <c r="I219" s="4"/>
      <c r="J219" s="4"/>
      <c r="K219" s="4"/>
      <c r="L219" s="53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76"/>
      <c r="F220" s="53"/>
      <c r="G220" s="4"/>
      <c r="H220" s="4"/>
      <c r="I220" s="4"/>
      <c r="J220" s="4"/>
      <c r="K220" s="4"/>
      <c r="L220" s="53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76"/>
      <c r="F221" s="53"/>
      <c r="G221" s="4"/>
      <c r="H221" s="4"/>
      <c r="I221" s="4"/>
      <c r="J221" s="4"/>
      <c r="K221" s="4"/>
      <c r="L221" s="53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76"/>
      <c r="F222" s="53"/>
      <c r="G222" s="4"/>
      <c r="H222" s="4"/>
      <c r="I222" s="4"/>
      <c r="J222" s="4"/>
      <c r="K222" s="4"/>
      <c r="L222" s="53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76"/>
      <c r="F223" s="53"/>
      <c r="G223" s="4"/>
      <c r="H223" s="4"/>
      <c r="I223" s="4"/>
      <c r="J223" s="4"/>
      <c r="K223" s="4"/>
      <c r="L223" s="53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76"/>
      <c r="F224" s="53"/>
      <c r="G224" s="4"/>
      <c r="H224" s="4"/>
      <c r="I224" s="4"/>
      <c r="J224" s="4"/>
      <c r="K224" s="4"/>
      <c r="L224" s="53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76"/>
      <c r="F225" s="53"/>
      <c r="G225" s="4"/>
      <c r="H225" s="4"/>
      <c r="I225" s="4"/>
      <c r="J225" s="4"/>
      <c r="K225" s="4"/>
      <c r="L225" s="53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76"/>
      <c r="F226" s="53"/>
      <c r="G226" s="4"/>
      <c r="H226" s="4"/>
      <c r="I226" s="4"/>
      <c r="J226" s="4"/>
      <c r="K226" s="4"/>
      <c r="L226" s="53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76"/>
      <c r="F227" s="53"/>
      <c r="G227" s="4"/>
      <c r="H227" s="4"/>
      <c r="I227" s="4"/>
      <c r="J227" s="4"/>
      <c r="K227" s="4"/>
      <c r="L227" s="53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76"/>
      <c r="F228" s="53"/>
      <c r="G228" s="4"/>
      <c r="H228" s="4"/>
      <c r="I228" s="4"/>
      <c r="J228" s="4"/>
      <c r="K228" s="4"/>
      <c r="L228" s="53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76"/>
      <c r="F229" s="53"/>
      <c r="G229" s="4"/>
      <c r="H229" s="4"/>
      <c r="I229" s="4"/>
      <c r="J229" s="4"/>
      <c r="K229" s="4"/>
      <c r="L229" s="53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76"/>
      <c r="F230" s="53"/>
      <c r="G230" s="4"/>
      <c r="H230" s="4"/>
      <c r="I230" s="4"/>
      <c r="J230" s="4"/>
      <c r="K230" s="4"/>
      <c r="L230" s="53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76"/>
      <c r="F231" s="53"/>
      <c r="G231" s="4"/>
      <c r="H231" s="4"/>
      <c r="I231" s="4"/>
      <c r="J231" s="4"/>
      <c r="K231" s="4"/>
      <c r="L231" s="53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76"/>
      <c r="F232" s="53"/>
      <c r="G232" s="4"/>
      <c r="H232" s="4"/>
      <c r="I232" s="4"/>
      <c r="J232" s="4"/>
      <c r="K232" s="4"/>
      <c r="L232" s="53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76"/>
      <c r="F233" s="53"/>
      <c r="G233" s="4"/>
      <c r="H233" s="4"/>
      <c r="I233" s="4"/>
      <c r="J233" s="4"/>
      <c r="K233" s="4"/>
      <c r="L233" s="53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76"/>
      <c r="F234" s="53"/>
      <c r="G234" s="4"/>
      <c r="H234" s="4"/>
      <c r="I234" s="4"/>
      <c r="J234" s="4"/>
      <c r="K234" s="4"/>
      <c r="L234" s="53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76"/>
      <c r="F235" s="53"/>
      <c r="G235" s="4"/>
      <c r="H235" s="4"/>
      <c r="I235" s="4"/>
      <c r="J235" s="4"/>
      <c r="K235" s="4"/>
      <c r="L235" s="53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76"/>
      <c r="F236" s="53"/>
      <c r="G236" s="4"/>
      <c r="H236" s="4"/>
      <c r="I236" s="4"/>
      <c r="J236" s="4"/>
      <c r="K236" s="4"/>
      <c r="L236" s="53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76"/>
      <c r="F237" s="53"/>
      <c r="G237" s="4"/>
      <c r="H237" s="4"/>
      <c r="I237" s="4"/>
      <c r="J237" s="4"/>
      <c r="K237" s="4"/>
      <c r="L237" s="53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76"/>
      <c r="F238" s="53"/>
      <c r="G238" s="4"/>
      <c r="H238" s="4"/>
      <c r="I238" s="4"/>
      <c r="J238" s="4"/>
      <c r="K238" s="4"/>
      <c r="L238" s="53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76"/>
      <c r="F239" s="53"/>
      <c r="G239" s="4"/>
      <c r="H239" s="4"/>
      <c r="I239" s="4"/>
      <c r="J239" s="4"/>
      <c r="K239" s="4"/>
      <c r="L239" s="53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76"/>
      <c r="F240" s="53"/>
      <c r="G240" s="4"/>
      <c r="H240" s="4"/>
      <c r="I240" s="4"/>
      <c r="J240" s="4"/>
      <c r="K240" s="4"/>
      <c r="L240" s="53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76"/>
      <c r="F241" s="53"/>
      <c r="G241" s="4"/>
      <c r="H241" s="4"/>
      <c r="I241" s="4"/>
      <c r="J241" s="4"/>
      <c r="K241" s="4"/>
      <c r="L241" s="53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76"/>
      <c r="F242" s="53"/>
      <c r="G242" s="4"/>
      <c r="H242" s="4"/>
      <c r="I242" s="4"/>
      <c r="J242" s="4"/>
      <c r="K242" s="4"/>
      <c r="L242" s="53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76"/>
      <c r="F243" s="53"/>
      <c r="G243" s="4"/>
      <c r="H243" s="4"/>
      <c r="I243" s="4"/>
      <c r="J243" s="4"/>
      <c r="K243" s="4"/>
      <c r="L243" s="53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76"/>
      <c r="F244" s="53"/>
      <c r="G244" s="4"/>
      <c r="H244" s="4"/>
      <c r="I244" s="4"/>
      <c r="J244" s="4"/>
      <c r="K244" s="4"/>
      <c r="L244" s="53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76"/>
      <c r="F245" s="53"/>
      <c r="G245" s="4"/>
      <c r="H245" s="4"/>
      <c r="I245" s="4"/>
      <c r="J245" s="4"/>
      <c r="K245" s="4"/>
      <c r="L245" s="53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76"/>
      <c r="F246" s="53"/>
      <c r="G246" s="4"/>
      <c r="H246" s="4"/>
      <c r="I246" s="4"/>
      <c r="J246" s="4"/>
      <c r="K246" s="4"/>
      <c r="L246" s="53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76"/>
      <c r="F247" s="53"/>
      <c r="G247" s="4"/>
      <c r="H247" s="4"/>
      <c r="I247" s="4"/>
      <c r="J247" s="4"/>
      <c r="K247" s="4"/>
      <c r="L247" s="53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76"/>
      <c r="F248" s="53"/>
      <c r="G248" s="4"/>
      <c r="H248" s="4"/>
      <c r="I248" s="4"/>
      <c r="J248" s="4"/>
      <c r="K248" s="4"/>
      <c r="L248" s="53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76"/>
      <c r="F249" s="53"/>
      <c r="G249" s="4"/>
      <c r="H249" s="4"/>
      <c r="I249" s="4"/>
      <c r="J249" s="4"/>
      <c r="K249" s="4"/>
      <c r="L249" s="53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76"/>
      <c r="F250" s="53"/>
      <c r="G250" s="4"/>
      <c r="H250" s="4"/>
      <c r="I250" s="4"/>
      <c r="J250" s="4"/>
      <c r="K250" s="4"/>
      <c r="L250" s="53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76"/>
      <c r="F251" s="53"/>
      <c r="G251" s="4"/>
      <c r="H251" s="4"/>
      <c r="I251" s="4"/>
      <c r="J251" s="4"/>
      <c r="K251" s="4"/>
      <c r="L251" s="53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76"/>
      <c r="F252" s="53"/>
      <c r="G252" s="4"/>
      <c r="H252" s="4"/>
      <c r="I252" s="4"/>
      <c r="J252" s="4"/>
      <c r="K252" s="4"/>
      <c r="L252" s="53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76"/>
      <c r="F253" s="53"/>
      <c r="G253" s="4"/>
      <c r="H253" s="4"/>
      <c r="I253" s="4"/>
      <c r="J253" s="4"/>
      <c r="K253" s="4"/>
      <c r="L253" s="53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76"/>
      <c r="F254" s="53"/>
      <c r="G254" s="4"/>
      <c r="H254" s="4"/>
      <c r="I254" s="4"/>
      <c r="J254" s="4"/>
      <c r="K254" s="4"/>
      <c r="L254" s="53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76"/>
      <c r="F255" s="53"/>
      <c r="G255" s="4"/>
      <c r="H255" s="4"/>
      <c r="I255" s="4"/>
      <c r="J255" s="4"/>
      <c r="K255" s="4"/>
      <c r="L255" s="53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76"/>
      <c r="F256" s="53"/>
      <c r="G256" s="4"/>
      <c r="H256" s="4"/>
      <c r="I256" s="4"/>
      <c r="J256" s="4"/>
      <c r="K256" s="4"/>
      <c r="L256" s="53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76"/>
      <c r="F257" s="53"/>
      <c r="G257" s="4"/>
      <c r="H257" s="4"/>
      <c r="I257" s="4"/>
      <c r="J257" s="4"/>
      <c r="K257" s="4"/>
      <c r="L257" s="53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76"/>
      <c r="F258" s="53"/>
      <c r="G258" s="4"/>
      <c r="H258" s="4"/>
      <c r="I258" s="4"/>
      <c r="J258" s="4"/>
      <c r="K258" s="4"/>
      <c r="L258" s="53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76"/>
      <c r="F259" s="53"/>
      <c r="G259" s="4"/>
      <c r="H259" s="4"/>
      <c r="I259" s="4"/>
      <c r="J259" s="4"/>
      <c r="K259" s="4"/>
      <c r="L259" s="53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76"/>
      <c r="F260" s="53"/>
      <c r="G260" s="4"/>
      <c r="H260" s="4"/>
      <c r="I260" s="4"/>
      <c r="J260" s="4"/>
      <c r="K260" s="4"/>
      <c r="L260" s="53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76"/>
      <c r="F261" s="53"/>
      <c r="G261" s="4"/>
      <c r="H261" s="4"/>
      <c r="I261" s="4"/>
      <c r="J261" s="4"/>
      <c r="K261" s="4"/>
      <c r="L261" s="53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76"/>
      <c r="F262" s="53"/>
      <c r="G262" s="4"/>
      <c r="H262" s="4"/>
      <c r="I262" s="4"/>
      <c r="J262" s="4"/>
      <c r="K262" s="4"/>
      <c r="L262" s="53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76"/>
      <c r="F263" s="53"/>
      <c r="G263" s="4"/>
      <c r="H263" s="4"/>
      <c r="I263" s="4"/>
      <c r="J263" s="4"/>
      <c r="K263" s="4"/>
      <c r="L263" s="53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76"/>
      <c r="F264" s="53"/>
      <c r="G264" s="4"/>
      <c r="H264" s="4"/>
      <c r="I264" s="4"/>
      <c r="J264" s="4"/>
      <c r="K264" s="4"/>
      <c r="L264" s="53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76"/>
      <c r="F265" s="53"/>
      <c r="G265" s="4"/>
      <c r="H265" s="4"/>
      <c r="I265" s="4"/>
      <c r="J265" s="4"/>
      <c r="K265" s="4"/>
      <c r="L265" s="53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76"/>
      <c r="F266" s="53"/>
      <c r="G266" s="4"/>
      <c r="H266" s="4"/>
      <c r="I266" s="4"/>
      <c r="J266" s="4"/>
      <c r="K266" s="4"/>
      <c r="L266" s="53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76"/>
      <c r="F267" s="53"/>
      <c r="G267" s="4"/>
      <c r="H267" s="4"/>
      <c r="I267" s="4"/>
      <c r="J267" s="4"/>
      <c r="K267" s="4"/>
      <c r="L267" s="53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76"/>
      <c r="F268" s="53"/>
      <c r="G268" s="4"/>
      <c r="H268" s="4"/>
      <c r="I268" s="4"/>
      <c r="J268" s="4"/>
      <c r="K268" s="4"/>
      <c r="L268" s="53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76"/>
      <c r="F269" s="53"/>
      <c r="G269" s="4"/>
      <c r="H269" s="4"/>
      <c r="I269" s="4"/>
      <c r="J269" s="4"/>
      <c r="K269" s="4"/>
      <c r="L269" s="53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76"/>
      <c r="F270" s="53"/>
      <c r="G270" s="4"/>
      <c r="H270" s="4"/>
      <c r="I270" s="4"/>
      <c r="J270" s="4"/>
      <c r="K270" s="4"/>
      <c r="L270" s="53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76"/>
      <c r="F271" s="53"/>
      <c r="G271" s="4"/>
      <c r="H271" s="4"/>
      <c r="I271" s="4"/>
      <c r="J271" s="4"/>
      <c r="K271" s="4"/>
      <c r="L271" s="53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76"/>
      <c r="F272" s="53"/>
      <c r="G272" s="4"/>
      <c r="H272" s="4"/>
      <c r="I272" s="4"/>
      <c r="J272" s="4"/>
      <c r="K272" s="4"/>
      <c r="L272" s="53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76"/>
      <c r="F273" s="53"/>
      <c r="G273" s="4"/>
      <c r="H273" s="4"/>
      <c r="I273" s="4"/>
      <c r="J273" s="4"/>
      <c r="K273" s="4"/>
      <c r="L273" s="53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76"/>
      <c r="F274" s="53"/>
      <c r="G274" s="4"/>
      <c r="H274" s="4"/>
      <c r="I274" s="4"/>
      <c r="J274" s="4"/>
      <c r="K274" s="4"/>
      <c r="L274" s="53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76"/>
      <c r="F275" s="53"/>
      <c r="G275" s="4"/>
      <c r="H275" s="4"/>
      <c r="I275" s="4"/>
      <c r="J275" s="4"/>
      <c r="K275" s="4"/>
      <c r="L275" s="53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76"/>
      <c r="F276" s="53"/>
      <c r="G276" s="4"/>
      <c r="H276" s="4"/>
      <c r="I276" s="4"/>
      <c r="J276" s="4"/>
      <c r="K276" s="4"/>
      <c r="L276" s="53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76"/>
      <c r="F277" s="53"/>
      <c r="G277" s="4"/>
      <c r="H277" s="4"/>
      <c r="I277" s="4"/>
      <c r="J277" s="4"/>
      <c r="K277" s="4"/>
      <c r="L277" s="53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76"/>
      <c r="F278" s="53"/>
      <c r="G278" s="4"/>
      <c r="H278" s="4"/>
      <c r="I278" s="4"/>
      <c r="J278" s="4"/>
      <c r="K278" s="4"/>
      <c r="L278" s="53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76"/>
      <c r="F279" s="53"/>
      <c r="G279" s="4"/>
      <c r="H279" s="4"/>
      <c r="I279" s="4"/>
      <c r="J279" s="4"/>
      <c r="K279" s="4"/>
      <c r="L279" s="53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76"/>
      <c r="F280" s="53"/>
      <c r="G280" s="4"/>
      <c r="H280" s="4"/>
      <c r="I280" s="4"/>
      <c r="J280" s="4"/>
      <c r="K280" s="4"/>
      <c r="L280" s="53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76"/>
      <c r="F281" s="53"/>
      <c r="G281" s="4"/>
      <c r="H281" s="4"/>
      <c r="I281" s="4"/>
      <c r="J281" s="4"/>
      <c r="K281" s="4"/>
      <c r="L281" s="53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76"/>
      <c r="F282" s="53"/>
      <c r="G282" s="4"/>
      <c r="H282" s="4"/>
      <c r="I282" s="4"/>
      <c r="J282" s="4"/>
      <c r="K282" s="4"/>
      <c r="L282" s="53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76"/>
      <c r="F283" s="53"/>
      <c r="G283" s="4"/>
      <c r="H283" s="4"/>
      <c r="I283" s="4"/>
      <c r="J283" s="4"/>
      <c r="K283" s="4"/>
      <c r="L283" s="53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76"/>
      <c r="F284" s="53"/>
      <c r="G284" s="4"/>
      <c r="H284" s="4"/>
      <c r="I284" s="4"/>
      <c r="J284" s="4"/>
      <c r="K284" s="4"/>
      <c r="L284" s="53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76"/>
      <c r="F285" s="53"/>
      <c r="G285" s="4"/>
      <c r="H285" s="4"/>
      <c r="I285" s="4"/>
      <c r="J285" s="4"/>
      <c r="K285" s="4"/>
      <c r="L285" s="53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76"/>
      <c r="F286" s="53"/>
      <c r="G286" s="4"/>
      <c r="H286" s="4"/>
      <c r="I286" s="4"/>
      <c r="J286" s="4"/>
      <c r="K286" s="4"/>
      <c r="L286" s="53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76"/>
      <c r="F287" s="53"/>
      <c r="G287" s="4"/>
      <c r="H287" s="4"/>
      <c r="I287" s="4"/>
      <c r="J287" s="4"/>
      <c r="K287" s="4"/>
      <c r="L287" s="53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76"/>
      <c r="F288" s="53"/>
      <c r="G288" s="4"/>
      <c r="H288" s="4"/>
      <c r="I288" s="4"/>
      <c r="J288" s="4"/>
      <c r="K288" s="4"/>
      <c r="L288" s="53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76"/>
      <c r="F289" s="53"/>
      <c r="G289" s="4"/>
      <c r="H289" s="4"/>
      <c r="I289" s="4"/>
      <c r="J289" s="4"/>
      <c r="K289" s="4"/>
      <c r="L289" s="53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76"/>
      <c r="F290" s="53"/>
      <c r="G290" s="4"/>
      <c r="H290" s="4"/>
      <c r="I290" s="4"/>
      <c r="J290" s="4"/>
      <c r="K290" s="4"/>
      <c r="L290" s="53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76"/>
      <c r="F291" s="53"/>
      <c r="G291" s="4"/>
      <c r="H291" s="4"/>
      <c r="I291" s="4"/>
      <c r="J291" s="4"/>
      <c r="K291" s="4"/>
      <c r="L291" s="53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76"/>
      <c r="F292" s="53"/>
      <c r="G292" s="4"/>
      <c r="H292" s="4"/>
      <c r="I292" s="4"/>
      <c r="J292" s="4"/>
      <c r="K292" s="4"/>
      <c r="L292" s="53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76"/>
      <c r="F293" s="53"/>
      <c r="G293" s="4"/>
      <c r="H293" s="4"/>
      <c r="I293" s="4"/>
      <c r="J293" s="4"/>
      <c r="K293" s="4"/>
      <c r="L293" s="53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76"/>
      <c r="F294" s="53"/>
      <c r="G294" s="4"/>
      <c r="H294" s="4"/>
      <c r="I294" s="4"/>
      <c r="J294" s="4"/>
      <c r="K294" s="4"/>
      <c r="L294" s="53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76"/>
      <c r="F295" s="53"/>
      <c r="G295" s="4"/>
      <c r="H295" s="4"/>
      <c r="I295" s="4"/>
      <c r="J295" s="4"/>
      <c r="K295" s="4"/>
      <c r="L295" s="53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76"/>
      <c r="F296" s="53"/>
      <c r="G296" s="4"/>
      <c r="H296" s="4"/>
      <c r="I296" s="4"/>
      <c r="J296" s="4"/>
      <c r="K296" s="4"/>
      <c r="L296" s="53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76"/>
      <c r="F297" s="53"/>
      <c r="G297" s="4"/>
      <c r="H297" s="4"/>
      <c r="I297" s="4"/>
      <c r="J297" s="4"/>
      <c r="K297" s="4"/>
      <c r="L297" s="53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76"/>
      <c r="F298" s="53"/>
      <c r="G298" s="4"/>
      <c r="H298" s="4"/>
      <c r="I298" s="4"/>
      <c r="J298" s="4"/>
      <c r="K298" s="4"/>
      <c r="L298" s="53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76"/>
      <c r="F299" s="53"/>
      <c r="G299" s="4"/>
      <c r="H299" s="4"/>
      <c r="I299" s="4"/>
      <c r="J299" s="4"/>
      <c r="K299" s="4"/>
      <c r="L299" s="53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76"/>
      <c r="F300" s="53"/>
      <c r="G300" s="4"/>
      <c r="H300" s="4"/>
      <c r="I300" s="4"/>
      <c r="J300" s="4"/>
      <c r="K300" s="4"/>
      <c r="L300" s="53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76"/>
      <c r="F301" s="53"/>
      <c r="G301" s="4"/>
      <c r="H301" s="4"/>
      <c r="I301" s="4"/>
      <c r="J301" s="4"/>
      <c r="K301" s="4"/>
      <c r="L301" s="53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76"/>
      <c r="F302" s="53"/>
      <c r="G302" s="4"/>
      <c r="H302" s="4"/>
      <c r="I302" s="4"/>
      <c r="J302" s="4"/>
      <c r="K302" s="4"/>
      <c r="L302" s="53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76"/>
      <c r="F303" s="53"/>
      <c r="G303" s="4"/>
      <c r="H303" s="4"/>
      <c r="I303" s="4"/>
      <c r="J303" s="4"/>
      <c r="K303" s="4"/>
      <c r="L303" s="53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76"/>
      <c r="F304" s="53"/>
      <c r="G304" s="4"/>
      <c r="H304" s="4"/>
      <c r="I304" s="4"/>
      <c r="J304" s="4"/>
      <c r="K304" s="4"/>
      <c r="L304" s="53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76"/>
      <c r="F305" s="53"/>
      <c r="G305" s="4"/>
      <c r="H305" s="4"/>
      <c r="I305" s="4"/>
      <c r="J305" s="4"/>
      <c r="K305" s="4"/>
      <c r="L305" s="53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76"/>
      <c r="F306" s="53"/>
      <c r="G306" s="4"/>
      <c r="H306" s="4"/>
      <c r="I306" s="4"/>
      <c r="J306" s="4"/>
      <c r="K306" s="4"/>
      <c r="L306" s="53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76"/>
      <c r="F307" s="53"/>
      <c r="G307" s="4"/>
      <c r="H307" s="4"/>
      <c r="I307" s="4"/>
      <c r="J307" s="4"/>
      <c r="K307" s="4"/>
      <c r="L307" s="53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76"/>
      <c r="F308" s="53"/>
      <c r="G308" s="4"/>
      <c r="H308" s="4"/>
      <c r="I308" s="4"/>
      <c r="J308" s="4"/>
      <c r="K308" s="4"/>
      <c r="L308" s="53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76"/>
      <c r="F309" s="53"/>
      <c r="G309" s="4"/>
      <c r="H309" s="4"/>
      <c r="I309" s="4"/>
      <c r="J309" s="4"/>
      <c r="K309" s="4"/>
      <c r="L309" s="53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76"/>
      <c r="F310" s="53"/>
      <c r="G310" s="4"/>
      <c r="H310" s="4"/>
      <c r="I310" s="4"/>
      <c r="J310" s="4"/>
      <c r="K310" s="4"/>
      <c r="L310" s="53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76"/>
      <c r="F311" s="53"/>
      <c r="G311" s="4"/>
      <c r="H311" s="4"/>
      <c r="I311" s="4"/>
      <c r="J311" s="4"/>
      <c r="K311" s="4"/>
      <c r="L311" s="53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76"/>
      <c r="F312" s="53"/>
      <c r="G312" s="4"/>
      <c r="H312" s="4"/>
      <c r="I312" s="4"/>
      <c r="J312" s="4"/>
      <c r="K312" s="4"/>
      <c r="L312" s="53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76"/>
      <c r="F313" s="53"/>
      <c r="G313" s="4"/>
      <c r="H313" s="4"/>
      <c r="I313" s="4"/>
      <c r="J313" s="4"/>
      <c r="K313" s="4"/>
      <c r="L313" s="53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76"/>
      <c r="F314" s="53"/>
      <c r="G314" s="4"/>
      <c r="H314" s="4"/>
      <c r="I314" s="4"/>
      <c r="J314" s="4"/>
      <c r="K314" s="4"/>
      <c r="L314" s="53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76"/>
      <c r="F315" s="53"/>
      <c r="G315" s="4"/>
      <c r="H315" s="4"/>
      <c r="I315" s="4"/>
      <c r="J315" s="4"/>
      <c r="K315" s="4"/>
      <c r="L315" s="53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76"/>
      <c r="F316" s="53"/>
      <c r="G316" s="4"/>
      <c r="H316" s="4"/>
      <c r="I316" s="4"/>
      <c r="J316" s="4"/>
      <c r="K316" s="4"/>
      <c r="L316" s="53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76"/>
      <c r="F317" s="53"/>
      <c r="G317" s="4"/>
      <c r="H317" s="4"/>
      <c r="I317" s="4"/>
      <c r="J317" s="4"/>
      <c r="K317" s="4"/>
      <c r="L317" s="53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76"/>
      <c r="F318" s="53"/>
      <c r="G318" s="4"/>
      <c r="H318" s="4"/>
      <c r="I318" s="4"/>
      <c r="J318" s="4"/>
      <c r="K318" s="4"/>
      <c r="L318" s="53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76"/>
      <c r="F319" s="53"/>
      <c r="G319" s="4"/>
      <c r="H319" s="4"/>
      <c r="I319" s="4"/>
      <c r="J319" s="4"/>
      <c r="K319" s="4"/>
      <c r="L319" s="53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76"/>
      <c r="F320" s="53"/>
      <c r="G320" s="4"/>
      <c r="H320" s="4"/>
      <c r="I320" s="4"/>
      <c r="J320" s="4"/>
      <c r="K320" s="4"/>
      <c r="L320" s="53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76"/>
      <c r="F321" s="53"/>
      <c r="G321" s="4"/>
      <c r="H321" s="4"/>
      <c r="I321" s="4"/>
      <c r="J321" s="4"/>
      <c r="K321" s="4"/>
      <c r="L321" s="53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76"/>
      <c r="F322" s="53"/>
      <c r="G322" s="4"/>
      <c r="H322" s="4"/>
      <c r="I322" s="4"/>
      <c r="J322" s="4"/>
      <c r="K322" s="4"/>
      <c r="L322" s="53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76"/>
      <c r="F323" s="53"/>
      <c r="G323" s="4"/>
      <c r="H323" s="4"/>
      <c r="I323" s="4"/>
      <c r="J323" s="4"/>
      <c r="K323" s="4"/>
      <c r="L323" s="53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76"/>
      <c r="F324" s="53"/>
      <c r="G324" s="4"/>
      <c r="H324" s="4"/>
      <c r="I324" s="4"/>
      <c r="J324" s="4"/>
      <c r="K324" s="4"/>
      <c r="L324" s="53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76"/>
      <c r="F325" s="53"/>
      <c r="G325" s="4"/>
      <c r="H325" s="4"/>
      <c r="I325" s="4"/>
      <c r="J325" s="4"/>
      <c r="K325" s="4"/>
      <c r="L325" s="53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76"/>
      <c r="F326" s="53"/>
      <c r="G326" s="4"/>
      <c r="H326" s="4"/>
      <c r="I326" s="4"/>
      <c r="J326" s="4"/>
      <c r="K326" s="4"/>
      <c r="L326" s="53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76"/>
      <c r="F327" s="53"/>
      <c r="G327" s="4"/>
      <c r="H327" s="4"/>
      <c r="I327" s="4"/>
      <c r="J327" s="4"/>
      <c r="K327" s="4"/>
      <c r="L327" s="53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76"/>
      <c r="F328" s="53"/>
      <c r="G328" s="4"/>
      <c r="H328" s="4"/>
      <c r="I328" s="4"/>
      <c r="J328" s="4"/>
      <c r="K328" s="4"/>
      <c r="L328" s="53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76"/>
      <c r="F329" s="53"/>
      <c r="G329" s="4"/>
      <c r="H329" s="4"/>
      <c r="I329" s="4"/>
      <c r="J329" s="4"/>
      <c r="K329" s="4"/>
      <c r="L329" s="53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76"/>
      <c r="F330" s="53"/>
      <c r="G330" s="4"/>
      <c r="H330" s="4"/>
      <c r="I330" s="4"/>
      <c r="J330" s="4"/>
      <c r="K330" s="4"/>
      <c r="L330" s="53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76"/>
      <c r="F331" s="53"/>
      <c r="G331" s="4"/>
      <c r="H331" s="4"/>
      <c r="I331" s="4"/>
      <c r="J331" s="4"/>
      <c r="K331" s="4"/>
      <c r="L331" s="53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76"/>
      <c r="F332" s="53"/>
      <c r="G332" s="4"/>
      <c r="H332" s="4"/>
      <c r="I332" s="4"/>
      <c r="J332" s="4"/>
      <c r="K332" s="4"/>
      <c r="L332" s="53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76"/>
      <c r="F333" s="53"/>
      <c r="G333" s="4"/>
      <c r="H333" s="4"/>
      <c r="I333" s="4"/>
      <c r="J333" s="4"/>
      <c r="K333" s="4"/>
      <c r="L333" s="53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76"/>
      <c r="F334" s="53"/>
      <c r="G334" s="4"/>
      <c r="H334" s="4"/>
      <c r="I334" s="4"/>
      <c r="J334" s="4"/>
      <c r="K334" s="4"/>
      <c r="L334" s="53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76"/>
      <c r="F335" s="53"/>
      <c r="G335" s="4"/>
      <c r="H335" s="4"/>
      <c r="I335" s="4"/>
      <c r="J335" s="4"/>
      <c r="K335" s="4"/>
      <c r="L335" s="53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76"/>
      <c r="F336" s="53"/>
      <c r="G336" s="4"/>
      <c r="H336" s="4"/>
      <c r="I336" s="4"/>
      <c r="J336" s="4"/>
      <c r="K336" s="4"/>
      <c r="L336" s="53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76"/>
      <c r="F337" s="53"/>
      <c r="G337" s="4"/>
      <c r="H337" s="4"/>
      <c r="I337" s="4"/>
      <c r="J337" s="4"/>
      <c r="K337" s="4"/>
      <c r="L337" s="53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76"/>
      <c r="F338" s="53"/>
      <c r="G338" s="4"/>
      <c r="H338" s="4"/>
      <c r="I338" s="4"/>
      <c r="J338" s="4"/>
      <c r="K338" s="4"/>
      <c r="L338" s="53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76"/>
      <c r="F339" s="53"/>
      <c r="G339" s="4"/>
      <c r="H339" s="4"/>
      <c r="I339" s="4"/>
      <c r="J339" s="4"/>
      <c r="K339" s="4"/>
      <c r="L339" s="53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76"/>
      <c r="F340" s="53"/>
      <c r="G340" s="4"/>
      <c r="H340" s="4"/>
      <c r="I340" s="4"/>
      <c r="J340" s="4"/>
      <c r="K340" s="4"/>
      <c r="L340" s="53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76"/>
      <c r="F341" s="53"/>
      <c r="G341" s="4"/>
      <c r="H341" s="4"/>
      <c r="I341" s="4"/>
      <c r="J341" s="4"/>
      <c r="K341" s="4"/>
      <c r="L341" s="53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76"/>
      <c r="F342" s="53"/>
      <c r="G342" s="4"/>
      <c r="H342" s="4"/>
      <c r="I342" s="4"/>
      <c r="J342" s="4"/>
      <c r="K342" s="4"/>
      <c r="L342" s="53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76"/>
      <c r="F343" s="53"/>
      <c r="G343" s="4"/>
      <c r="H343" s="4"/>
      <c r="I343" s="4"/>
      <c r="J343" s="4"/>
      <c r="K343" s="4"/>
      <c r="L343" s="53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76"/>
      <c r="F344" s="53"/>
      <c r="G344" s="4"/>
      <c r="H344" s="4"/>
      <c r="I344" s="4"/>
      <c r="J344" s="4"/>
      <c r="K344" s="4"/>
      <c r="L344" s="53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76"/>
      <c r="F345" s="53"/>
      <c r="G345" s="4"/>
      <c r="H345" s="4"/>
      <c r="I345" s="4"/>
      <c r="J345" s="4"/>
      <c r="K345" s="4"/>
      <c r="L345" s="53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76"/>
      <c r="F346" s="53"/>
      <c r="G346" s="4"/>
      <c r="H346" s="4"/>
      <c r="I346" s="4"/>
      <c r="J346" s="4"/>
      <c r="K346" s="4"/>
      <c r="L346" s="53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76"/>
      <c r="F347" s="53"/>
      <c r="G347" s="4"/>
      <c r="H347" s="4"/>
      <c r="I347" s="4"/>
      <c r="J347" s="4"/>
      <c r="K347" s="4"/>
      <c r="L347" s="53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76"/>
      <c r="F348" s="53"/>
      <c r="G348" s="4"/>
      <c r="H348" s="4"/>
      <c r="I348" s="4"/>
      <c r="J348" s="4"/>
      <c r="K348" s="4"/>
      <c r="L348" s="53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76"/>
      <c r="F349" s="53"/>
      <c r="G349" s="4"/>
      <c r="H349" s="4"/>
      <c r="I349" s="4"/>
      <c r="J349" s="4"/>
      <c r="K349" s="4"/>
      <c r="L349" s="53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76"/>
      <c r="F350" s="53"/>
      <c r="G350" s="4"/>
      <c r="H350" s="4"/>
      <c r="I350" s="4"/>
      <c r="J350" s="4"/>
      <c r="K350" s="4"/>
      <c r="L350" s="53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76"/>
      <c r="F351" s="53"/>
      <c r="G351" s="4"/>
      <c r="H351" s="4"/>
      <c r="I351" s="4"/>
      <c r="J351" s="4"/>
      <c r="K351" s="4"/>
      <c r="L351" s="53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76"/>
      <c r="F352" s="53"/>
      <c r="G352" s="4"/>
      <c r="H352" s="4"/>
      <c r="I352" s="4"/>
      <c r="J352" s="4"/>
      <c r="K352" s="4"/>
      <c r="L352" s="53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76"/>
      <c r="F353" s="53"/>
      <c r="G353" s="4"/>
      <c r="H353" s="4"/>
      <c r="I353" s="4"/>
      <c r="J353" s="4"/>
      <c r="K353" s="4"/>
      <c r="L353" s="53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76"/>
      <c r="F354" s="53"/>
      <c r="G354" s="4"/>
      <c r="H354" s="4"/>
      <c r="I354" s="4"/>
      <c r="J354" s="4"/>
      <c r="K354" s="4"/>
      <c r="L354" s="53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76"/>
      <c r="F355" s="53"/>
      <c r="G355" s="4"/>
      <c r="H355" s="4"/>
      <c r="I355" s="4"/>
      <c r="J355" s="4"/>
      <c r="K355" s="4"/>
      <c r="L355" s="53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76"/>
      <c r="F356" s="53"/>
      <c r="G356" s="4"/>
      <c r="H356" s="4"/>
      <c r="I356" s="4"/>
      <c r="J356" s="4"/>
      <c r="K356" s="4"/>
      <c r="L356" s="53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76"/>
      <c r="F357" s="53"/>
      <c r="G357" s="4"/>
      <c r="H357" s="4"/>
      <c r="I357" s="4"/>
      <c r="J357" s="4"/>
      <c r="K357" s="4"/>
      <c r="L357" s="53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76"/>
      <c r="F358" s="53"/>
      <c r="G358" s="4"/>
      <c r="H358" s="4"/>
      <c r="I358" s="4"/>
      <c r="J358" s="4"/>
      <c r="K358" s="4"/>
      <c r="L358" s="53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76"/>
      <c r="F359" s="53"/>
      <c r="G359" s="4"/>
      <c r="H359" s="4"/>
      <c r="I359" s="4"/>
      <c r="J359" s="4"/>
      <c r="K359" s="4"/>
      <c r="L359" s="53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76"/>
      <c r="F360" s="53"/>
      <c r="G360" s="4"/>
      <c r="H360" s="4"/>
      <c r="I360" s="4"/>
      <c r="J360" s="4"/>
      <c r="K360" s="4"/>
      <c r="L360" s="53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76"/>
      <c r="F361" s="53"/>
      <c r="G361" s="4"/>
      <c r="H361" s="4"/>
      <c r="I361" s="4"/>
      <c r="J361" s="4"/>
      <c r="K361" s="4"/>
      <c r="L361" s="53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76"/>
      <c r="F362" s="53"/>
      <c r="G362" s="4"/>
      <c r="H362" s="4"/>
      <c r="I362" s="4"/>
      <c r="J362" s="4"/>
      <c r="K362" s="4"/>
      <c r="L362" s="53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76"/>
      <c r="F363" s="53"/>
      <c r="G363" s="4"/>
      <c r="H363" s="4"/>
      <c r="I363" s="4"/>
      <c r="J363" s="4"/>
      <c r="K363" s="4"/>
      <c r="L363" s="53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76"/>
      <c r="F364" s="53"/>
      <c r="G364" s="4"/>
      <c r="H364" s="4"/>
      <c r="I364" s="4"/>
      <c r="J364" s="4"/>
      <c r="K364" s="4"/>
      <c r="L364" s="53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76"/>
      <c r="F365" s="53"/>
      <c r="G365" s="4"/>
      <c r="H365" s="4"/>
      <c r="I365" s="4"/>
      <c r="J365" s="4"/>
      <c r="K365" s="4"/>
      <c r="L365" s="53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76"/>
      <c r="F366" s="53"/>
      <c r="G366" s="4"/>
      <c r="H366" s="4"/>
      <c r="I366" s="4"/>
      <c r="J366" s="4"/>
      <c r="K366" s="4"/>
      <c r="L366" s="53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76"/>
      <c r="F367" s="53"/>
      <c r="G367" s="4"/>
      <c r="H367" s="4"/>
      <c r="I367" s="4"/>
      <c r="J367" s="4"/>
      <c r="K367" s="4"/>
      <c r="L367" s="53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76"/>
      <c r="F368" s="53"/>
      <c r="G368" s="4"/>
      <c r="H368" s="4"/>
      <c r="I368" s="4"/>
      <c r="J368" s="4"/>
      <c r="K368" s="4"/>
      <c r="L368" s="53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76"/>
      <c r="F369" s="53"/>
      <c r="G369" s="4"/>
      <c r="H369" s="4"/>
      <c r="I369" s="4"/>
      <c r="J369" s="4"/>
      <c r="K369" s="4"/>
      <c r="L369" s="53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76"/>
      <c r="F370" s="53"/>
      <c r="G370" s="4"/>
      <c r="H370" s="4"/>
      <c r="I370" s="4"/>
      <c r="J370" s="4"/>
      <c r="K370" s="4"/>
      <c r="L370" s="53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76"/>
      <c r="F371" s="53"/>
      <c r="G371" s="4"/>
      <c r="H371" s="4"/>
      <c r="I371" s="4"/>
      <c r="J371" s="4"/>
      <c r="K371" s="4"/>
      <c r="L371" s="53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76"/>
      <c r="F372" s="53"/>
      <c r="G372" s="4"/>
      <c r="H372" s="4"/>
      <c r="I372" s="4"/>
      <c r="J372" s="4"/>
      <c r="K372" s="4"/>
      <c r="L372" s="53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76"/>
      <c r="F373" s="53"/>
      <c r="G373" s="4"/>
      <c r="H373" s="4"/>
      <c r="I373" s="4"/>
      <c r="J373" s="4"/>
      <c r="K373" s="4"/>
      <c r="L373" s="53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76"/>
      <c r="F374" s="53"/>
      <c r="G374" s="4"/>
      <c r="H374" s="4"/>
      <c r="I374" s="4"/>
      <c r="J374" s="4"/>
      <c r="K374" s="4"/>
      <c r="L374" s="53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76"/>
      <c r="F375" s="53"/>
      <c r="G375" s="4"/>
      <c r="H375" s="4"/>
      <c r="I375" s="4"/>
      <c r="J375" s="4"/>
      <c r="K375" s="4"/>
      <c r="L375" s="53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76"/>
      <c r="F376" s="53"/>
      <c r="G376" s="4"/>
      <c r="H376" s="4"/>
      <c r="I376" s="4"/>
      <c r="J376" s="4"/>
      <c r="K376" s="4"/>
      <c r="L376" s="53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76"/>
      <c r="F377" s="53"/>
      <c r="G377" s="4"/>
      <c r="H377" s="4"/>
      <c r="I377" s="4"/>
      <c r="J377" s="4"/>
      <c r="K377" s="4"/>
      <c r="L377" s="53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76"/>
      <c r="F378" s="53"/>
      <c r="G378" s="4"/>
      <c r="H378" s="4"/>
      <c r="I378" s="4"/>
      <c r="J378" s="4"/>
      <c r="K378" s="4"/>
      <c r="L378" s="53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76"/>
      <c r="F379" s="53"/>
      <c r="G379" s="4"/>
      <c r="H379" s="4"/>
      <c r="I379" s="4"/>
      <c r="J379" s="4"/>
      <c r="K379" s="4"/>
      <c r="L379" s="53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76"/>
      <c r="F380" s="53"/>
      <c r="G380" s="4"/>
      <c r="H380" s="4"/>
      <c r="I380" s="4"/>
      <c r="J380" s="4"/>
      <c r="K380" s="4"/>
      <c r="L380" s="53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76"/>
      <c r="F381" s="53"/>
      <c r="G381" s="4"/>
      <c r="H381" s="4"/>
      <c r="I381" s="4"/>
      <c r="J381" s="4"/>
      <c r="K381" s="4"/>
      <c r="L381" s="53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76"/>
      <c r="F382" s="53"/>
      <c r="G382" s="4"/>
      <c r="H382" s="4"/>
      <c r="I382" s="4"/>
      <c r="J382" s="4"/>
      <c r="K382" s="4"/>
      <c r="L382" s="53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76"/>
      <c r="F383" s="53"/>
      <c r="G383" s="4"/>
      <c r="H383" s="4"/>
      <c r="I383" s="4"/>
      <c r="J383" s="4"/>
      <c r="K383" s="4"/>
      <c r="L383" s="53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76"/>
      <c r="F384" s="53"/>
      <c r="G384" s="4"/>
      <c r="H384" s="4"/>
      <c r="I384" s="4"/>
      <c r="J384" s="4"/>
      <c r="K384" s="4"/>
      <c r="L384" s="53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76"/>
      <c r="F385" s="53"/>
      <c r="G385" s="4"/>
      <c r="H385" s="4"/>
      <c r="I385" s="4"/>
      <c r="J385" s="4"/>
      <c r="K385" s="4"/>
      <c r="L385" s="53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76"/>
      <c r="F386" s="53"/>
      <c r="G386" s="4"/>
      <c r="H386" s="4"/>
      <c r="I386" s="4"/>
      <c r="J386" s="4"/>
      <c r="K386" s="4"/>
      <c r="L386" s="53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76"/>
      <c r="F387" s="53"/>
      <c r="G387" s="4"/>
      <c r="H387" s="4"/>
      <c r="I387" s="4"/>
      <c r="J387" s="4"/>
      <c r="K387" s="4"/>
      <c r="L387" s="53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76"/>
      <c r="F388" s="53"/>
      <c r="G388" s="4"/>
      <c r="H388" s="4"/>
      <c r="I388" s="4"/>
      <c r="J388" s="4"/>
      <c r="K388" s="4"/>
      <c r="L388" s="53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76"/>
      <c r="F389" s="53"/>
      <c r="G389" s="4"/>
      <c r="H389" s="4"/>
      <c r="I389" s="4"/>
      <c r="J389" s="4"/>
      <c r="K389" s="4"/>
      <c r="L389" s="53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76"/>
      <c r="F390" s="53"/>
      <c r="G390" s="4"/>
      <c r="H390" s="4"/>
      <c r="I390" s="4"/>
      <c r="J390" s="4"/>
      <c r="K390" s="4"/>
      <c r="L390" s="53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76"/>
      <c r="F391" s="53"/>
      <c r="G391" s="4"/>
      <c r="H391" s="4"/>
      <c r="I391" s="4"/>
      <c r="J391" s="4"/>
      <c r="K391" s="4"/>
      <c r="L391" s="53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76"/>
      <c r="F392" s="53"/>
      <c r="G392" s="4"/>
      <c r="H392" s="4"/>
      <c r="I392" s="4"/>
      <c r="J392" s="4"/>
      <c r="K392" s="4"/>
      <c r="L392" s="53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76"/>
      <c r="F393" s="53"/>
      <c r="G393" s="4"/>
      <c r="H393" s="4"/>
      <c r="I393" s="4"/>
      <c r="J393" s="4"/>
      <c r="K393" s="4"/>
      <c r="L393" s="53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76"/>
      <c r="F394" s="53"/>
      <c r="G394" s="4"/>
      <c r="H394" s="4"/>
      <c r="I394" s="4"/>
      <c r="J394" s="4"/>
      <c r="K394" s="4"/>
      <c r="L394" s="53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76"/>
      <c r="F395" s="53"/>
      <c r="G395" s="4"/>
      <c r="H395" s="4"/>
      <c r="I395" s="4"/>
      <c r="J395" s="4"/>
      <c r="K395" s="4"/>
      <c r="L395" s="53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76"/>
      <c r="F396" s="53"/>
      <c r="G396" s="4"/>
      <c r="H396" s="4"/>
      <c r="I396" s="4"/>
      <c r="J396" s="4"/>
      <c r="K396" s="4"/>
      <c r="L396" s="53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76"/>
      <c r="F397" s="53"/>
      <c r="G397" s="4"/>
      <c r="H397" s="4"/>
      <c r="I397" s="4"/>
      <c r="J397" s="4"/>
      <c r="K397" s="4"/>
      <c r="L397" s="53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76"/>
      <c r="F398" s="53"/>
      <c r="G398" s="4"/>
      <c r="H398" s="4"/>
      <c r="I398" s="4"/>
      <c r="J398" s="4"/>
      <c r="K398" s="4"/>
      <c r="L398" s="53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76"/>
      <c r="F399" s="53"/>
      <c r="G399" s="4"/>
      <c r="H399" s="4"/>
      <c r="I399" s="4"/>
      <c r="J399" s="4"/>
      <c r="K399" s="4"/>
      <c r="L399" s="53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76"/>
      <c r="F400" s="53"/>
      <c r="G400" s="4"/>
      <c r="H400" s="4"/>
      <c r="I400" s="4"/>
      <c r="J400" s="4"/>
      <c r="K400" s="4"/>
      <c r="L400" s="53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76"/>
      <c r="F401" s="53"/>
      <c r="G401" s="4"/>
      <c r="H401" s="4"/>
      <c r="I401" s="4"/>
      <c r="J401" s="4"/>
      <c r="K401" s="4"/>
      <c r="L401" s="53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76"/>
      <c r="F402" s="53"/>
      <c r="G402" s="4"/>
      <c r="H402" s="4"/>
      <c r="I402" s="4"/>
      <c r="J402" s="4"/>
      <c r="K402" s="4"/>
      <c r="L402" s="53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76"/>
      <c r="F403" s="53"/>
      <c r="G403" s="4"/>
      <c r="H403" s="4"/>
      <c r="I403" s="4"/>
      <c r="J403" s="4"/>
      <c r="K403" s="4"/>
      <c r="L403" s="53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76"/>
      <c r="F404" s="53"/>
      <c r="G404" s="4"/>
      <c r="H404" s="4"/>
      <c r="I404" s="4"/>
      <c r="J404" s="4"/>
      <c r="K404" s="4"/>
      <c r="L404" s="53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76"/>
      <c r="F405" s="53"/>
      <c r="G405" s="4"/>
      <c r="H405" s="4"/>
      <c r="I405" s="4"/>
      <c r="J405" s="4"/>
      <c r="K405" s="4"/>
      <c r="L405" s="53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76"/>
      <c r="F406" s="53"/>
      <c r="G406" s="4"/>
      <c r="H406" s="4"/>
      <c r="I406" s="4"/>
      <c r="J406" s="4"/>
      <c r="K406" s="4"/>
      <c r="L406" s="53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76"/>
      <c r="F407" s="53"/>
      <c r="G407" s="4"/>
      <c r="H407" s="4"/>
      <c r="I407" s="4"/>
      <c r="J407" s="4"/>
      <c r="K407" s="4"/>
      <c r="L407" s="53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76"/>
      <c r="F408" s="53"/>
      <c r="G408" s="4"/>
      <c r="H408" s="4"/>
      <c r="I408" s="4"/>
      <c r="J408" s="4"/>
      <c r="K408" s="4"/>
      <c r="L408" s="53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76"/>
      <c r="F409" s="53"/>
      <c r="G409" s="4"/>
      <c r="H409" s="4"/>
      <c r="I409" s="4"/>
      <c r="J409" s="4"/>
      <c r="K409" s="4"/>
      <c r="L409" s="53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76"/>
      <c r="F410" s="53"/>
      <c r="G410" s="4"/>
      <c r="H410" s="4"/>
      <c r="I410" s="4"/>
      <c r="J410" s="4"/>
      <c r="K410" s="4"/>
      <c r="L410" s="53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76"/>
      <c r="F411" s="53"/>
      <c r="G411" s="4"/>
      <c r="H411" s="4"/>
      <c r="I411" s="4"/>
      <c r="J411" s="4"/>
      <c r="K411" s="4"/>
      <c r="L411" s="53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76"/>
      <c r="F412" s="53"/>
      <c r="G412" s="4"/>
      <c r="H412" s="4"/>
      <c r="I412" s="4"/>
      <c r="J412" s="4"/>
      <c r="K412" s="4"/>
      <c r="L412" s="53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76"/>
      <c r="F413" s="53"/>
      <c r="G413" s="4"/>
      <c r="H413" s="4"/>
      <c r="I413" s="4"/>
      <c r="J413" s="4"/>
      <c r="K413" s="4"/>
      <c r="L413" s="53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76"/>
      <c r="F414" s="53"/>
      <c r="G414" s="4"/>
      <c r="H414" s="4"/>
      <c r="I414" s="4"/>
      <c r="J414" s="4"/>
      <c r="K414" s="4"/>
      <c r="L414" s="53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76"/>
      <c r="F415" s="53"/>
      <c r="G415" s="4"/>
      <c r="H415" s="4"/>
      <c r="I415" s="4"/>
      <c r="J415" s="4"/>
      <c r="K415" s="4"/>
      <c r="L415" s="53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76"/>
      <c r="F416" s="53"/>
      <c r="G416" s="4"/>
      <c r="H416" s="4"/>
      <c r="I416" s="4"/>
      <c r="J416" s="4"/>
      <c r="K416" s="4"/>
      <c r="L416" s="53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76"/>
      <c r="F417" s="53"/>
      <c r="G417" s="4"/>
      <c r="H417" s="4"/>
      <c r="I417" s="4"/>
      <c r="J417" s="4"/>
      <c r="K417" s="4"/>
      <c r="L417" s="53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76"/>
      <c r="F418" s="53"/>
      <c r="G418" s="4"/>
      <c r="H418" s="4"/>
      <c r="I418" s="4"/>
      <c r="J418" s="4"/>
      <c r="K418" s="4"/>
      <c r="L418" s="53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76"/>
      <c r="F419" s="53"/>
      <c r="G419" s="4"/>
      <c r="H419" s="4"/>
      <c r="I419" s="4"/>
      <c r="J419" s="4"/>
      <c r="K419" s="4"/>
      <c r="L419" s="53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76"/>
      <c r="F420" s="53"/>
      <c r="G420" s="4"/>
      <c r="H420" s="4"/>
      <c r="I420" s="4"/>
      <c r="J420" s="4"/>
      <c r="K420" s="4"/>
      <c r="L420" s="53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76"/>
      <c r="F421" s="53"/>
      <c r="G421" s="4"/>
      <c r="H421" s="4"/>
      <c r="I421" s="4"/>
      <c r="J421" s="4"/>
      <c r="K421" s="4"/>
      <c r="L421" s="53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76"/>
      <c r="F422" s="53"/>
      <c r="G422" s="4"/>
      <c r="H422" s="4"/>
      <c r="I422" s="4"/>
      <c r="J422" s="4"/>
      <c r="K422" s="4"/>
      <c r="L422" s="53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76"/>
      <c r="F423" s="53"/>
      <c r="G423" s="4"/>
      <c r="H423" s="4"/>
      <c r="I423" s="4"/>
      <c r="J423" s="4"/>
      <c r="K423" s="4"/>
      <c r="L423" s="53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76"/>
      <c r="F424" s="53"/>
      <c r="G424" s="4"/>
      <c r="H424" s="4"/>
      <c r="I424" s="4"/>
      <c r="J424" s="4"/>
      <c r="K424" s="4"/>
      <c r="L424" s="53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76"/>
      <c r="F425" s="53"/>
      <c r="G425" s="4"/>
      <c r="H425" s="4"/>
      <c r="I425" s="4"/>
      <c r="J425" s="4"/>
      <c r="K425" s="4"/>
      <c r="L425" s="53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76"/>
      <c r="F426" s="53"/>
      <c r="G426" s="4"/>
      <c r="H426" s="4"/>
      <c r="I426" s="4"/>
      <c r="J426" s="4"/>
      <c r="K426" s="4"/>
      <c r="L426" s="53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76"/>
      <c r="F427" s="53"/>
      <c r="G427" s="4"/>
      <c r="H427" s="4"/>
      <c r="I427" s="4"/>
      <c r="J427" s="4"/>
      <c r="K427" s="4"/>
      <c r="L427" s="53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76"/>
      <c r="F428" s="53"/>
      <c r="G428" s="4"/>
      <c r="H428" s="4"/>
      <c r="I428" s="4"/>
      <c r="J428" s="4"/>
      <c r="K428" s="4"/>
      <c r="L428" s="53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76"/>
      <c r="F429" s="53"/>
      <c r="G429" s="4"/>
      <c r="H429" s="4"/>
      <c r="I429" s="4"/>
      <c r="J429" s="4"/>
      <c r="K429" s="4"/>
      <c r="L429" s="53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76"/>
      <c r="F430" s="53"/>
      <c r="G430" s="4"/>
      <c r="H430" s="4"/>
      <c r="I430" s="4"/>
      <c r="J430" s="4"/>
      <c r="K430" s="4"/>
      <c r="L430" s="53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76"/>
      <c r="F431" s="53"/>
      <c r="G431" s="4"/>
      <c r="H431" s="4"/>
      <c r="I431" s="4"/>
      <c r="J431" s="4"/>
      <c r="K431" s="4"/>
      <c r="L431" s="53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76"/>
      <c r="F432" s="53"/>
      <c r="G432" s="4"/>
      <c r="H432" s="4"/>
      <c r="I432" s="4"/>
      <c r="J432" s="4"/>
      <c r="K432" s="4"/>
      <c r="L432" s="53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76"/>
      <c r="F433" s="53"/>
      <c r="G433" s="4"/>
      <c r="H433" s="4"/>
      <c r="I433" s="4"/>
      <c r="J433" s="4"/>
      <c r="K433" s="4"/>
      <c r="L433" s="53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76"/>
      <c r="F434" s="53"/>
      <c r="G434" s="4"/>
      <c r="H434" s="4"/>
      <c r="I434" s="4"/>
      <c r="J434" s="4"/>
      <c r="K434" s="4"/>
      <c r="L434" s="53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76"/>
      <c r="F435" s="53"/>
      <c r="G435" s="4"/>
      <c r="H435" s="4"/>
      <c r="I435" s="4"/>
      <c r="J435" s="4"/>
      <c r="K435" s="4"/>
      <c r="L435" s="53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76"/>
      <c r="F436" s="53"/>
      <c r="G436" s="4"/>
      <c r="H436" s="4"/>
      <c r="I436" s="4"/>
      <c r="J436" s="4"/>
      <c r="K436" s="4"/>
      <c r="L436" s="53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76"/>
      <c r="F437" s="53"/>
      <c r="G437" s="4"/>
      <c r="H437" s="4"/>
      <c r="I437" s="4"/>
      <c r="J437" s="4"/>
      <c r="K437" s="4"/>
      <c r="L437" s="53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76"/>
      <c r="F438" s="53"/>
      <c r="G438" s="4"/>
      <c r="H438" s="4"/>
      <c r="I438" s="4"/>
      <c r="J438" s="4"/>
      <c r="K438" s="4"/>
      <c r="L438" s="53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76"/>
      <c r="F439" s="53"/>
      <c r="G439" s="4"/>
      <c r="H439" s="4"/>
      <c r="I439" s="4"/>
      <c r="J439" s="4"/>
      <c r="K439" s="4"/>
      <c r="L439" s="53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76"/>
      <c r="F440" s="53"/>
      <c r="G440" s="4"/>
      <c r="H440" s="4"/>
      <c r="I440" s="4"/>
      <c r="J440" s="4"/>
      <c r="K440" s="4"/>
      <c r="L440" s="53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76"/>
      <c r="F441" s="53"/>
      <c r="G441" s="4"/>
      <c r="H441" s="4"/>
      <c r="I441" s="4"/>
      <c r="J441" s="4"/>
      <c r="K441" s="4"/>
      <c r="L441" s="53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76"/>
      <c r="F442" s="53"/>
      <c r="G442" s="4"/>
      <c r="H442" s="4"/>
      <c r="I442" s="4"/>
      <c r="J442" s="4"/>
      <c r="K442" s="4"/>
      <c r="L442" s="53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76"/>
      <c r="F443" s="53"/>
      <c r="G443" s="4"/>
      <c r="H443" s="4"/>
      <c r="I443" s="4"/>
      <c r="J443" s="4"/>
      <c r="K443" s="4"/>
      <c r="L443" s="53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76"/>
      <c r="F444" s="53"/>
      <c r="G444" s="4"/>
      <c r="H444" s="4"/>
      <c r="I444" s="4"/>
      <c r="J444" s="4"/>
      <c r="K444" s="4"/>
      <c r="L444" s="53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76"/>
      <c r="F445" s="53"/>
      <c r="G445" s="4"/>
      <c r="H445" s="4"/>
      <c r="I445" s="4"/>
      <c r="J445" s="4"/>
      <c r="K445" s="4"/>
      <c r="L445" s="53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76"/>
      <c r="F446" s="53"/>
      <c r="G446" s="4"/>
      <c r="H446" s="4"/>
      <c r="I446" s="4"/>
      <c r="J446" s="4"/>
      <c r="K446" s="4"/>
      <c r="L446" s="53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76"/>
      <c r="F447" s="53"/>
      <c r="G447" s="4"/>
      <c r="H447" s="4"/>
      <c r="I447" s="4"/>
      <c r="J447" s="4"/>
      <c r="K447" s="4"/>
      <c r="L447" s="53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76"/>
      <c r="F448" s="53"/>
      <c r="G448" s="4"/>
      <c r="H448" s="4"/>
      <c r="I448" s="4"/>
      <c r="J448" s="4"/>
      <c r="K448" s="4"/>
      <c r="L448" s="53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76"/>
      <c r="F449" s="53"/>
      <c r="G449" s="4"/>
      <c r="H449" s="4"/>
      <c r="I449" s="4"/>
      <c r="J449" s="4"/>
      <c r="K449" s="4"/>
      <c r="L449" s="53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76"/>
      <c r="F450" s="53"/>
      <c r="G450" s="4"/>
      <c r="H450" s="4"/>
      <c r="I450" s="4"/>
      <c r="J450" s="4"/>
      <c r="K450" s="4"/>
      <c r="L450" s="53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76"/>
      <c r="F451" s="53"/>
      <c r="G451" s="4"/>
      <c r="H451" s="4"/>
      <c r="I451" s="4"/>
      <c r="J451" s="4"/>
      <c r="K451" s="4"/>
      <c r="L451" s="53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76"/>
      <c r="F452" s="53"/>
      <c r="G452" s="4"/>
      <c r="H452" s="4"/>
      <c r="I452" s="4"/>
      <c r="J452" s="4"/>
      <c r="K452" s="4"/>
      <c r="L452" s="53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76"/>
      <c r="F453" s="53"/>
      <c r="G453" s="4"/>
      <c r="H453" s="4"/>
      <c r="I453" s="4"/>
      <c r="J453" s="4"/>
      <c r="K453" s="4"/>
      <c r="L453" s="53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76"/>
      <c r="F454" s="53"/>
      <c r="G454" s="4"/>
      <c r="H454" s="4"/>
      <c r="I454" s="4"/>
      <c r="J454" s="4"/>
      <c r="K454" s="4"/>
      <c r="L454" s="53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76"/>
      <c r="F455" s="53"/>
      <c r="G455" s="4"/>
      <c r="H455" s="4"/>
      <c r="I455" s="4"/>
      <c r="J455" s="4"/>
      <c r="K455" s="4"/>
      <c r="L455" s="53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76"/>
      <c r="F456" s="53"/>
      <c r="G456" s="4"/>
      <c r="H456" s="4"/>
      <c r="I456" s="4"/>
      <c r="J456" s="4"/>
      <c r="K456" s="4"/>
      <c r="L456" s="53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76"/>
      <c r="F457" s="53"/>
      <c r="G457" s="4"/>
      <c r="H457" s="4"/>
      <c r="I457" s="4"/>
      <c r="J457" s="4"/>
      <c r="K457" s="4"/>
      <c r="L457" s="53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76"/>
      <c r="F458" s="53"/>
      <c r="G458" s="4"/>
      <c r="H458" s="4"/>
      <c r="I458" s="4"/>
      <c r="J458" s="4"/>
      <c r="K458" s="4"/>
      <c r="L458" s="53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76"/>
      <c r="F459" s="53"/>
      <c r="G459" s="4"/>
      <c r="H459" s="4"/>
      <c r="I459" s="4"/>
      <c r="J459" s="4"/>
      <c r="K459" s="4"/>
      <c r="L459" s="53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76"/>
      <c r="F460" s="53"/>
      <c r="G460" s="4"/>
      <c r="H460" s="4"/>
      <c r="I460" s="4"/>
      <c r="J460" s="4"/>
      <c r="K460" s="4"/>
      <c r="L460" s="53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76"/>
      <c r="F461" s="53"/>
      <c r="G461" s="4"/>
      <c r="H461" s="4"/>
      <c r="I461" s="4"/>
      <c r="J461" s="4"/>
      <c r="K461" s="4"/>
      <c r="L461" s="53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76"/>
      <c r="F462" s="53"/>
      <c r="G462" s="4"/>
      <c r="H462" s="4"/>
      <c r="I462" s="4"/>
      <c r="J462" s="4"/>
      <c r="K462" s="4"/>
      <c r="L462" s="53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76"/>
      <c r="F463" s="53"/>
      <c r="G463" s="4"/>
      <c r="H463" s="4"/>
      <c r="I463" s="4"/>
      <c r="J463" s="4"/>
      <c r="K463" s="4"/>
      <c r="L463" s="53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76"/>
      <c r="F464" s="53"/>
      <c r="G464" s="4"/>
      <c r="H464" s="4"/>
      <c r="I464" s="4"/>
      <c r="J464" s="4"/>
      <c r="K464" s="4"/>
      <c r="L464" s="53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76"/>
      <c r="F465" s="53"/>
      <c r="G465" s="4"/>
      <c r="H465" s="4"/>
      <c r="I465" s="4"/>
      <c r="J465" s="4"/>
      <c r="K465" s="4"/>
      <c r="L465" s="53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76"/>
      <c r="F466" s="53"/>
      <c r="G466" s="4"/>
      <c r="H466" s="4"/>
      <c r="I466" s="4"/>
      <c r="J466" s="4"/>
      <c r="K466" s="4"/>
      <c r="L466" s="53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76"/>
      <c r="F467" s="53"/>
      <c r="G467" s="4"/>
      <c r="H467" s="4"/>
      <c r="I467" s="4"/>
      <c r="J467" s="4"/>
      <c r="K467" s="4"/>
      <c r="L467" s="53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76"/>
      <c r="F468" s="53"/>
      <c r="G468" s="4"/>
      <c r="H468" s="4"/>
      <c r="I468" s="4"/>
      <c r="J468" s="4"/>
      <c r="K468" s="4"/>
      <c r="L468" s="53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76"/>
      <c r="F469" s="53"/>
      <c r="G469" s="4"/>
      <c r="H469" s="4"/>
      <c r="I469" s="4"/>
      <c r="J469" s="4"/>
      <c r="K469" s="4"/>
      <c r="L469" s="53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76"/>
      <c r="F470" s="53"/>
      <c r="G470" s="4"/>
      <c r="H470" s="4"/>
      <c r="I470" s="4"/>
      <c r="J470" s="4"/>
      <c r="K470" s="4"/>
      <c r="L470" s="53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76"/>
      <c r="F471" s="53"/>
      <c r="G471" s="4"/>
      <c r="H471" s="4"/>
      <c r="I471" s="4"/>
      <c r="J471" s="4"/>
      <c r="K471" s="4"/>
      <c r="L471" s="53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76"/>
      <c r="F472" s="53"/>
      <c r="G472" s="4"/>
      <c r="H472" s="4"/>
      <c r="I472" s="4"/>
      <c r="J472" s="4"/>
      <c r="K472" s="4"/>
      <c r="L472" s="53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76"/>
      <c r="F473" s="53"/>
      <c r="G473" s="4"/>
      <c r="H473" s="4"/>
      <c r="I473" s="4"/>
      <c r="J473" s="4"/>
      <c r="K473" s="4"/>
      <c r="L473" s="53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76"/>
      <c r="F474" s="53"/>
      <c r="G474" s="4"/>
      <c r="H474" s="4"/>
      <c r="I474" s="4"/>
      <c r="J474" s="4"/>
      <c r="K474" s="4"/>
      <c r="L474" s="53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76"/>
      <c r="F475" s="53"/>
      <c r="G475" s="4"/>
      <c r="H475" s="4"/>
      <c r="I475" s="4"/>
      <c r="J475" s="4"/>
      <c r="K475" s="4"/>
      <c r="L475" s="53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76"/>
      <c r="F476" s="53"/>
      <c r="G476" s="4"/>
      <c r="H476" s="4"/>
      <c r="I476" s="4"/>
      <c r="J476" s="4"/>
      <c r="K476" s="4"/>
      <c r="L476" s="53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76"/>
      <c r="F477" s="53"/>
      <c r="G477" s="4"/>
      <c r="H477" s="4"/>
      <c r="I477" s="4"/>
      <c r="J477" s="4"/>
      <c r="K477" s="4"/>
      <c r="L477" s="53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76"/>
      <c r="F478" s="53"/>
      <c r="G478" s="4"/>
      <c r="H478" s="4"/>
      <c r="I478" s="4"/>
      <c r="J478" s="4"/>
      <c r="K478" s="4"/>
      <c r="L478" s="53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76"/>
      <c r="F479" s="53"/>
      <c r="G479" s="4"/>
      <c r="H479" s="4"/>
      <c r="I479" s="4"/>
      <c r="J479" s="4"/>
      <c r="K479" s="4"/>
      <c r="L479" s="53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76"/>
      <c r="F480" s="53"/>
      <c r="G480" s="4"/>
      <c r="H480" s="4"/>
      <c r="I480" s="4"/>
      <c r="J480" s="4"/>
      <c r="K480" s="4"/>
      <c r="L480" s="53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76"/>
      <c r="F481" s="53"/>
      <c r="G481" s="4"/>
      <c r="H481" s="4"/>
      <c r="I481" s="4"/>
      <c r="J481" s="4"/>
      <c r="K481" s="4"/>
      <c r="L481" s="53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76"/>
      <c r="F482" s="53"/>
      <c r="G482" s="4"/>
      <c r="H482" s="4"/>
      <c r="I482" s="4"/>
      <c r="J482" s="4"/>
      <c r="K482" s="4"/>
      <c r="L482" s="53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76"/>
      <c r="F483" s="53"/>
      <c r="G483" s="4"/>
      <c r="H483" s="4"/>
      <c r="I483" s="4"/>
      <c r="J483" s="4"/>
      <c r="K483" s="4"/>
      <c r="L483" s="53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76"/>
      <c r="F484" s="53"/>
      <c r="G484" s="4"/>
      <c r="H484" s="4"/>
      <c r="I484" s="4"/>
      <c r="J484" s="4"/>
      <c r="K484" s="4"/>
      <c r="L484" s="53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76"/>
      <c r="F485" s="53"/>
      <c r="G485" s="4"/>
      <c r="H485" s="4"/>
      <c r="I485" s="4"/>
      <c r="J485" s="4"/>
      <c r="K485" s="4"/>
      <c r="L485" s="53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76"/>
      <c r="F486" s="53"/>
      <c r="G486" s="4"/>
      <c r="H486" s="4"/>
      <c r="I486" s="4"/>
      <c r="J486" s="4"/>
      <c r="K486" s="4"/>
      <c r="L486" s="53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76"/>
      <c r="F487" s="53"/>
      <c r="G487" s="4"/>
      <c r="H487" s="4"/>
      <c r="I487" s="4"/>
      <c r="J487" s="4"/>
      <c r="K487" s="4"/>
      <c r="L487" s="53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76"/>
      <c r="F488" s="53"/>
      <c r="G488" s="4"/>
      <c r="H488" s="4"/>
      <c r="I488" s="4"/>
      <c r="J488" s="4"/>
      <c r="K488" s="4"/>
      <c r="L488" s="53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76"/>
      <c r="F489" s="53"/>
      <c r="G489" s="4"/>
      <c r="H489" s="4"/>
      <c r="I489" s="4"/>
      <c r="J489" s="4"/>
      <c r="K489" s="4"/>
      <c r="L489" s="53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76"/>
      <c r="F490" s="53"/>
      <c r="G490" s="4"/>
      <c r="H490" s="4"/>
      <c r="I490" s="4"/>
      <c r="J490" s="4"/>
      <c r="K490" s="4"/>
      <c r="L490" s="53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76"/>
      <c r="F491" s="53"/>
      <c r="G491" s="4"/>
      <c r="H491" s="4"/>
      <c r="I491" s="4"/>
      <c r="J491" s="4"/>
      <c r="K491" s="4"/>
      <c r="L491" s="53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76"/>
      <c r="F492" s="53"/>
      <c r="G492" s="4"/>
      <c r="H492" s="4"/>
      <c r="I492" s="4"/>
      <c r="J492" s="4"/>
      <c r="K492" s="4"/>
      <c r="L492" s="53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76"/>
      <c r="F493" s="53"/>
      <c r="G493" s="4"/>
      <c r="H493" s="4"/>
      <c r="I493" s="4"/>
      <c r="J493" s="4"/>
      <c r="K493" s="4"/>
      <c r="L493" s="53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76"/>
      <c r="F494" s="53"/>
      <c r="G494" s="4"/>
      <c r="H494" s="4"/>
      <c r="I494" s="4"/>
      <c r="J494" s="4"/>
      <c r="K494" s="4"/>
      <c r="L494" s="53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76"/>
      <c r="F495" s="53"/>
      <c r="G495" s="4"/>
      <c r="H495" s="4"/>
      <c r="I495" s="4"/>
      <c r="J495" s="4"/>
      <c r="K495" s="4"/>
      <c r="L495" s="53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76"/>
      <c r="F496" s="53"/>
      <c r="G496" s="4"/>
      <c r="H496" s="4"/>
      <c r="I496" s="4"/>
      <c r="J496" s="4"/>
      <c r="K496" s="4"/>
      <c r="L496" s="53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76"/>
      <c r="F497" s="53"/>
      <c r="G497" s="4"/>
      <c r="H497" s="4"/>
      <c r="I497" s="4"/>
      <c r="J497" s="4"/>
      <c r="K497" s="4"/>
      <c r="L497" s="53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76"/>
      <c r="F498" s="53"/>
      <c r="G498" s="4"/>
      <c r="H498" s="4"/>
      <c r="I498" s="4"/>
      <c r="J498" s="4"/>
      <c r="K498" s="4"/>
      <c r="L498" s="53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76"/>
      <c r="F499" s="53"/>
      <c r="G499" s="4"/>
      <c r="H499" s="4"/>
      <c r="I499" s="4"/>
      <c r="J499" s="4"/>
      <c r="K499" s="4"/>
      <c r="L499" s="53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76"/>
      <c r="F500" s="53"/>
      <c r="G500" s="4"/>
      <c r="H500" s="4"/>
      <c r="I500" s="4"/>
      <c r="J500" s="4"/>
      <c r="K500" s="4"/>
      <c r="L500" s="53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76"/>
      <c r="F501" s="53"/>
      <c r="G501" s="4"/>
      <c r="H501" s="4"/>
      <c r="I501" s="4"/>
      <c r="J501" s="4"/>
      <c r="K501" s="4"/>
      <c r="L501" s="53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76"/>
      <c r="F502" s="53"/>
      <c r="G502" s="4"/>
      <c r="H502" s="4"/>
      <c r="I502" s="4"/>
      <c r="J502" s="4"/>
      <c r="K502" s="4"/>
      <c r="L502" s="53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76"/>
      <c r="F503" s="53"/>
      <c r="G503" s="4"/>
      <c r="H503" s="4"/>
      <c r="I503" s="4"/>
      <c r="J503" s="4"/>
      <c r="K503" s="4"/>
      <c r="L503" s="53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76"/>
      <c r="F504" s="53"/>
      <c r="G504" s="4"/>
      <c r="H504" s="4"/>
      <c r="I504" s="4"/>
      <c r="J504" s="4"/>
      <c r="K504" s="4"/>
      <c r="L504" s="53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76"/>
      <c r="F505" s="53"/>
      <c r="G505" s="4"/>
      <c r="H505" s="4"/>
      <c r="I505" s="4"/>
      <c r="J505" s="4"/>
      <c r="K505" s="4"/>
      <c r="L505" s="53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76"/>
      <c r="F506" s="53"/>
      <c r="G506" s="4"/>
      <c r="H506" s="4"/>
      <c r="I506" s="4"/>
      <c r="J506" s="4"/>
      <c r="K506" s="4"/>
      <c r="L506" s="53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76"/>
      <c r="F507" s="53"/>
      <c r="G507" s="4"/>
      <c r="H507" s="4"/>
      <c r="I507" s="4"/>
      <c r="J507" s="4"/>
      <c r="K507" s="4"/>
      <c r="L507" s="53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76"/>
      <c r="F508" s="53"/>
      <c r="G508" s="4"/>
      <c r="H508" s="4"/>
      <c r="I508" s="4"/>
      <c r="J508" s="4"/>
      <c r="K508" s="4"/>
      <c r="L508" s="53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76"/>
      <c r="F509" s="53"/>
      <c r="G509" s="4"/>
      <c r="H509" s="4"/>
      <c r="I509" s="4"/>
      <c r="J509" s="4"/>
      <c r="K509" s="4"/>
      <c r="L509" s="53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76"/>
      <c r="F510" s="53"/>
      <c r="G510" s="4"/>
      <c r="H510" s="4"/>
      <c r="I510" s="4"/>
      <c r="J510" s="4"/>
      <c r="K510" s="4"/>
      <c r="L510" s="53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76"/>
      <c r="F511" s="53"/>
      <c r="G511" s="4"/>
      <c r="H511" s="4"/>
      <c r="I511" s="4"/>
      <c r="J511" s="4"/>
      <c r="K511" s="4"/>
      <c r="L511" s="53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76"/>
      <c r="F512" s="53"/>
      <c r="G512" s="4"/>
      <c r="H512" s="4"/>
      <c r="I512" s="4"/>
      <c r="J512" s="4"/>
      <c r="K512" s="4"/>
      <c r="L512" s="53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76"/>
      <c r="F513" s="53"/>
      <c r="G513" s="4"/>
      <c r="H513" s="4"/>
      <c r="I513" s="4"/>
      <c r="J513" s="4"/>
      <c r="K513" s="4"/>
      <c r="L513" s="53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76"/>
      <c r="F514" s="53"/>
      <c r="G514" s="4"/>
      <c r="H514" s="4"/>
      <c r="I514" s="4"/>
      <c r="J514" s="4"/>
      <c r="K514" s="4"/>
      <c r="L514" s="53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76"/>
      <c r="F515" s="53"/>
      <c r="G515" s="4"/>
      <c r="H515" s="4"/>
      <c r="I515" s="4"/>
      <c r="J515" s="4"/>
      <c r="K515" s="4"/>
      <c r="L515" s="53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76"/>
      <c r="F516" s="53"/>
      <c r="G516" s="4"/>
      <c r="H516" s="4"/>
      <c r="I516" s="4"/>
      <c r="J516" s="4"/>
      <c r="K516" s="4"/>
      <c r="L516" s="53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76"/>
      <c r="F517" s="53"/>
      <c r="G517" s="4"/>
      <c r="H517" s="4"/>
      <c r="I517" s="4"/>
      <c r="J517" s="4"/>
      <c r="K517" s="4"/>
      <c r="L517" s="53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76"/>
      <c r="F518" s="53"/>
      <c r="G518" s="4"/>
      <c r="H518" s="4"/>
      <c r="I518" s="4"/>
      <c r="J518" s="4"/>
      <c r="K518" s="4"/>
      <c r="L518" s="53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76"/>
      <c r="F519" s="53"/>
      <c r="G519" s="4"/>
      <c r="H519" s="4"/>
      <c r="I519" s="4"/>
      <c r="J519" s="4"/>
      <c r="K519" s="4"/>
      <c r="L519" s="53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76"/>
      <c r="F520" s="53"/>
      <c r="G520" s="4"/>
      <c r="H520" s="4"/>
      <c r="I520" s="4"/>
      <c r="J520" s="4"/>
      <c r="K520" s="4"/>
      <c r="L520" s="53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76"/>
      <c r="F521" s="53"/>
      <c r="G521" s="4"/>
      <c r="H521" s="4"/>
      <c r="I521" s="4"/>
      <c r="J521" s="4"/>
      <c r="K521" s="4"/>
      <c r="L521" s="53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76"/>
      <c r="F522" s="53"/>
      <c r="G522" s="4"/>
      <c r="H522" s="4"/>
      <c r="I522" s="4"/>
      <c r="J522" s="4"/>
      <c r="K522" s="4"/>
      <c r="L522" s="53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76"/>
      <c r="F523" s="53"/>
      <c r="G523" s="4"/>
      <c r="H523" s="4"/>
      <c r="I523" s="4"/>
      <c r="J523" s="4"/>
      <c r="K523" s="4"/>
      <c r="L523" s="53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76"/>
      <c r="F524" s="53"/>
      <c r="G524" s="4"/>
      <c r="H524" s="4"/>
      <c r="I524" s="4"/>
      <c r="J524" s="4"/>
      <c r="K524" s="4"/>
      <c r="L524" s="53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76"/>
      <c r="F525" s="53"/>
      <c r="G525" s="4"/>
      <c r="H525" s="4"/>
      <c r="I525" s="4"/>
      <c r="J525" s="4"/>
      <c r="K525" s="4"/>
      <c r="L525" s="53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76"/>
      <c r="F526" s="53"/>
      <c r="G526" s="4"/>
      <c r="H526" s="4"/>
      <c r="I526" s="4"/>
      <c r="J526" s="4"/>
      <c r="K526" s="4"/>
      <c r="L526" s="53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76"/>
      <c r="F527" s="53"/>
      <c r="G527" s="4"/>
      <c r="H527" s="4"/>
      <c r="I527" s="4"/>
      <c r="J527" s="4"/>
      <c r="K527" s="4"/>
      <c r="L527" s="53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76"/>
      <c r="F528" s="53"/>
      <c r="G528" s="4"/>
      <c r="H528" s="4"/>
      <c r="I528" s="4"/>
      <c r="J528" s="4"/>
      <c r="K528" s="4"/>
      <c r="L528" s="53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76"/>
      <c r="F529" s="53"/>
      <c r="G529" s="4"/>
      <c r="H529" s="4"/>
      <c r="I529" s="4"/>
      <c r="J529" s="4"/>
      <c r="K529" s="4"/>
      <c r="L529" s="53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76"/>
      <c r="F530" s="53"/>
      <c r="G530" s="4"/>
      <c r="H530" s="4"/>
      <c r="I530" s="4"/>
      <c r="J530" s="4"/>
      <c r="K530" s="4"/>
      <c r="L530" s="53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76"/>
      <c r="F531" s="53"/>
      <c r="G531" s="4"/>
      <c r="H531" s="4"/>
      <c r="I531" s="4"/>
      <c r="J531" s="4"/>
      <c r="K531" s="4"/>
      <c r="L531" s="53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76"/>
      <c r="F532" s="53"/>
      <c r="G532" s="4"/>
      <c r="H532" s="4"/>
      <c r="I532" s="4"/>
      <c r="J532" s="4"/>
      <c r="K532" s="4"/>
      <c r="L532" s="53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76"/>
      <c r="F533" s="53"/>
      <c r="G533" s="4"/>
      <c r="H533" s="4"/>
      <c r="I533" s="4"/>
      <c r="J533" s="4"/>
      <c r="K533" s="4"/>
      <c r="L533" s="53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76"/>
      <c r="F534" s="53"/>
      <c r="G534" s="4"/>
      <c r="H534" s="4"/>
      <c r="I534" s="4"/>
      <c r="J534" s="4"/>
      <c r="K534" s="4"/>
      <c r="L534" s="53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76"/>
      <c r="F535" s="53"/>
      <c r="G535" s="4"/>
      <c r="H535" s="4"/>
      <c r="I535" s="4"/>
      <c r="J535" s="4"/>
      <c r="K535" s="4"/>
      <c r="L535" s="53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76"/>
      <c r="F536" s="53"/>
      <c r="G536" s="4"/>
      <c r="H536" s="4"/>
      <c r="I536" s="4"/>
      <c r="J536" s="4"/>
      <c r="K536" s="4"/>
      <c r="L536" s="53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76"/>
      <c r="F537" s="53"/>
      <c r="G537" s="4"/>
      <c r="H537" s="4"/>
      <c r="I537" s="4"/>
      <c r="J537" s="4"/>
      <c r="K537" s="4"/>
      <c r="L537" s="53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76"/>
      <c r="F538" s="53"/>
      <c r="G538" s="4"/>
      <c r="H538" s="4"/>
      <c r="I538" s="4"/>
      <c r="J538" s="4"/>
      <c r="K538" s="4"/>
      <c r="L538" s="53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76"/>
      <c r="F539" s="53"/>
      <c r="G539" s="4"/>
      <c r="H539" s="4"/>
      <c r="I539" s="4"/>
      <c r="J539" s="4"/>
      <c r="K539" s="4"/>
      <c r="L539" s="53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76"/>
      <c r="F540" s="53"/>
      <c r="G540" s="4"/>
      <c r="H540" s="4"/>
      <c r="I540" s="4"/>
      <c r="J540" s="4"/>
      <c r="K540" s="4"/>
      <c r="L540" s="53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76"/>
      <c r="F541" s="53"/>
      <c r="G541" s="4"/>
      <c r="H541" s="4"/>
      <c r="I541" s="4"/>
      <c r="J541" s="4"/>
      <c r="K541" s="4"/>
      <c r="L541" s="53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76"/>
      <c r="F542" s="53"/>
      <c r="G542" s="4"/>
      <c r="H542" s="4"/>
      <c r="I542" s="4"/>
      <c r="J542" s="4"/>
      <c r="K542" s="4"/>
      <c r="L542" s="53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76"/>
      <c r="F543" s="53"/>
      <c r="G543" s="4"/>
      <c r="H543" s="4"/>
      <c r="I543" s="4"/>
      <c r="J543" s="4"/>
      <c r="K543" s="4"/>
      <c r="L543" s="53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76"/>
      <c r="F544" s="53"/>
      <c r="G544" s="4"/>
      <c r="H544" s="4"/>
      <c r="I544" s="4"/>
      <c r="J544" s="4"/>
      <c r="K544" s="4"/>
      <c r="L544" s="53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76"/>
      <c r="F545" s="53"/>
      <c r="G545" s="4"/>
      <c r="H545" s="4"/>
      <c r="I545" s="4"/>
      <c r="J545" s="4"/>
      <c r="K545" s="4"/>
      <c r="L545" s="53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76"/>
      <c r="F546" s="53"/>
      <c r="G546" s="4"/>
      <c r="H546" s="4"/>
      <c r="I546" s="4"/>
      <c r="J546" s="4"/>
      <c r="K546" s="4"/>
      <c r="L546" s="53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76"/>
      <c r="F547" s="53"/>
      <c r="G547" s="4"/>
      <c r="H547" s="4"/>
      <c r="I547" s="4"/>
      <c r="J547" s="4"/>
      <c r="K547" s="4"/>
      <c r="L547" s="53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76"/>
      <c r="F548" s="53"/>
      <c r="G548" s="4"/>
      <c r="H548" s="4"/>
      <c r="I548" s="4"/>
      <c r="J548" s="4"/>
      <c r="K548" s="4"/>
      <c r="L548" s="53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76"/>
      <c r="F549" s="53"/>
      <c r="G549" s="4"/>
      <c r="H549" s="4"/>
      <c r="I549" s="4"/>
      <c r="J549" s="4"/>
      <c r="K549" s="4"/>
      <c r="L549" s="53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76"/>
      <c r="F550" s="53"/>
      <c r="G550" s="4"/>
      <c r="H550" s="4"/>
      <c r="I550" s="4"/>
      <c r="J550" s="4"/>
      <c r="K550" s="4"/>
      <c r="L550" s="53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76"/>
      <c r="F551" s="53"/>
      <c r="G551" s="4"/>
      <c r="H551" s="4"/>
      <c r="I551" s="4"/>
      <c r="J551" s="4"/>
      <c r="K551" s="4"/>
      <c r="L551" s="53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76"/>
      <c r="F552" s="53"/>
      <c r="G552" s="4"/>
      <c r="H552" s="4"/>
      <c r="I552" s="4"/>
      <c r="J552" s="4"/>
      <c r="K552" s="4"/>
      <c r="L552" s="53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76"/>
      <c r="F553" s="53"/>
      <c r="G553" s="4"/>
      <c r="H553" s="4"/>
      <c r="I553" s="4"/>
      <c r="J553" s="4"/>
      <c r="K553" s="4"/>
      <c r="L553" s="53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76"/>
      <c r="F554" s="53"/>
      <c r="G554" s="4"/>
      <c r="H554" s="4"/>
      <c r="I554" s="4"/>
      <c r="J554" s="4"/>
      <c r="K554" s="4"/>
      <c r="L554" s="53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76"/>
      <c r="F555" s="53"/>
      <c r="G555" s="4"/>
      <c r="H555" s="4"/>
      <c r="I555" s="4"/>
      <c r="J555" s="4"/>
      <c r="K555" s="4"/>
      <c r="L555" s="53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76"/>
      <c r="F556" s="53"/>
      <c r="G556" s="4"/>
      <c r="H556" s="4"/>
      <c r="I556" s="4"/>
      <c r="J556" s="4"/>
      <c r="K556" s="4"/>
      <c r="L556" s="53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76"/>
      <c r="F557" s="53"/>
      <c r="G557" s="4"/>
      <c r="H557" s="4"/>
      <c r="I557" s="4"/>
      <c r="J557" s="4"/>
      <c r="K557" s="4"/>
      <c r="L557" s="53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76"/>
      <c r="F558" s="53"/>
      <c r="G558" s="4"/>
      <c r="H558" s="4"/>
      <c r="I558" s="4"/>
      <c r="J558" s="4"/>
      <c r="K558" s="4"/>
      <c r="L558" s="53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76"/>
      <c r="F559" s="53"/>
      <c r="G559" s="4"/>
      <c r="H559" s="4"/>
      <c r="I559" s="4"/>
      <c r="J559" s="4"/>
      <c r="K559" s="4"/>
      <c r="L559" s="53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76"/>
      <c r="F560" s="53"/>
      <c r="G560" s="4"/>
      <c r="H560" s="4"/>
      <c r="I560" s="4"/>
      <c r="J560" s="4"/>
      <c r="K560" s="4"/>
      <c r="L560" s="53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76"/>
      <c r="F561" s="53"/>
      <c r="G561" s="4"/>
      <c r="H561" s="4"/>
      <c r="I561" s="4"/>
      <c r="J561" s="4"/>
      <c r="K561" s="4"/>
      <c r="L561" s="53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76"/>
      <c r="F562" s="53"/>
      <c r="G562" s="4"/>
      <c r="H562" s="4"/>
      <c r="I562" s="4"/>
      <c r="J562" s="4"/>
      <c r="K562" s="4"/>
      <c r="L562" s="53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76"/>
      <c r="F563" s="53"/>
      <c r="G563" s="4"/>
      <c r="H563" s="4"/>
      <c r="I563" s="4"/>
      <c r="J563" s="4"/>
      <c r="K563" s="4"/>
      <c r="L563" s="53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76"/>
      <c r="F564" s="53"/>
      <c r="G564" s="4"/>
      <c r="H564" s="4"/>
      <c r="I564" s="4"/>
      <c r="J564" s="4"/>
      <c r="K564" s="4"/>
      <c r="L564" s="53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76"/>
      <c r="F565" s="53"/>
      <c r="G565" s="4"/>
      <c r="H565" s="4"/>
      <c r="I565" s="4"/>
      <c r="J565" s="4"/>
      <c r="K565" s="4"/>
      <c r="L565" s="53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76"/>
      <c r="F566" s="53"/>
      <c r="G566" s="4"/>
      <c r="H566" s="4"/>
      <c r="I566" s="4"/>
      <c r="J566" s="4"/>
      <c r="K566" s="4"/>
      <c r="L566" s="53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76"/>
      <c r="F567" s="53"/>
      <c r="G567" s="4"/>
      <c r="H567" s="4"/>
      <c r="I567" s="4"/>
      <c r="J567" s="4"/>
      <c r="K567" s="4"/>
      <c r="L567" s="53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76"/>
      <c r="F568" s="53"/>
      <c r="G568" s="4"/>
      <c r="H568" s="4"/>
      <c r="I568" s="4"/>
      <c r="J568" s="4"/>
      <c r="K568" s="4"/>
      <c r="L568" s="53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76"/>
      <c r="F569" s="53"/>
      <c r="G569" s="4"/>
      <c r="H569" s="4"/>
      <c r="I569" s="4"/>
      <c r="J569" s="4"/>
      <c r="K569" s="4"/>
      <c r="L569" s="53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76"/>
      <c r="F570" s="53"/>
      <c r="G570" s="4"/>
      <c r="H570" s="4"/>
      <c r="I570" s="4"/>
      <c r="J570" s="4"/>
      <c r="K570" s="4"/>
      <c r="L570" s="53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76"/>
      <c r="F571" s="53"/>
      <c r="G571" s="4"/>
      <c r="H571" s="4"/>
      <c r="I571" s="4"/>
      <c r="J571" s="4"/>
      <c r="K571" s="4"/>
      <c r="L571" s="53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76"/>
      <c r="F572" s="53"/>
      <c r="G572" s="4"/>
      <c r="H572" s="4"/>
      <c r="I572" s="4"/>
      <c r="J572" s="4"/>
      <c r="K572" s="4"/>
      <c r="L572" s="53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76"/>
      <c r="F573" s="53"/>
      <c r="G573" s="4"/>
      <c r="H573" s="4"/>
      <c r="I573" s="4"/>
      <c r="J573" s="4"/>
      <c r="K573" s="4"/>
      <c r="L573" s="53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76"/>
      <c r="F574" s="53"/>
      <c r="G574" s="4"/>
      <c r="H574" s="4"/>
      <c r="I574" s="4"/>
      <c r="J574" s="4"/>
      <c r="K574" s="4"/>
      <c r="L574" s="53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76"/>
      <c r="F575" s="53"/>
      <c r="G575" s="4"/>
      <c r="H575" s="4"/>
      <c r="I575" s="4"/>
      <c r="J575" s="4"/>
      <c r="K575" s="4"/>
      <c r="L575" s="53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76"/>
      <c r="F576" s="53"/>
      <c r="G576" s="4"/>
      <c r="H576" s="4"/>
      <c r="I576" s="4"/>
      <c r="J576" s="4"/>
      <c r="K576" s="4"/>
      <c r="L576" s="53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76"/>
      <c r="F577" s="53"/>
      <c r="G577" s="4"/>
      <c r="H577" s="4"/>
      <c r="I577" s="4"/>
      <c r="J577" s="4"/>
      <c r="K577" s="4"/>
      <c r="L577" s="53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76"/>
      <c r="F578" s="53"/>
      <c r="G578" s="4"/>
      <c r="H578" s="4"/>
      <c r="I578" s="4"/>
      <c r="J578" s="4"/>
      <c r="K578" s="4"/>
      <c r="L578" s="53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76"/>
      <c r="F579" s="53"/>
      <c r="G579" s="4"/>
      <c r="H579" s="4"/>
      <c r="I579" s="4"/>
      <c r="J579" s="4"/>
      <c r="K579" s="4"/>
      <c r="L579" s="53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76"/>
      <c r="F580" s="53"/>
      <c r="G580" s="4"/>
      <c r="H580" s="4"/>
      <c r="I580" s="4"/>
      <c r="J580" s="4"/>
      <c r="K580" s="4"/>
      <c r="L580" s="53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76"/>
      <c r="F581" s="53"/>
      <c r="G581" s="4"/>
      <c r="H581" s="4"/>
      <c r="I581" s="4"/>
      <c r="J581" s="4"/>
      <c r="K581" s="4"/>
      <c r="L581" s="53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76"/>
      <c r="F582" s="53"/>
      <c r="G582" s="4"/>
      <c r="H582" s="4"/>
      <c r="I582" s="4"/>
      <c r="J582" s="4"/>
      <c r="K582" s="4"/>
      <c r="L582" s="53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76"/>
      <c r="F583" s="53"/>
      <c r="G583" s="4"/>
      <c r="H583" s="4"/>
      <c r="I583" s="4"/>
      <c r="J583" s="4"/>
      <c r="K583" s="4"/>
      <c r="L583" s="53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76"/>
      <c r="F584" s="53"/>
      <c r="G584" s="4"/>
      <c r="H584" s="4"/>
      <c r="I584" s="4"/>
      <c r="J584" s="4"/>
      <c r="K584" s="4"/>
      <c r="L584" s="53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76"/>
      <c r="F585" s="53"/>
      <c r="G585" s="4"/>
      <c r="H585" s="4"/>
      <c r="I585" s="4"/>
      <c r="J585" s="4"/>
      <c r="K585" s="4"/>
      <c r="L585" s="53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76"/>
      <c r="F586" s="53"/>
      <c r="G586" s="4"/>
      <c r="H586" s="4"/>
      <c r="I586" s="4"/>
      <c r="J586" s="4"/>
      <c r="K586" s="4"/>
      <c r="L586" s="53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76"/>
      <c r="F587" s="53"/>
      <c r="G587" s="4"/>
      <c r="H587" s="4"/>
      <c r="I587" s="4"/>
      <c r="J587" s="4"/>
      <c r="K587" s="4"/>
      <c r="L587" s="53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76"/>
      <c r="F588" s="53"/>
      <c r="G588" s="4"/>
      <c r="H588" s="4"/>
      <c r="I588" s="4"/>
      <c r="J588" s="4"/>
      <c r="K588" s="4"/>
      <c r="L588" s="53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76"/>
      <c r="F589" s="53"/>
      <c r="G589" s="4"/>
      <c r="H589" s="4"/>
      <c r="I589" s="4"/>
      <c r="J589" s="4"/>
      <c r="K589" s="4"/>
      <c r="L589" s="53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76"/>
      <c r="F590" s="53"/>
      <c r="G590" s="4"/>
      <c r="H590" s="4"/>
      <c r="I590" s="4"/>
      <c r="J590" s="4"/>
      <c r="K590" s="4"/>
      <c r="L590" s="53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76"/>
      <c r="F591" s="53"/>
      <c r="G591" s="4"/>
      <c r="H591" s="4"/>
      <c r="I591" s="4"/>
      <c r="J591" s="4"/>
      <c r="K591" s="4"/>
      <c r="L591" s="53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76"/>
      <c r="F592" s="53"/>
      <c r="G592" s="4"/>
      <c r="H592" s="4"/>
      <c r="I592" s="4"/>
      <c r="J592" s="4"/>
      <c r="K592" s="4"/>
      <c r="L592" s="53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76"/>
      <c r="F593" s="53"/>
      <c r="G593" s="4"/>
      <c r="H593" s="4"/>
      <c r="I593" s="4"/>
      <c r="J593" s="4"/>
      <c r="K593" s="4"/>
      <c r="L593" s="53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76"/>
      <c r="F594" s="53"/>
      <c r="G594" s="4"/>
      <c r="H594" s="4"/>
      <c r="I594" s="4"/>
      <c r="J594" s="4"/>
      <c r="K594" s="4"/>
      <c r="L594" s="53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76"/>
      <c r="F595" s="53"/>
      <c r="G595" s="4"/>
      <c r="H595" s="4"/>
      <c r="I595" s="4"/>
      <c r="J595" s="4"/>
      <c r="K595" s="4"/>
      <c r="L595" s="53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76"/>
      <c r="F596" s="53"/>
      <c r="G596" s="4"/>
      <c r="H596" s="4"/>
      <c r="I596" s="4"/>
      <c r="J596" s="4"/>
      <c r="K596" s="4"/>
      <c r="L596" s="53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76"/>
      <c r="F597" s="53"/>
      <c r="G597" s="4"/>
      <c r="H597" s="4"/>
      <c r="I597" s="4"/>
      <c r="J597" s="4"/>
      <c r="K597" s="4"/>
      <c r="L597" s="53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76"/>
      <c r="F598" s="53"/>
      <c r="G598" s="4"/>
      <c r="H598" s="4"/>
      <c r="I598" s="4"/>
      <c r="J598" s="4"/>
      <c r="K598" s="4"/>
      <c r="L598" s="53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76"/>
      <c r="F599" s="53"/>
      <c r="G599" s="4"/>
      <c r="H599" s="4"/>
      <c r="I599" s="4"/>
      <c r="J599" s="4"/>
      <c r="K599" s="4"/>
      <c r="L599" s="53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76"/>
      <c r="F600" s="53"/>
      <c r="G600" s="4"/>
      <c r="H600" s="4"/>
      <c r="I600" s="4"/>
      <c r="J600" s="4"/>
      <c r="K600" s="4"/>
      <c r="L600" s="53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76"/>
      <c r="F601" s="53"/>
      <c r="G601" s="4"/>
      <c r="H601" s="4"/>
      <c r="I601" s="4"/>
      <c r="J601" s="4"/>
      <c r="K601" s="4"/>
      <c r="L601" s="53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76"/>
      <c r="F602" s="53"/>
      <c r="G602" s="4"/>
      <c r="H602" s="4"/>
      <c r="I602" s="4"/>
      <c r="J602" s="4"/>
      <c r="K602" s="4"/>
      <c r="L602" s="53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76"/>
      <c r="F603" s="53"/>
      <c r="G603" s="4"/>
      <c r="H603" s="4"/>
      <c r="I603" s="4"/>
      <c r="J603" s="4"/>
      <c r="K603" s="4"/>
      <c r="L603" s="53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76"/>
      <c r="F604" s="53"/>
      <c r="G604" s="4"/>
      <c r="H604" s="4"/>
      <c r="I604" s="4"/>
      <c r="J604" s="4"/>
      <c r="K604" s="4"/>
      <c r="L604" s="53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76"/>
      <c r="F605" s="53"/>
      <c r="G605" s="4"/>
      <c r="H605" s="4"/>
      <c r="I605" s="4"/>
      <c r="J605" s="4"/>
      <c r="K605" s="4"/>
      <c r="L605" s="53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76"/>
      <c r="F606" s="53"/>
      <c r="G606" s="4"/>
      <c r="H606" s="4"/>
      <c r="I606" s="4"/>
      <c r="J606" s="4"/>
      <c r="K606" s="4"/>
      <c r="L606" s="53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76"/>
      <c r="F607" s="53"/>
      <c r="G607" s="4"/>
      <c r="H607" s="4"/>
      <c r="I607" s="4"/>
      <c r="J607" s="4"/>
      <c r="K607" s="4"/>
      <c r="L607" s="53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76"/>
      <c r="F608" s="53"/>
      <c r="G608" s="4"/>
      <c r="H608" s="4"/>
      <c r="I608" s="4"/>
      <c r="J608" s="4"/>
      <c r="K608" s="4"/>
      <c r="L608" s="53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76"/>
      <c r="F609" s="53"/>
      <c r="G609" s="4"/>
      <c r="H609" s="4"/>
      <c r="I609" s="4"/>
      <c r="J609" s="4"/>
      <c r="K609" s="4"/>
      <c r="L609" s="53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76"/>
      <c r="F610" s="53"/>
      <c r="G610" s="4"/>
      <c r="H610" s="4"/>
      <c r="I610" s="4"/>
      <c r="J610" s="4"/>
      <c r="K610" s="4"/>
      <c r="L610" s="53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76"/>
      <c r="F611" s="53"/>
      <c r="G611" s="4"/>
      <c r="H611" s="4"/>
      <c r="I611" s="4"/>
      <c r="J611" s="4"/>
      <c r="K611" s="4"/>
      <c r="L611" s="53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76"/>
      <c r="F612" s="53"/>
      <c r="G612" s="4"/>
      <c r="H612" s="4"/>
      <c r="I612" s="4"/>
      <c r="J612" s="4"/>
      <c r="K612" s="4"/>
      <c r="L612" s="53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76"/>
      <c r="F613" s="53"/>
      <c r="G613" s="4"/>
      <c r="H613" s="4"/>
      <c r="I613" s="4"/>
      <c r="J613" s="4"/>
      <c r="K613" s="4"/>
      <c r="L613" s="53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76"/>
      <c r="F614" s="53"/>
      <c r="G614" s="4"/>
      <c r="H614" s="4"/>
      <c r="I614" s="4"/>
      <c r="J614" s="4"/>
      <c r="K614" s="4"/>
      <c r="L614" s="53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76"/>
      <c r="F615" s="53"/>
      <c r="G615" s="4"/>
      <c r="H615" s="4"/>
      <c r="I615" s="4"/>
      <c r="J615" s="4"/>
      <c r="K615" s="4"/>
      <c r="L615" s="53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76"/>
      <c r="F616" s="53"/>
      <c r="G616" s="4"/>
      <c r="H616" s="4"/>
      <c r="I616" s="4"/>
      <c r="J616" s="4"/>
      <c r="K616" s="4"/>
      <c r="L616" s="53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76"/>
      <c r="F617" s="53"/>
      <c r="G617" s="4"/>
      <c r="H617" s="4"/>
      <c r="I617" s="4"/>
      <c r="J617" s="4"/>
      <c r="K617" s="4"/>
      <c r="L617" s="53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76"/>
      <c r="F618" s="53"/>
      <c r="G618" s="4"/>
      <c r="H618" s="4"/>
      <c r="I618" s="4"/>
      <c r="J618" s="4"/>
      <c r="K618" s="4"/>
      <c r="L618" s="53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76"/>
      <c r="F619" s="53"/>
      <c r="G619" s="4"/>
      <c r="H619" s="4"/>
      <c r="I619" s="4"/>
      <c r="J619" s="4"/>
      <c r="K619" s="4"/>
      <c r="L619" s="53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76"/>
      <c r="F620" s="53"/>
      <c r="G620" s="4"/>
      <c r="H620" s="4"/>
      <c r="I620" s="4"/>
      <c r="J620" s="4"/>
      <c r="K620" s="4"/>
      <c r="L620" s="53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76"/>
      <c r="F621" s="53"/>
      <c r="G621" s="4"/>
      <c r="H621" s="4"/>
      <c r="I621" s="4"/>
      <c r="J621" s="4"/>
      <c r="K621" s="4"/>
      <c r="L621" s="53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76"/>
      <c r="F622" s="53"/>
      <c r="G622" s="4"/>
      <c r="H622" s="4"/>
      <c r="I622" s="4"/>
      <c r="J622" s="4"/>
      <c r="K622" s="4"/>
      <c r="L622" s="53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76"/>
      <c r="F623" s="53"/>
      <c r="G623" s="4"/>
      <c r="H623" s="4"/>
      <c r="I623" s="4"/>
      <c r="J623" s="4"/>
      <c r="K623" s="4"/>
      <c r="L623" s="53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76"/>
      <c r="F624" s="53"/>
      <c r="G624" s="4"/>
      <c r="H624" s="4"/>
      <c r="I624" s="4"/>
      <c r="J624" s="4"/>
      <c r="K624" s="4"/>
      <c r="L624" s="53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76"/>
      <c r="F625" s="53"/>
      <c r="G625" s="4"/>
      <c r="H625" s="4"/>
      <c r="I625" s="4"/>
      <c r="J625" s="4"/>
      <c r="K625" s="4"/>
      <c r="L625" s="53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76"/>
      <c r="F626" s="53"/>
      <c r="G626" s="4"/>
      <c r="H626" s="4"/>
      <c r="I626" s="4"/>
      <c r="J626" s="4"/>
      <c r="K626" s="4"/>
      <c r="L626" s="53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76"/>
      <c r="F627" s="53"/>
      <c r="G627" s="4"/>
      <c r="H627" s="4"/>
      <c r="I627" s="4"/>
      <c r="J627" s="4"/>
      <c r="K627" s="4"/>
      <c r="L627" s="53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76"/>
      <c r="F628" s="53"/>
      <c r="G628" s="4"/>
      <c r="H628" s="4"/>
      <c r="I628" s="4"/>
      <c r="J628" s="4"/>
      <c r="K628" s="4"/>
      <c r="L628" s="53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76"/>
      <c r="F629" s="53"/>
      <c r="G629" s="4"/>
      <c r="H629" s="4"/>
      <c r="I629" s="4"/>
      <c r="J629" s="4"/>
      <c r="K629" s="4"/>
      <c r="L629" s="53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76"/>
      <c r="F630" s="53"/>
      <c r="G630" s="4"/>
      <c r="H630" s="4"/>
      <c r="I630" s="4"/>
      <c r="J630" s="4"/>
      <c r="K630" s="4"/>
      <c r="L630" s="53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76"/>
      <c r="F631" s="53"/>
      <c r="G631" s="4"/>
      <c r="H631" s="4"/>
      <c r="I631" s="4"/>
      <c r="J631" s="4"/>
      <c r="K631" s="4"/>
      <c r="L631" s="53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76"/>
      <c r="F632" s="53"/>
      <c r="G632" s="4"/>
      <c r="H632" s="4"/>
      <c r="I632" s="4"/>
      <c r="J632" s="4"/>
      <c r="K632" s="4"/>
      <c r="L632" s="53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76"/>
      <c r="F633" s="53"/>
      <c r="G633" s="4"/>
      <c r="H633" s="4"/>
      <c r="I633" s="4"/>
      <c r="J633" s="4"/>
      <c r="K633" s="4"/>
      <c r="L633" s="53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76"/>
      <c r="F634" s="53"/>
      <c r="G634" s="4"/>
      <c r="H634" s="4"/>
      <c r="I634" s="4"/>
      <c r="J634" s="4"/>
      <c r="K634" s="4"/>
      <c r="L634" s="53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76"/>
      <c r="F635" s="53"/>
      <c r="G635" s="4"/>
      <c r="H635" s="4"/>
      <c r="I635" s="4"/>
      <c r="J635" s="4"/>
      <c r="K635" s="4"/>
      <c r="L635" s="53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76"/>
      <c r="F636" s="53"/>
      <c r="G636" s="4"/>
      <c r="H636" s="4"/>
      <c r="I636" s="4"/>
      <c r="J636" s="4"/>
      <c r="K636" s="4"/>
      <c r="L636" s="53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76"/>
      <c r="F637" s="53"/>
      <c r="G637" s="4"/>
      <c r="H637" s="4"/>
      <c r="I637" s="4"/>
      <c r="J637" s="4"/>
      <c r="K637" s="4"/>
      <c r="L637" s="53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76"/>
      <c r="F638" s="53"/>
      <c r="G638" s="4"/>
      <c r="H638" s="4"/>
      <c r="I638" s="4"/>
      <c r="J638" s="4"/>
      <c r="K638" s="4"/>
      <c r="L638" s="53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76"/>
      <c r="F639" s="53"/>
      <c r="G639" s="4"/>
      <c r="H639" s="4"/>
      <c r="I639" s="4"/>
      <c r="J639" s="4"/>
      <c r="K639" s="4"/>
      <c r="L639" s="53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76"/>
      <c r="F640" s="53"/>
      <c r="G640" s="4"/>
      <c r="H640" s="4"/>
      <c r="I640" s="4"/>
      <c r="J640" s="4"/>
      <c r="K640" s="4"/>
      <c r="L640" s="53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76"/>
      <c r="F641" s="53"/>
      <c r="G641" s="4"/>
      <c r="H641" s="4"/>
      <c r="I641" s="4"/>
      <c r="J641" s="4"/>
      <c r="K641" s="4"/>
      <c r="L641" s="53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76"/>
      <c r="F642" s="53"/>
      <c r="G642" s="4"/>
      <c r="H642" s="4"/>
      <c r="I642" s="4"/>
      <c r="J642" s="4"/>
      <c r="K642" s="4"/>
      <c r="L642" s="53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76"/>
      <c r="F643" s="53"/>
      <c r="G643" s="4"/>
      <c r="H643" s="4"/>
      <c r="I643" s="4"/>
      <c r="J643" s="4"/>
      <c r="K643" s="4"/>
      <c r="L643" s="53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76"/>
      <c r="F644" s="53"/>
      <c r="G644" s="4"/>
      <c r="H644" s="4"/>
      <c r="I644" s="4"/>
      <c r="J644" s="4"/>
      <c r="K644" s="4"/>
      <c r="L644" s="53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76"/>
      <c r="F645" s="53"/>
      <c r="G645" s="4"/>
      <c r="H645" s="4"/>
      <c r="I645" s="4"/>
      <c r="J645" s="4"/>
      <c r="K645" s="4"/>
      <c r="L645" s="53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76"/>
      <c r="F646" s="53"/>
      <c r="G646" s="4"/>
      <c r="H646" s="4"/>
      <c r="I646" s="4"/>
      <c r="J646" s="4"/>
      <c r="K646" s="4"/>
      <c r="L646" s="53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76"/>
      <c r="F647" s="53"/>
      <c r="G647" s="4"/>
      <c r="H647" s="4"/>
      <c r="I647" s="4"/>
      <c r="J647" s="4"/>
      <c r="K647" s="4"/>
      <c r="L647" s="53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76"/>
      <c r="F648" s="53"/>
      <c r="G648" s="4"/>
      <c r="H648" s="4"/>
      <c r="I648" s="4"/>
      <c r="J648" s="4"/>
      <c r="K648" s="4"/>
      <c r="L648" s="53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76"/>
      <c r="F649" s="53"/>
      <c r="G649" s="4"/>
      <c r="H649" s="4"/>
      <c r="I649" s="4"/>
      <c r="J649" s="4"/>
      <c r="K649" s="4"/>
      <c r="L649" s="53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76"/>
      <c r="F650" s="53"/>
      <c r="G650" s="4"/>
      <c r="H650" s="4"/>
      <c r="I650" s="4"/>
      <c r="J650" s="4"/>
      <c r="K650" s="4"/>
      <c r="L650" s="53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76"/>
      <c r="F651" s="53"/>
      <c r="G651" s="4"/>
      <c r="H651" s="4"/>
      <c r="I651" s="4"/>
      <c r="J651" s="4"/>
      <c r="K651" s="4"/>
      <c r="L651" s="53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76"/>
      <c r="F652" s="53"/>
      <c r="G652" s="4"/>
      <c r="H652" s="4"/>
      <c r="I652" s="4"/>
      <c r="J652" s="4"/>
      <c r="K652" s="4"/>
      <c r="L652" s="53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76"/>
      <c r="F653" s="53"/>
      <c r="G653" s="4"/>
      <c r="H653" s="4"/>
      <c r="I653" s="4"/>
      <c r="J653" s="4"/>
      <c r="K653" s="4"/>
      <c r="L653" s="53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76"/>
      <c r="F654" s="53"/>
      <c r="G654" s="4"/>
      <c r="H654" s="4"/>
      <c r="I654" s="4"/>
      <c r="J654" s="4"/>
      <c r="K654" s="4"/>
      <c r="L654" s="53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76"/>
      <c r="F655" s="53"/>
      <c r="G655" s="4"/>
      <c r="H655" s="4"/>
      <c r="I655" s="4"/>
      <c r="J655" s="4"/>
      <c r="K655" s="4"/>
      <c r="L655" s="53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76"/>
      <c r="F656" s="53"/>
      <c r="G656" s="4"/>
      <c r="H656" s="4"/>
      <c r="I656" s="4"/>
      <c r="J656" s="4"/>
      <c r="K656" s="4"/>
      <c r="L656" s="53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76"/>
      <c r="F657" s="53"/>
      <c r="G657" s="4"/>
      <c r="H657" s="4"/>
      <c r="I657" s="4"/>
      <c r="J657" s="4"/>
      <c r="K657" s="4"/>
      <c r="L657" s="53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76"/>
      <c r="F658" s="53"/>
      <c r="G658" s="4"/>
      <c r="H658" s="4"/>
      <c r="I658" s="4"/>
      <c r="J658" s="4"/>
      <c r="K658" s="4"/>
      <c r="L658" s="53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76"/>
      <c r="F659" s="53"/>
      <c r="G659" s="4"/>
      <c r="H659" s="4"/>
      <c r="I659" s="4"/>
      <c r="J659" s="4"/>
      <c r="K659" s="4"/>
      <c r="L659" s="53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76"/>
      <c r="F660" s="53"/>
      <c r="G660" s="4"/>
      <c r="H660" s="4"/>
      <c r="I660" s="4"/>
      <c r="J660" s="4"/>
      <c r="K660" s="4"/>
      <c r="L660" s="53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76"/>
      <c r="F661" s="53"/>
      <c r="G661" s="4"/>
      <c r="H661" s="4"/>
      <c r="I661" s="4"/>
      <c r="J661" s="4"/>
      <c r="K661" s="4"/>
      <c r="L661" s="53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76"/>
      <c r="F662" s="53"/>
      <c r="G662" s="4"/>
      <c r="H662" s="4"/>
      <c r="I662" s="4"/>
      <c r="J662" s="4"/>
      <c r="K662" s="4"/>
      <c r="L662" s="53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76"/>
      <c r="F663" s="53"/>
      <c r="G663" s="4"/>
      <c r="H663" s="4"/>
      <c r="I663" s="4"/>
      <c r="J663" s="4"/>
      <c r="K663" s="4"/>
      <c r="L663" s="53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76"/>
      <c r="F664" s="53"/>
      <c r="G664" s="4"/>
      <c r="H664" s="4"/>
      <c r="I664" s="4"/>
      <c r="J664" s="4"/>
      <c r="K664" s="4"/>
      <c r="L664" s="53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76"/>
      <c r="F665" s="53"/>
      <c r="G665" s="4"/>
      <c r="H665" s="4"/>
      <c r="I665" s="4"/>
      <c r="J665" s="4"/>
      <c r="K665" s="4"/>
      <c r="L665" s="53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76"/>
      <c r="F666" s="53"/>
      <c r="G666" s="4"/>
      <c r="H666" s="4"/>
      <c r="I666" s="4"/>
      <c r="J666" s="4"/>
      <c r="K666" s="4"/>
      <c r="L666" s="53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76"/>
      <c r="F667" s="53"/>
      <c r="G667" s="4"/>
      <c r="H667" s="4"/>
      <c r="I667" s="4"/>
      <c r="J667" s="4"/>
      <c r="K667" s="4"/>
      <c r="L667" s="53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76"/>
      <c r="F668" s="53"/>
      <c r="G668" s="4"/>
      <c r="H668" s="4"/>
      <c r="I668" s="4"/>
      <c r="J668" s="4"/>
      <c r="K668" s="4"/>
      <c r="L668" s="53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76"/>
      <c r="F669" s="53"/>
      <c r="G669" s="4"/>
      <c r="H669" s="4"/>
      <c r="I669" s="4"/>
      <c r="J669" s="4"/>
      <c r="K669" s="4"/>
      <c r="L669" s="53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76"/>
      <c r="F670" s="53"/>
      <c r="G670" s="4"/>
      <c r="H670" s="4"/>
      <c r="I670" s="4"/>
      <c r="J670" s="4"/>
      <c r="K670" s="4"/>
      <c r="L670" s="53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76"/>
      <c r="F671" s="53"/>
      <c r="G671" s="4"/>
      <c r="H671" s="4"/>
      <c r="I671" s="4"/>
      <c r="J671" s="4"/>
      <c r="K671" s="4"/>
      <c r="L671" s="53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76"/>
      <c r="F672" s="53"/>
      <c r="G672" s="4"/>
      <c r="H672" s="4"/>
      <c r="I672" s="4"/>
      <c r="J672" s="4"/>
      <c r="K672" s="4"/>
      <c r="L672" s="53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76"/>
      <c r="F673" s="53"/>
      <c r="G673" s="4"/>
      <c r="H673" s="4"/>
      <c r="I673" s="4"/>
      <c r="J673" s="4"/>
      <c r="K673" s="4"/>
      <c r="L673" s="53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76"/>
      <c r="F674" s="53"/>
      <c r="G674" s="4"/>
      <c r="H674" s="4"/>
      <c r="I674" s="4"/>
      <c r="J674" s="4"/>
      <c r="K674" s="4"/>
      <c r="L674" s="53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76"/>
      <c r="F675" s="53"/>
      <c r="G675" s="4"/>
      <c r="H675" s="4"/>
      <c r="I675" s="4"/>
      <c r="J675" s="4"/>
      <c r="K675" s="4"/>
      <c r="L675" s="53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76"/>
      <c r="F676" s="53"/>
      <c r="G676" s="4"/>
      <c r="H676" s="4"/>
      <c r="I676" s="4"/>
      <c r="J676" s="4"/>
      <c r="K676" s="4"/>
      <c r="L676" s="53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76"/>
      <c r="F677" s="53"/>
      <c r="G677" s="4"/>
      <c r="H677" s="4"/>
      <c r="I677" s="4"/>
      <c r="J677" s="4"/>
      <c r="K677" s="4"/>
      <c r="L677" s="53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76"/>
      <c r="F678" s="53"/>
      <c r="G678" s="4"/>
      <c r="H678" s="4"/>
      <c r="I678" s="4"/>
      <c r="J678" s="4"/>
      <c r="K678" s="4"/>
      <c r="L678" s="53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76"/>
      <c r="F679" s="53"/>
      <c r="G679" s="4"/>
      <c r="H679" s="4"/>
      <c r="I679" s="4"/>
      <c r="J679" s="4"/>
      <c r="K679" s="4"/>
      <c r="L679" s="53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76"/>
      <c r="F680" s="53"/>
      <c r="G680" s="4"/>
      <c r="H680" s="4"/>
      <c r="I680" s="4"/>
      <c r="J680" s="4"/>
      <c r="K680" s="4"/>
      <c r="L680" s="53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76"/>
      <c r="F681" s="53"/>
      <c r="G681" s="4"/>
      <c r="H681" s="4"/>
      <c r="I681" s="4"/>
      <c r="J681" s="4"/>
      <c r="K681" s="4"/>
      <c r="L681" s="53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76"/>
      <c r="F682" s="53"/>
      <c r="G682" s="4"/>
      <c r="H682" s="4"/>
      <c r="I682" s="4"/>
      <c r="J682" s="4"/>
      <c r="K682" s="4"/>
      <c r="L682" s="53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76"/>
      <c r="F683" s="53"/>
      <c r="G683" s="4"/>
      <c r="H683" s="4"/>
      <c r="I683" s="4"/>
      <c r="J683" s="4"/>
      <c r="K683" s="4"/>
      <c r="L683" s="53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76"/>
      <c r="F684" s="53"/>
      <c r="G684" s="4"/>
      <c r="H684" s="4"/>
      <c r="I684" s="4"/>
      <c r="J684" s="4"/>
      <c r="K684" s="4"/>
      <c r="L684" s="53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76"/>
      <c r="F685" s="53"/>
      <c r="G685" s="4"/>
      <c r="H685" s="4"/>
      <c r="I685" s="4"/>
      <c r="J685" s="4"/>
      <c r="K685" s="4"/>
      <c r="L685" s="53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76"/>
      <c r="F686" s="53"/>
      <c r="G686" s="4"/>
      <c r="H686" s="4"/>
      <c r="I686" s="4"/>
      <c r="J686" s="4"/>
      <c r="K686" s="4"/>
      <c r="L686" s="53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76"/>
      <c r="F687" s="53"/>
      <c r="G687" s="4"/>
      <c r="H687" s="4"/>
      <c r="I687" s="4"/>
      <c r="J687" s="4"/>
      <c r="K687" s="4"/>
      <c r="L687" s="53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76"/>
      <c r="F688" s="53"/>
      <c r="G688" s="4"/>
      <c r="H688" s="4"/>
      <c r="I688" s="4"/>
      <c r="J688" s="4"/>
      <c r="K688" s="4"/>
      <c r="L688" s="53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76"/>
      <c r="F689" s="53"/>
      <c r="G689" s="4"/>
      <c r="H689" s="4"/>
      <c r="I689" s="4"/>
      <c r="J689" s="4"/>
      <c r="K689" s="4"/>
      <c r="L689" s="53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76"/>
      <c r="F690" s="53"/>
      <c r="G690" s="4"/>
      <c r="H690" s="4"/>
      <c r="I690" s="4"/>
      <c r="J690" s="4"/>
      <c r="K690" s="4"/>
      <c r="L690" s="53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76"/>
      <c r="F691" s="53"/>
      <c r="G691" s="4"/>
      <c r="H691" s="4"/>
      <c r="I691" s="4"/>
      <c r="J691" s="4"/>
      <c r="K691" s="4"/>
      <c r="L691" s="53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76"/>
      <c r="F692" s="53"/>
      <c r="G692" s="4"/>
      <c r="H692" s="4"/>
      <c r="I692" s="4"/>
      <c r="J692" s="4"/>
      <c r="K692" s="4"/>
      <c r="L692" s="53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76"/>
      <c r="F693" s="53"/>
      <c r="G693" s="4"/>
      <c r="H693" s="4"/>
      <c r="I693" s="4"/>
      <c r="J693" s="4"/>
      <c r="K693" s="4"/>
      <c r="L693" s="53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76"/>
      <c r="F694" s="53"/>
      <c r="G694" s="4"/>
      <c r="H694" s="4"/>
      <c r="I694" s="4"/>
      <c r="J694" s="4"/>
      <c r="K694" s="4"/>
      <c r="L694" s="53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76"/>
      <c r="F695" s="53"/>
      <c r="G695" s="4"/>
      <c r="H695" s="4"/>
      <c r="I695" s="4"/>
      <c r="J695" s="4"/>
      <c r="K695" s="4"/>
      <c r="L695" s="53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76"/>
      <c r="F696" s="53"/>
      <c r="G696" s="4"/>
      <c r="H696" s="4"/>
      <c r="I696" s="4"/>
      <c r="J696" s="4"/>
      <c r="K696" s="4"/>
      <c r="L696" s="53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76"/>
      <c r="F697" s="53"/>
      <c r="G697" s="4"/>
      <c r="H697" s="4"/>
      <c r="I697" s="4"/>
      <c r="J697" s="4"/>
      <c r="K697" s="4"/>
      <c r="L697" s="53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76"/>
      <c r="F698" s="53"/>
      <c r="G698" s="4"/>
      <c r="H698" s="4"/>
      <c r="I698" s="4"/>
      <c r="J698" s="4"/>
      <c r="K698" s="4"/>
      <c r="L698" s="53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76"/>
      <c r="F699" s="53"/>
      <c r="G699" s="4"/>
      <c r="H699" s="4"/>
      <c r="I699" s="4"/>
      <c r="J699" s="4"/>
      <c r="K699" s="4"/>
      <c r="L699" s="53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76"/>
      <c r="F700" s="53"/>
      <c r="G700" s="4"/>
      <c r="H700" s="4"/>
      <c r="I700" s="4"/>
      <c r="J700" s="4"/>
      <c r="K700" s="4"/>
      <c r="L700" s="53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76"/>
      <c r="F701" s="53"/>
      <c r="G701" s="4"/>
      <c r="H701" s="4"/>
      <c r="I701" s="4"/>
      <c r="J701" s="4"/>
      <c r="K701" s="4"/>
      <c r="L701" s="53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76"/>
      <c r="F702" s="53"/>
      <c r="G702" s="4"/>
      <c r="H702" s="4"/>
      <c r="I702" s="4"/>
      <c r="J702" s="4"/>
      <c r="K702" s="4"/>
      <c r="L702" s="53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76"/>
      <c r="F703" s="53"/>
      <c r="G703" s="4"/>
      <c r="H703" s="4"/>
      <c r="I703" s="4"/>
      <c r="J703" s="4"/>
      <c r="K703" s="4"/>
      <c r="L703" s="53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76"/>
      <c r="F704" s="53"/>
      <c r="G704" s="4"/>
      <c r="H704" s="4"/>
      <c r="I704" s="4"/>
      <c r="J704" s="4"/>
      <c r="K704" s="4"/>
      <c r="L704" s="53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76"/>
      <c r="F705" s="53"/>
      <c r="G705" s="4"/>
      <c r="H705" s="4"/>
      <c r="I705" s="4"/>
      <c r="J705" s="4"/>
      <c r="K705" s="4"/>
      <c r="L705" s="53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76"/>
      <c r="F706" s="53"/>
      <c r="G706" s="4"/>
      <c r="H706" s="4"/>
      <c r="I706" s="4"/>
      <c r="J706" s="4"/>
      <c r="K706" s="4"/>
      <c r="L706" s="53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76"/>
      <c r="F707" s="53"/>
      <c r="G707" s="4"/>
      <c r="H707" s="4"/>
      <c r="I707" s="4"/>
      <c r="J707" s="4"/>
      <c r="K707" s="4"/>
      <c r="L707" s="53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76"/>
      <c r="F708" s="53"/>
      <c r="G708" s="4"/>
      <c r="H708" s="4"/>
      <c r="I708" s="4"/>
      <c r="J708" s="4"/>
      <c r="K708" s="4"/>
      <c r="L708" s="53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76"/>
      <c r="F709" s="53"/>
      <c r="G709" s="4"/>
      <c r="H709" s="4"/>
      <c r="I709" s="4"/>
      <c r="J709" s="4"/>
      <c r="K709" s="4"/>
      <c r="L709" s="53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76"/>
      <c r="F710" s="53"/>
      <c r="G710" s="4"/>
      <c r="H710" s="4"/>
      <c r="I710" s="4"/>
      <c r="J710" s="4"/>
      <c r="K710" s="4"/>
      <c r="L710" s="53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76"/>
      <c r="F711" s="53"/>
      <c r="G711" s="4"/>
      <c r="H711" s="4"/>
      <c r="I711" s="4"/>
      <c r="J711" s="4"/>
      <c r="K711" s="4"/>
      <c r="L711" s="53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76"/>
      <c r="F712" s="53"/>
      <c r="G712" s="4"/>
      <c r="H712" s="4"/>
      <c r="I712" s="4"/>
      <c r="J712" s="4"/>
      <c r="K712" s="4"/>
      <c r="L712" s="53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76"/>
      <c r="F713" s="53"/>
      <c r="G713" s="4"/>
      <c r="H713" s="4"/>
      <c r="I713" s="4"/>
      <c r="J713" s="4"/>
      <c r="K713" s="4"/>
      <c r="L713" s="53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76"/>
      <c r="F714" s="53"/>
      <c r="G714" s="4"/>
      <c r="H714" s="4"/>
      <c r="I714" s="4"/>
      <c r="J714" s="4"/>
      <c r="K714" s="4"/>
      <c r="L714" s="53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76"/>
      <c r="F715" s="53"/>
      <c r="G715" s="4"/>
      <c r="H715" s="4"/>
      <c r="I715" s="4"/>
      <c r="J715" s="4"/>
      <c r="K715" s="4"/>
      <c r="L715" s="53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76"/>
      <c r="F716" s="53"/>
      <c r="G716" s="4"/>
      <c r="H716" s="4"/>
      <c r="I716" s="4"/>
      <c r="J716" s="4"/>
      <c r="K716" s="4"/>
      <c r="L716" s="53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76"/>
      <c r="F717" s="53"/>
      <c r="G717" s="4"/>
      <c r="H717" s="4"/>
      <c r="I717" s="4"/>
      <c r="J717" s="4"/>
      <c r="K717" s="4"/>
      <c r="L717" s="53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76"/>
      <c r="F718" s="53"/>
      <c r="G718" s="4"/>
      <c r="H718" s="4"/>
      <c r="I718" s="4"/>
      <c r="J718" s="4"/>
      <c r="K718" s="4"/>
      <c r="L718" s="53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76"/>
      <c r="F719" s="53"/>
      <c r="G719" s="4"/>
      <c r="H719" s="4"/>
      <c r="I719" s="4"/>
      <c r="J719" s="4"/>
      <c r="K719" s="4"/>
      <c r="L719" s="53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76"/>
      <c r="F720" s="53"/>
      <c r="G720" s="4"/>
      <c r="H720" s="4"/>
      <c r="I720" s="4"/>
      <c r="J720" s="4"/>
      <c r="K720" s="4"/>
      <c r="L720" s="53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76"/>
      <c r="F721" s="53"/>
      <c r="G721" s="4"/>
      <c r="H721" s="4"/>
      <c r="I721" s="4"/>
      <c r="J721" s="4"/>
      <c r="K721" s="4"/>
      <c r="L721" s="53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76"/>
      <c r="F722" s="53"/>
      <c r="G722" s="4"/>
      <c r="H722" s="4"/>
      <c r="I722" s="4"/>
      <c r="J722" s="4"/>
      <c r="K722" s="4"/>
      <c r="L722" s="53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76"/>
      <c r="F723" s="53"/>
      <c r="G723" s="4"/>
      <c r="H723" s="4"/>
      <c r="I723" s="4"/>
      <c r="J723" s="4"/>
      <c r="K723" s="4"/>
      <c r="L723" s="53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76"/>
      <c r="F724" s="53"/>
      <c r="G724" s="4"/>
      <c r="H724" s="4"/>
      <c r="I724" s="4"/>
      <c r="J724" s="4"/>
      <c r="K724" s="4"/>
      <c r="L724" s="53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76"/>
      <c r="F725" s="53"/>
      <c r="G725" s="4"/>
      <c r="H725" s="4"/>
      <c r="I725" s="4"/>
      <c r="J725" s="4"/>
      <c r="K725" s="4"/>
      <c r="L725" s="53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76"/>
      <c r="F726" s="53"/>
      <c r="G726" s="4"/>
      <c r="H726" s="4"/>
      <c r="I726" s="4"/>
      <c r="J726" s="4"/>
      <c r="K726" s="4"/>
      <c r="L726" s="53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76"/>
      <c r="F727" s="53"/>
      <c r="G727" s="4"/>
      <c r="H727" s="4"/>
      <c r="I727" s="4"/>
      <c r="J727" s="4"/>
      <c r="K727" s="4"/>
      <c r="L727" s="53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76"/>
      <c r="F728" s="53"/>
      <c r="G728" s="4"/>
      <c r="H728" s="4"/>
      <c r="I728" s="4"/>
      <c r="J728" s="4"/>
      <c r="K728" s="4"/>
      <c r="L728" s="53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76"/>
      <c r="F729" s="53"/>
      <c r="G729" s="4"/>
      <c r="H729" s="4"/>
      <c r="I729" s="4"/>
      <c r="J729" s="4"/>
      <c r="K729" s="4"/>
      <c r="L729" s="53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76"/>
      <c r="F730" s="53"/>
      <c r="G730" s="4"/>
      <c r="H730" s="4"/>
      <c r="I730" s="4"/>
      <c r="J730" s="4"/>
      <c r="K730" s="4"/>
      <c r="L730" s="53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76"/>
      <c r="F731" s="53"/>
      <c r="G731" s="4"/>
      <c r="H731" s="4"/>
      <c r="I731" s="4"/>
      <c r="J731" s="4"/>
      <c r="K731" s="4"/>
      <c r="L731" s="53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76"/>
      <c r="F732" s="53"/>
      <c r="G732" s="4"/>
      <c r="H732" s="4"/>
      <c r="I732" s="4"/>
      <c r="J732" s="4"/>
      <c r="K732" s="4"/>
      <c r="L732" s="53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76"/>
      <c r="F733" s="53"/>
      <c r="G733" s="4"/>
      <c r="H733" s="4"/>
      <c r="I733" s="4"/>
      <c r="J733" s="4"/>
      <c r="K733" s="4"/>
      <c r="L733" s="53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76"/>
      <c r="F734" s="53"/>
      <c r="G734" s="4"/>
      <c r="H734" s="4"/>
      <c r="I734" s="4"/>
      <c r="J734" s="4"/>
      <c r="K734" s="4"/>
      <c r="L734" s="53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76"/>
      <c r="F735" s="53"/>
      <c r="G735" s="4"/>
      <c r="H735" s="4"/>
      <c r="I735" s="4"/>
      <c r="J735" s="4"/>
      <c r="K735" s="4"/>
      <c r="L735" s="53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76"/>
      <c r="F736" s="53"/>
      <c r="G736" s="4"/>
      <c r="H736" s="4"/>
      <c r="I736" s="4"/>
      <c r="J736" s="4"/>
      <c r="K736" s="4"/>
      <c r="L736" s="53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76"/>
      <c r="F737" s="53"/>
      <c r="G737" s="4"/>
      <c r="H737" s="4"/>
      <c r="I737" s="4"/>
      <c r="J737" s="4"/>
      <c r="K737" s="4"/>
      <c r="L737" s="53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76"/>
      <c r="F738" s="53"/>
      <c r="G738" s="4"/>
      <c r="H738" s="4"/>
      <c r="I738" s="4"/>
      <c r="J738" s="4"/>
      <c r="K738" s="4"/>
      <c r="L738" s="53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76"/>
      <c r="F739" s="53"/>
      <c r="G739" s="4"/>
      <c r="H739" s="4"/>
      <c r="I739" s="4"/>
      <c r="J739" s="4"/>
      <c r="K739" s="4"/>
      <c r="L739" s="53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76"/>
      <c r="F740" s="53"/>
      <c r="G740" s="4"/>
      <c r="H740" s="4"/>
      <c r="I740" s="4"/>
      <c r="J740" s="4"/>
      <c r="K740" s="4"/>
      <c r="L740" s="53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76"/>
      <c r="F741" s="53"/>
      <c r="G741" s="4"/>
      <c r="H741" s="4"/>
      <c r="I741" s="4"/>
      <c r="J741" s="4"/>
      <c r="K741" s="4"/>
      <c r="L741" s="53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76"/>
      <c r="F742" s="53"/>
      <c r="G742" s="4"/>
      <c r="H742" s="4"/>
      <c r="I742" s="4"/>
      <c r="J742" s="4"/>
      <c r="K742" s="4"/>
      <c r="L742" s="53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76"/>
      <c r="F743" s="53"/>
      <c r="G743" s="4"/>
      <c r="H743" s="4"/>
      <c r="I743" s="4"/>
      <c r="J743" s="4"/>
      <c r="K743" s="4"/>
      <c r="L743" s="53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76"/>
      <c r="F744" s="53"/>
      <c r="G744" s="4"/>
      <c r="H744" s="4"/>
      <c r="I744" s="4"/>
      <c r="J744" s="4"/>
      <c r="K744" s="4"/>
      <c r="L744" s="53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76"/>
      <c r="F745" s="53"/>
      <c r="G745" s="4"/>
      <c r="H745" s="4"/>
      <c r="I745" s="4"/>
      <c r="J745" s="4"/>
      <c r="K745" s="4"/>
      <c r="L745" s="53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76"/>
      <c r="F746" s="53"/>
      <c r="G746" s="4"/>
      <c r="H746" s="4"/>
      <c r="I746" s="4"/>
      <c r="J746" s="4"/>
      <c r="K746" s="4"/>
      <c r="L746" s="53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76"/>
      <c r="F747" s="53"/>
      <c r="G747" s="4"/>
      <c r="H747" s="4"/>
      <c r="I747" s="4"/>
      <c r="J747" s="4"/>
      <c r="K747" s="4"/>
      <c r="L747" s="53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76"/>
      <c r="F748" s="53"/>
      <c r="G748" s="4"/>
      <c r="H748" s="4"/>
      <c r="I748" s="4"/>
      <c r="J748" s="4"/>
      <c r="K748" s="4"/>
      <c r="L748" s="53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76"/>
      <c r="F749" s="53"/>
      <c r="G749" s="4"/>
      <c r="H749" s="4"/>
      <c r="I749" s="4"/>
      <c r="J749" s="4"/>
      <c r="K749" s="4"/>
      <c r="L749" s="53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76"/>
      <c r="F750" s="53"/>
      <c r="G750" s="4"/>
      <c r="H750" s="4"/>
      <c r="I750" s="4"/>
      <c r="J750" s="4"/>
      <c r="K750" s="4"/>
      <c r="L750" s="53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76"/>
      <c r="F751" s="53"/>
      <c r="G751" s="4"/>
      <c r="H751" s="4"/>
      <c r="I751" s="4"/>
      <c r="J751" s="4"/>
      <c r="K751" s="4"/>
      <c r="L751" s="53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76"/>
      <c r="F752" s="53"/>
      <c r="G752" s="4"/>
      <c r="H752" s="4"/>
      <c r="I752" s="4"/>
      <c r="J752" s="4"/>
      <c r="K752" s="4"/>
      <c r="L752" s="53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76"/>
      <c r="F753" s="53"/>
      <c r="G753" s="4"/>
      <c r="H753" s="4"/>
      <c r="I753" s="4"/>
      <c r="J753" s="4"/>
      <c r="K753" s="4"/>
      <c r="L753" s="53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76"/>
      <c r="F754" s="53"/>
      <c r="G754" s="4"/>
      <c r="H754" s="4"/>
      <c r="I754" s="4"/>
      <c r="J754" s="4"/>
      <c r="K754" s="4"/>
      <c r="L754" s="53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76"/>
      <c r="F755" s="53"/>
      <c r="G755" s="4"/>
      <c r="H755" s="4"/>
      <c r="I755" s="4"/>
      <c r="J755" s="4"/>
      <c r="K755" s="4"/>
      <c r="L755" s="53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76"/>
      <c r="F756" s="53"/>
      <c r="G756" s="4"/>
      <c r="H756" s="4"/>
      <c r="I756" s="4"/>
      <c r="J756" s="4"/>
      <c r="K756" s="4"/>
      <c r="L756" s="53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76"/>
      <c r="F757" s="53"/>
      <c r="G757" s="4"/>
      <c r="H757" s="4"/>
      <c r="I757" s="4"/>
      <c r="J757" s="4"/>
      <c r="K757" s="4"/>
      <c r="L757" s="53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76"/>
      <c r="F758" s="53"/>
      <c r="G758" s="4"/>
      <c r="H758" s="4"/>
      <c r="I758" s="4"/>
      <c r="J758" s="4"/>
      <c r="K758" s="4"/>
      <c r="L758" s="53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76"/>
      <c r="F759" s="53"/>
      <c r="G759" s="4"/>
      <c r="H759" s="4"/>
      <c r="I759" s="4"/>
      <c r="J759" s="4"/>
      <c r="K759" s="4"/>
      <c r="L759" s="53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76"/>
      <c r="F760" s="53"/>
      <c r="G760" s="4"/>
      <c r="H760" s="4"/>
      <c r="I760" s="4"/>
      <c r="J760" s="4"/>
      <c r="K760" s="4"/>
      <c r="L760" s="53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76"/>
      <c r="F761" s="53"/>
      <c r="G761" s="4"/>
      <c r="H761" s="4"/>
      <c r="I761" s="4"/>
      <c r="J761" s="4"/>
      <c r="K761" s="4"/>
      <c r="L761" s="53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76"/>
      <c r="F762" s="53"/>
      <c r="G762" s="4"/>
      <c r="H762" s="4"/>
      <c r="I762" s="4"/>
      <c r="J762" s="4"/>
      <c r="K762" s="4"/>
      <c r="L762" s="53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76"/>
      <c r="F763" s="53"/>
      <c r="G763" s="4"/>
      <c r="H763" s="4"/>
      <c r="I763" s="4"/>
      <c r="J763" s="4"/>
      <c r="K763" s="4"/>
      <c r="L763" s="53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76"/>
      <c r="F764" s="53"/>
      <c r="G764" s="4"/>
      <c r="H764" s="4"/>
      <c r="I764" s="4"/>
      <c r="J764" s="4"/>
      <c r="K764" s="4"/>
      <c r="L764" s="53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76"/>
      <c r="F765" s="53"/>
      <c r="G765" s="4"/>
      <c r="H765" s="4"/>
      <c r="I765" s="4"/>
      <c r="J765" s="4"/>
      <c r="K765" s="4"/>
      <c r="L765" s="53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76"/>
      <c r="F766" s="53"/>
      <c r="G766" s="4"/>
      <c r="H766" s="4"/>
      <c r="I766" s="4"/>
      <c r="J766" s="4"/>
      <c r="K766" s="4"/>
      <c r="L766" s="53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76"/>
      <c r="F767" s="53"/>
      <c r="G767" s="4"/>
      <c r="H767" s="4"/>
      <c r="I767" s="4"/>
      <c r="J767" s="4"/>
      <c r="K767" s="4"/>
      <c r="L767" s="53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76"/>
      <c r="F768" s="53"/>
      <c r="G768" s="4"/>
      <c r="H768" s="4"/>
      <c r="I768" s="4"/>
      <c r="J768" s="4"/>
      <c r="K768" s="4"/>
      <c r="L768" s="53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76"/>
      <c r="F769" s="53"/>
      <c r="G769" s="4"/>
      <c r="H769" s="4"/>
      <c r="I769" s="4"/>
      <c r="J769" s="4"/>
      <c r="K769" s="4"/>
      <c r="L769" s="53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76"/>
      <c r="F770" s="53"/>
      <c r="G770" s="4"/>
      <c r="H770" s="4"/>
      <c r="I770" s="4"/>
      <c r="J770" s="4"/>
      <c r="K770" s="4"/>
      <c r="L770" s="53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76"/>
      <c r="F771" s="53"/>
      <c r="G771" s="4"/>
      <c r="H771" s="4"/>
      <c r="I771" s="4"/>
      <c r="J771" s="4"/>
      <c r="K771" s="4"/>
      <c r="L771" s="53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76"/>
      <c r="F772" s="53"/>
      <c r="G772" s="4"/>
      <c r="H772" s="4"/>
      <c r="I772" s="4"/>
      <c r="J772" s="4"/>
      <c r="K772" s="4"/>
      <c r="L772" s="53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76"/>
      <c r="F773" s="53"/>
      <c r="G773" s="4"/>
      <c r="H773" s="4"/>
      <c r="I773" s="4"/>
      <c r="J773" s="4"/>
      <c r="K773" s="4"/>
      <c r="L773" s="53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76"/>
      <c r="F774" s="53"/>
      <c r="G774" s="4"/>
      <c r="H774" s="4"/>
      <c r="I774" s="4"/>
      <c r="J774" s="4"/>
      <c r="K774" s="4"/>
      <c r="L774" s="53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76"/>
      <c r="F775" s="53"/>
      <c r="G775" s="4"/>
      <c r="H775" s="4"/>
      <c r="I775" s="4"/>
      <c r="J775" s="4"/>
      <c r="K775" s="4"/>
      <c r="L775" s="53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76"/>
      <c r="F776" s="53"/>
      <c r="G776" s="4"/>
      <c r="H776" s="4"/>
      <c r="I776" s="4"/>
      <c r="J776" s="4"/>
      <c r="K776" s="4"/>
      <c r="L776" s="53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76"/>
      <c r="F777" s="53"/>
      <c r="G777" s="4"/>
      <c r="H777" s="4"/>
      <c r="I777" s="4"/>
      <c r="J777" s="4"/>
      <c r="K777" s="4"/>
      <c r="L777" s="53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76"/>
      <c r="F778" s="53"/>
      <c r="G778" s="4"/>
      <c r="H778" s="4"/>
      <c r="I778" s="4"/>
      <c r="J778" s="4"/>
      <c r="K778" s="4"/>
      <c r="L778" s="53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76"/>
      <c r="F779" s="53"/>
      <c r="G779" s="4"/>
      <c r="H779" s="4"/>
      <c r="I779" s="4"/>
      <c r="J779" s="4"/>
      <c r="K779" s="4"/>
      <c r="L779" s="53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76"/>
      <c r="F780" s="53"/>
      <c r="G780" s="4"/>
      <c r="H780" s="4"/>
      <c r="I780" s="4"/>
      <c r="J780" s="4"/>
      <c r="K780" s="4"/>
      <c r="L780" s="53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76"/>
      <c r="F781" s="53"/>
      <c r="G781" s="4"/>
      <c r="H781" s="4"/>
      <c r="I781" s="4"/>
      <c r="J781" s="4"/>
      <c r="K781" s="4"/>
      <c r="L781" s="53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76"/>
      <c r="F782" s="53"/>
      <c r="G782" s="4"/>
      <c r="H782" s="4"/>
      <c r="I782" s="4"/>
      <c r="J782" s="4"/>
      <c r="K782" s="4"/>
      <c r="L782" s="53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76"/>
      <c r="F783" s="53"/>
      <c r="G783" s="4"/>
      <c r="H783" s="4"/>
      <c r="I783" s="4"/>
      <c r="J783" s="4"/>
      <c r="K783" s="4"/>
      <c r="L783" s="53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76"/>
      <c r="F784" s="53"/>
      <c r="G784" s="4"/>
      <c r="H784" s="4"/>
      <c r="I784" s="4"/>
      <c r="J784" s="4"/>
      <c r="K784" s="4"/>
      <c r="L784" s="53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76"/>
      <c r="F785" s="53"/>
      <c r="G785" s="4"/>
      <c r="H785" s="4"/>
      <c r="I785" s="4"/>
      <c r="J785" s="4"/>
      <c r="K785" s="4"/>
      <c r="L785" s="53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76"/>
      <c r="F786" s="53"/>
      <c r="G786" s="4"/>
      <c r="H786" s="4"/>
      <c r="I786" s="4"/>
      <c r="J786" s="4"/>
      <c r="K786" s="4"/>
      <c r="L786" s="53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76"/>
      <c r="F787" s="53"/>
      <c r="G787" s="4"/>
      <c r="H787" s="4"/>
      <c r="I787" s="4"/>
      <c r="J787" s="4"/>
      <c r="K787" s="4"/>
      <c r="L787" s="53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76"/>
      <c r="F788" s="53"/>
      <c r="G788" s="4"/>
      <c r="H788" s="4"/>
      <c r="I788" s="4"/>
      <c r="J788" s="4"/>
      <c r="K788" s="4"/>
      <c r="L788" s="53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76"/>
      <c r="F789" s="53"/>
      <c r="G789" s="4"/>
      <c r="H789" s="4"/>
      <c r="I789" s="4"/>
      <c r="J789" s="4"/>
      <c r="K789" s="4"/>
      <c r="L789" s="53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76"/>
      <c r="F790" s="53"/>
      <c r="G790" s="4"/>
      <c r="H790" s="4"/>
      <c r="I790" s="4"/>
      <c r="J790" s="4"/>
      <c r="K790" s="4"/>
      <c r="L790" s="53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76"/>
      <c r="F791" s="53"/>
      <c r="G791" s="4"/>
      <c r="H791" s="4"/>
      <c r="I791" s="4"/>
      <c r="J791" s="4"/>
      <c r="K791" s="4"/>
      <c r="L791" s="53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76"/>
      <c r="F792" s="53"/>
      <c r="G792" s="4"/>
      <c r="H792" s="4"/>
      <c r="I792" s="4"/>
      <c r="J792" s="4"/>
      <c r="K792" s="4"/>
      <c r="L792" s="53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76"/>
      <c r="F793" s="53"/>
      <c r="G793" s="4"/>
      <c r="H793" s="4"/>
      <c r="I793" s="4"/>
      <c r="J793" s="4"/>
      <c r="K793" s="4"/>
      <c r="L793" s="53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76"/>
      <c r="F794" s="53"/>
      <c r="G794" s="4"/>
      <c r="H794" s="4"/>
      <c r="I794" s="4"/>
      <c r="J794" s="4"/>
      <c r="K794" s="4"/>
      <c r="L794" s="53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76"/>
      <c r="F795" s="53"/>
      <c r="G795" s="4"/>
      <c r="H795" s="4"/>
      <c r="I795" s="4"/>
      <c r="J795" s="4"/>
      <c r="K795" s="4"/>
      <c r="L795" s="53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76"/>
      <c r="F796" s="53"/>
      <c r="G796" s="4"/>
      <c r="H796" s="4"/>
      <c r="I796" s="4"/>
      <c r="J796" s="4"/>
      <c r="K796" s="4"/>
      <c r="L796" s="53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76"/>
      <c r="F797" s="53"/>
      <c r="G797" s="4"/>
      <c r="H797" s="4"/>
      <c r="I797" s="4"/>
      <c r="J797" s="4"/>
      <c r="K797" s="4"/>
      <c r="L797" s="53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76"/>
      <c r="F798" s="53"/>
      <c r="G798" s="4"/>
      <c r="H798" s="4"/>
      <c r="I798" s="4"/>
      <c r="J798" s="4"/>
      <c r="K798" s="4"/>
      <c r="L798" s="53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76"/>
      <c r="F799" s="53"/>
      <c r="G799" s="4"/>
      <c r="H799" s="4"/>
      <c r="I799" s="4"/>
      <c r="J799" s="4"/>
      <c r="K799" s="4"/>
      <c r="L799" s="53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76"/>
      <c r="F800" s="53"/>
      <c r="G800" s="4"/>
      <c r="H800" s="4"/>
      <c r="I800" s="4"/>
      <c r="J800" s="4"/>
      <c r="K800" s="4"/>
      <c r="L800" s="53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76"/>
      <c r="F801" s="53"/>
      <c r="G801" s="4"/>
      <c r="H801" s="4"/>
      <c r="I801" s="4"/>
      <c r="J801" s="4"/>
      <c r="K801" s="4"/>
      <c r="L801" s="53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76"/>
      <c r="F802" s="53"/>
      <c r="G802" s="4"/>
      <c r="H802" s="4"/>
      <c r="I802" s="4"/>
      <c r="J802" s="4"/>
      <c r="K802" s="4"/>
      <c r="L802" s="53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76"/>
      <c r="F803" s="53"/>
      <c r="G803" s="4"/>
      <c r="H803" s="4"/>
      <c r="I803" s="4"/>
      <c r="J803" s="4"/>
      <c r="K803" s="4"/>
      <c r="L803" s="53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76"/>
      <c r="F804" s="53"/>
      <c r="G804" s="4"/>
      <c r="H804" s="4"/>
      <c r="I804" s="4"/>
      <c r="J804" s="4"/>
      <c r="K804" s="4"/>
      <c r="L804" s="53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76"/>
      <c r="F805" s="53"/>
      <c r="G805" s="4"/>
      <c r="H805" s="4"/>
      <c r="I805" s="4"/>
      <c r="J805" s="4"/>
      <c r="K805" s="4"/>
      <c r="L805" s="53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76"/>
      <c r="F806" s="53"/>
      <c r="G806" s="4"/>
      <c r="H806" s="4"/>
      <c r="I806" s="4"/>
      <c r="J806" s="4"/>
      <c r="K806" s="4"/>
      <c r="L806" s="53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76"/>
      <c r="F807" s="53"/>
      <c r="G807" s="4"/>
      <c r="H807" s="4"/>
      <c r="I807" s="4"/>
      <c r="J807" s="4"/>
      <c r="K807" s="4"/>
      <c r="L807" s="53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76"/>
      <c r="F808" s="53"/>
      <c r="G808" s="4"/>
      <c r="H808" s="4"/>
      <c r="I808" s="4"/>
      <c r="J808" s="4"/>
      <c r="K808" s="4"/>
      <c r="L808" s="53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76"/>
      <c r="F809" s="53"/>
      <c r="G809" s="4"/>
      <c r="H809" s="4"/>
      <c r="I809" s="4"/>
      <c r="J809" s="4"/>
      <c r="K809" s="4"/>
      <c r="L809" s="53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76"/>
      <c r="F810" s="53"/>
      <c r="G810" s="4"/>
      <c r="H810" s="4"/>
      <c r="I810" s="4"/>
      <c r="J810" s="4"/>
      <c r="K810" s="4"/>
      <c r="L810" s="53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76"/>
      <c r="F811" s="53"/>
      <c r="G811" s="4"/>
      <c r="H811" s="4"/>
      <c r="I811" s="4"/>
      <c r="J811" s="4"/>
      <c r="K811" s="4"/>
      <c r="L811" s="53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76"/>
      <c r="F812" s="53"/>
      <c r="G812" s="4"/>
      <c r="H812" s="4"/>
      <c r="I812" s="4"/>
      <c r="J812" s="4"/>
      <c r="K812" s="4"/>
      <c r="L812" s="53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76"/>
      <c r="F813" s="53"/>
      <c r="G813" s="4"/>
      <c r="H813" s="4"/>
      <c r="I813" s="4"/>
      <c r="J813" s="4"/>
      <c r="K813" s="4"/>
      <c r="L813" s="53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76"/>
      <c r="F814" s="53"/>
      <c r="G814" s="4"/>
      <c r="H814" s="4"/>
      <c r="I814" s="4"/>
      <c r="J814" s="4"/>
      <c r="K814" s="4"/>
      <c r="L814" s="53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76"/>
      <c r="F815" s="53"/>
      <c r="G815" s="4"/>
      <c r="H815" s="4"/>
      <c r="I815" s="4"/>
      <c r="J815" s="4"/>
      <c r="K815" s="4"/>
      <c r="L815" s="53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76"/>
      <c r="F816" s="53"/>
      <c r="G816" s="4"/>
      <c r="H816" s="4"/>
      <c r="I816" s="4"/>
      <c r="J816" s="4"/>
      <c r="K816" s="4"/>
      <c r="L816" s="53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76"/>
      <c r="F817" s="53"/>
      <c r="G817" s="4"/>
      <c r="H817" s="4"/>
      <c r="I817" s="4"/>
      <c r="J817" s="4"/>
      <c r="K817" s="4"/>
      <c r="L817" s="53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76"/>
      <c r="F818" s="53"/>
      <c r="G818" s="4"/>
      <c r="H818" s="4"/>
      <c r="I818" s="4"/>
      <c r="J818" s="4"/>
      <c r="K818" s="4"/>
      <c r="L818" s="53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76"/>
      <c r="F819" s="53"/>
      <c r="G819" s="4"/>
      <c r="H819" s="4"/>
      <c r="I819" s="4"/>
      <c r="J819" s="4"/>
      <c r="K819" s="4"/>
      <c r="L819" s="53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76"/>
      <c r="F820" s="53"/>
      <c r="G820" s="4"/>
      <c r="H820" s="4"/>
      <c r="I820" s="4"/>
      <c r="J820" s="4"/>
      <c r="K820" s="4"/>
      <c r="L820" s="53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76"/>
      <c r="F821" s="53"/>
      <c r="G821" s="4"/>
      <c r="H821" s="4"/>
      <c r="I821" s="4"/>
      <c r="J821" s="4"/>
      <c r="K821" s="4"/>
      <c r="L821" s="53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76"/>
      <c r="F822" s="53"/>
      <c r="G822" s="4"/>
      <c r="H822" s="4"/>
      <c r="I822" s="4"/>
      <c r="J822" s="4"/>
      <c r="K822" s="4"/>
      <c r="L822" s="53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76"/>
      <c r="F823" s="53"/>
      <c r="G823" s="4"/>
      <c r="H823" s="4"/>
      <c r="I823" s="4"/>
      <c r="J823" s="4"/>
      <c r="K823" s="4"/>
      <c r="L823" s="53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76"/>
      <c r="F824" s="53"/>
      <c r="G824" s="4"/>
      <c r="H824" s="4"/>
      <c r="I824" s="4"/>
      <c r="J824" s="4"/>
      <c r="K824" s="4"/>
      <c r="L824" s="53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76"/>
      <c r="F825" s="53"/>
      <c r="G825" s="4"/>
      <c r="H825" s="4"/>
      <c r="I825" s="4"/>
      <c r="J825" s="4"/>
      <c r="K825" s="4"/>
      <c r="L825" s="53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76"/>
      <c r="F826" s="53"/>
      <c r="G826" s="4"/>
      <c r="H826" s="4"/>
      <c r="I826" s="4"/>
      <c r="J826" s="4"/>
      <c r="K826" s="4"/>
      <c r="L826" s="53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76"/>
      <c r="F827" s="53"/>
      <c r="G827" s="4"/>
      <c r="H827" s="4"/>
      <c r="I827" s="4"/>
      <c r="J827" s="4"/>
      <c r="K827" s="4"/>
      <c r="L827" s="53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76"/>
      <c r="F828" s="53"/>
      <c r="G828" s="4"/>
      <c r="H828" s="4"/>
      <c r="I828" s="4"/>
      <c r="J828" s="4"/>
      <c r="K828" s="4"/>
      <c r="L828" s="53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76"/>
      <c r="F829" s="53"/>
      <c r="G829" s="4"/>
      <c r="H829" s="4"/>
      <c r="I829" s="4"/>
      <c r="J829" s="4"/>
      <c r="K829" s="4"/>
      <c r="L829" s="53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76"/>
      <c r="F830" s="53"/>
      <c r="G830" s="4"/>
      <c r="H830" s="4"/>
      <c r="I830" s="4"/>
      <c r="J830" s="4"/>
      <c r="K830" s="4"/>
      <c r="L830" s="53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76"/>
      <c r="F831" s="53"/>
      <c r="G831" s="4"/>
      <c r="H831" s="4"/>
      <c r="I831" s="4"/>
      <c r="J831" s="4"/>
      <c r="K831" s="4"/>
      <c r="L831" s="53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76"/>
      <c r="F832" s="53"/>
      <c r="G832" s="4"/>
      <c r="H832" s="4"/>
      <c r="I832" s="4"/>
      <c r="J832" s="4"/>
      <c r="K832" s="4"/>
      <c r="L832" s="53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76"/>
      <c r="F833" s="53"/>
      <c r="G833" s="4"/>
      <c r="H833" s="4"/>
      <c r="I833" s="4"/>
      <c r="J833" s="4"/>
      <c r="K833" s="4"/>
      <c r="L833" s="53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76"/>
      <c r="F834" s="53"/>
      <c r="G834" s="4"/>
      <c r="H834" s="4"/>
      <c r="I834" s="4"/>
      <c r="J834" s="4"/>
      <c r="K834" s="4"/>
      <c r="L834" s="53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76"/>
      <c r="F835" s="53"/>
      <c r="G835" s="4"/>
      <c r="H835" s="4"/>
      <c r="I835" s="4"/>
      <c r="J835" s="4"/>
      <c r="K835" s="4"/>
      <c r="L835" s="53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76"/>
      <c r="F836" s="53"/>
      <c r="G836" s="4"/>
      <c r="H836" s="4"/>
      <c r="I836" s="4"/>
      <c r="J836" s="4"/>
      <c r="K836" s="4"/>
      <c r="L836" s="53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76"/>
      <c r="F837" s="53"/>
      <c r="G837" s="4"/>
      <c r="H837" s="4"/>
      <c r="I837" s="4"/>
      <c r="J837" s="4"/>
      <c r="K837" s="4"/>
      <c r="L837" s="53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76"/>
      <c r="F838" s="53"/>
      <c r="G838" s="4"/>
      <c r="H838" s="4"/>
      <c r="I838" s="4"/>
      <c r="J838" s="4"/>
      <c r="K838" s="4"/>
      <c r="L838" s="53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76"/>
      <c r="F839" s="53"/>
      <c r="G839" s="4"/>
      <c r="H839" s="4"/>
      <c r="I839" s="4"/>
      <c r="J839" s="4"/>
      <c r="K839" s="4"/>
      <c r="L839" s="53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76"/>
      <c r="F840" s="53"/>
      <c r="G840" s="4"/>
      <c r="H840" s="4"/>
      <c r="I840" s="4"/>
      <c r="J840" s="4"/>
      <c r="K840" s="4"/>
      <c r="L840" s="53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76"/>
      <c r="F841" s="53"/>
      <c r="G841" s="4"/>
      <c r="H841" s="4"/>
      <c r="I841" s="4"/>
      <c r="J841" s="4"/>
      <c r="K841" s="4"/>
      <c r="L841" s="53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76"/>
      <c r="F842" s="53"/>
      <c r="G842" s="4"/>
      <c r="H842" s="4"/>
      <c r="I842" s="4"/>
      <c r="J842" s="4"/>
      <c r="K842" s="4"/>
      <c r="L842" s="53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76"/>
      <c r="F843" s="53"/>
      <c r="G843" s="4"/>
      <c r="H843" s="4"/>
      <c r="I843" s="4"/>
      <c r="J843" s="4"/>
      <c r="K843" s="4"/>
      <c r="L843" s="53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76"/>
      <c r="F844" s="53"/>
      <c r="G844" s="4"/>
      <c r="H844" s="4"/>
      <c r="I844" s="4"/>
      <c r="J844" s="4"/>
      <c r="K844" s="4"/>
      <c r="L844" s="53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76"/>
      <c r="F845" s="53"/>
      <c r="G845" s="4"/>
      <c r="H845" s="4"/>
      <c r="I845" s="4"/>
      <c r="J845" s="4"/>
      <c r="K845" s="4"/>
      <c r="L845" s="53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76"/>
      <c r="F846" s="53"/>
      <c r="G846" s="4"/>
      <c r="H846" s="4"/>
      <c r="I846" s="4"/>
      <c r="J846" s="4"/>
      <c r="K846" s="4"/>
      <c r="L846" s="53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76"/>
      <c r="F847" s="53"/>
      <c r="G847" s="4"/>
      <c r="H847" s="4"/>
      <c r="I847" s="4"/>
      <c r="J847" s="4"/>
      <c r="K847" s="4"/>
      <c r="L847" s="53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76"/>
      <c r="F848" s="53"/>
      <c r="G848" s="4"/>
      <c r="H848" s="4"/>
      <c r="I848" s="4"/>
      <c r="J848" s="4"/>
      <c r="K848" s="4"/>
      <c r="L848" s="53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76"/>
      <c r="F849" s="53"/>
      <c r="G849" s="4"/>
      <c r="H849" s="4"/>
      <c r="I849" s="4"/>
      <c r="J849" s="4"/>
      <c r="K849" s="4"/>
      <c r="L849" s="53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76"/>
      <c r="F850" s="53"/>
      <c r="G850" s="4"/>
      <c r="H850" s="4"/>
      <c r="I850" s="4"/>
      <c r="J850" s="4"/>
      <c r="K850" s="4"/>
      <c r="L850" s="53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76"/>
      <c r="F851" s="53"/>
      <c r="G851" s="4"/>
      <c r="H851" s="4"/>
      <c r="I851" s="4"/>
      <c r="J851" s="4"/>
      <c r="K851" s="4"/>
      <c r="L851" s="53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76"/>
      <c r="F852" s="53"/>
      <c r="G852" s="4"/>
      <c r="H852" s="4"/>
      <c r="I852" s="4"/>
      <c r="J852" s="4"/>
      <c r="K852" s="4"/>
      <c r="L852" s="53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76"/>
      <c r="F853" s="53"/>
      <c r="G853" s="4"/>
      <c r="H853" s="4"/>
      <c r="I853" s="4"/>
      <c r="J853" s="4"/>
      <c r="K853" s="4"/>
      <c r="L853" s="53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76"/>
      <c r="F854" s="53"/>
      <c r="G854" s="4"/>
      <c r="H854" s="4"/>
      <c r="I854" s="4"/>
      <c r="J854" s="4"/>
      <c r="K854" s="4"/>
      <c r="L854" s="53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76"/>
      <c r="F855" s="53"/>
      <c r="G855" s="4"/>
      <c r="H855" s="4"/>
      <c r="I855" s="4"/>
      <c r="J855" s="4"/>
      <c r="K855" s="4"/>
      <c r="L855" s="53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76"/>
      <c r="F856" s="53"/>
      <c r="G856" s="4"/>
      <c r="H856" s="4"/>
      <c r="I856" s="4"/>
      <c r="J856" s="4"/>
      <c r="K856" s="4"/>
      <c r="L856" s="53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76"/>
      <c r="F857" s="53"/>
      <c r="G857" s="4"/>
      <c r="H857" s="4"/>
      <c r="I857" s="4"/>
      <c r="J857" s="4"/>
      <c r="K857" s="4"/>
      <c r="L857" s="53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76"/>
      <c r="F858" s="53"/>
      <c r="G858" s="4"/>
      <c r="H858" s="4"/>
      <c r="I858" s="4"/>
      <c r="J858" s="4"/>
      <c r="K858" s="4"/>
      <c r="L858" s="53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76"/>
      <c r="F859" s="53"/>
      <c r="G859" s="4"/>
      <c r="H859" s="4"/>
      <c r="I859" s="4"/>
      <c r="J859" s="4"/>
      <c r="K859" s="4"/>
      <c r="L859" s="53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76"/>
      <c r="F860" s="53"/>
      <c r="G860" s="4"/>
      <c r="H860" s="4"/>
      <c r="I860" s="4"/>
      <c r="J860" s="4"/>
      <c r="K860" s="4"/>
      <c r="L860" s="53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76"/>
      <c r="F861" s="53"/>
      <c r="G861" s="4"/>
      <c r="H861" s="4"/>
      <c r="I861" s="4"/>
      <c r="J861" s="4"/>
      <c r="K861" s="4"/>
      <c r="L861" s="53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76"/>
      <c r="F862" s="53"/>
      <c r="G862" s="4"/>
      <c r="H862" s="4"/>
      <c r="I862" s="4"/>
      <c r="J862" s="4"/>
      <c r="K862" s="4"/>
      <c r="L862" s="53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76"/>
      <c r="F863" s="53"/>
      <c r="G863" s="4"/>
      <c r="H863" s="4"/>
      <c r="I863" s="4"/>
      <c r="J863" s="4"/>
      <c r="K863" s="4"/>
      <c r="L863" s="53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76"/>
      <c r="F864" s="53"/>
      <c r="G864" s="4"/>
      <c r="H864" s="4"/>
      <c r="I864" s="4"/>
      <c r="J864" s="4"/>
      <c r="K864" s="4"/>
      <c r="L864" s="53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76"/>
      <c r="F865" s="53"/>
      <c r="G865" s="4"/>
      <c r="H865" s="4"/>
      <c r="I865" s="4"/>
      <c r="J865" s="4"/>
      <c r="K865" s="4"/>
      <c r="L865" s="53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76"/>
      <c r="F866" s="53"/>
      <c r="G866" s="4"/>
      <c r="H866" s="4"/>
      <c r="I866" s="4"/>
      <c r="J866" s="4"/>
      <c r="K866" s="4"/>
      <c r="L866" s="53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76"/>
      <c r="F867" s="53"/>
      <c r="G867" s="4"/>
      <c r="H867" s="4"/>
      <c r="I867" s="4"/>
      <c r="J867" s="4"/>
      <c r="K867" s="4"/>
      <c r="L867" s="53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76"/>
      <c r="F868" s="53"/>
      <c r="G868" s="4"/>
      <c r="H868" s="4"/>
      <c r="I868" s="4"/>
      <c r="J868" s="4"/>
      <c r="K868" s="4"/>
      <c r="L868" s="53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76"/>
      <c r="F869" s="53"/>
      <c r="G869" s="4"/>
      <c r="H869" s="4"/>
      <c r="I869" s="4"/>
      <c r="J869" s="4"/>
      <c r="K869" s="4"/>
      <c r="L869" s="53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76"/>
      <c r="F870" s="53"/>
      <c r="G870" s="4"/>
      <c r="H870" s="4"/>
      <c r="I870" s="4"/>
      <c r="J870" s="4"/>
      <c r="K870" s="4"/>
      <c r="L870" s="53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76"/>
      <c r="F871" s="53"/>
      <c r="G871" s="4"/>
      <c r="H871" s="4"/>
      <c r="I871" s="4"/>
      <c r="J871" s="4"/>
      <c r="K871" s="4"/>
      <c r="L871" s="53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76"/>
      <c r="F872" s="53"/>
      <c r="G872" s="4"/>
      <c r="H872" s="4"/>
      <c r="I872" s="4"/>
      <c r="J872" s="4"/>
      <c r="K872" s="4"/>
      <c r="L872" s="53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76"/>
      <c r="F873" s="53"/>
      <c r="G873" s="4"/>
      <c r="H873" s="4"/>
      <c r="I873" s="4"/>
      <c r="J873" s="4"/>
      <c r="K873" s="4"/>
      <c r="L873" s="53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76"/>
      <c r="F874" s="53"/>
      <c r="G874" s="4"/>
      <c r="H874" s="4"/>
      <c r="I874" s="4"/>
      <c r="J874" s="4"/>
      <c r="K874" s="4"/>
      <c r="L874" s="53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76"/>
      <c r="F875" s="53"/>
      <c r="G875" s="4"/>
      <c r="H875" s="4"/>
      <c r="I875" s="4"/>
      <c r="J875" s="4"/>
      <c r="K875" s="4"/>
      <c r="L875" s="53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76"/>
      <c r="F876" s="53"/>
      <c r="G876" s="4"/>
      <c r="H876" s="4"/>
      <c r="I876" s="4"/>
      <c r="J876" s="4"/>
      <c r="K876" s="4"/>
      <c r="L876" s="53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76"/>
      <c r="F877" s="53"/>
      <c r="G877" s="4"/>
      <c r="H877" s="4"/>
      <c r="I877" s="4"/>
      <c r="J877" s="4"/>
      <c r="K877" s="4"/>
      <c r="L877" s="53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76"/>
      <c r="F878" s="53"/>
      <c r="G878" s="4"/>
      <c r="H878" s="4"/>
      <c r="I878" s="4"/>
      <c r="J878" s="4"/>
      <c r="K878" s="4"/>
      <c r="L878" s="53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76"/>
      <c r="F879" s="53"/>
      <c r="G879" s="4"/>
      <c r="H879" s="4"/>
      <c r="I879" s="4"/>
      <c r="J879" s="4"/>
      <c r="K879" s="4"/>
      <c r="L879" s="53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76"/>
      <c r="F880" s="53"/>
      <c r="G880" s="4"/>
      <c r="H880" s="4"/>
      <c r="I880" s="4"/>
      <c r="J880" s="4"/>
      <c r="K880" s="4"/>
      <c r="L880" s="53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76"/>
      <c r="F881" s="53"/>
      <c r="G881" s="4"/>
      <c r="H881" s="4"/>
      <c r="I881" s="4"/>
      <c r="J881" s="4"/>
      <c r="K881" s="4"/>
      <c r="L881" s="53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76"/>
      <c r="F882" s="53"/>
      <c r="G882" s="4"/>
      <c r="H882" s="4"/>
      <c r="I882" s="4"/>
      <c r="J882" s="4"/>
      <c r="K882" s="4"/>
      <c r="L882" s="53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76"/>
      <c r="F883" s="53"/>
      <c r="G883" s="4"/>
      <c r="H883" s="4"/>
      <c r="I883" s="4"/>
      <c r="J883" s="4"/>
      <c r="K883" s="4"/>
      <c r="L883" s="53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76"/>
      <c r="F884" s="53"/>
      <c r="G884" s="4"/>
      <c r="H884" s="4"/>
      <c r="I884" s="4"/>
      <c r="J884" s="4"/>
      <c r="K884" s="4"/>
      <c r="L884" s="53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76"/>
      <c r="F885" s="53"/>
      <c r="G885" s="4"/>
      <c r="H885" s="4"/>
      <c r="I885" s="4"/>
      <c r="J885" s="4"/>
      <c r="K885" s="4"/>
      <c r="L885" s="53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76"/>
      <c r="F886" s="53"/>
      <c r="G886" s="4"/>
      <c r="H886" s="4"/>
      <c r="I886" s="4"/>
      <c r="J886" s="4"/>
      <c r="K886" s="4"/>
      <c r="L886" s="53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76"/>
      <c r="F887" s="53"/>
      <c r="G887" s="4"/>
      <c r="H887" s="4"/>
      <c r="I887" s="4"/>
      <c r="J887" s="4"/>
      <c r="K887" s="4"/>
      <c r="L887" s="53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76"/>
      <c r="F888" s="53"/>
      <c r="G888" s="4"/>
      <c r="H888" s="4"/>
      <c r="I888" s="4"/>
      <c r="J888" s="4"/>
      <c r="K888" s="4"/>
      <c r="L888" s="53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76"/>
      <c r="F889" s="53"/>
      <c r="G889" s="4"/>
      <c r="H889" s="4"/>
      <c r="I889" s="4"/>
      <c r="J889" s="4"/>
      <c r="K889" s="4"/>
      <c r="L889" s="53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76"/>
      <c r="F890" s="53"/>
      <c r="G890" s="4"/>
      <c r="H890" s="4"/>
      <c r="I890" s="4"/>
      <c r="J890" s="4"/>
      <c r="K890" s="4"/>
      <c r="L890" s="53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76"/>
      <c r="F891" s="53"/>
      <c r="G891" s="4"/>
      <c r="H891" s="4"/>
      <c r="I891" s="4"/>
      <c r="J891" s="4"/>
      <c r="K891" s="4"/>
      <c r="L891" s="53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76"/>
      <c r="F892" s="53"/>
      <c r="G892" s="4"/>
      <c r="H892" s="4"/>
      <c r="I892" s="4"/>
      <c r="J892" s="4"/>
      <c r="K892" s="4"/>
      <c r="L892" s="53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76"/>
      <c r="F893" s="53"/>
      <c r="G893" s="4"/>
      <c r="H893" s="4"/>
      <c r="I893" s="4"/>
      <c r="J893" s="4"/>
      <c r="K893" s="4"/>
      <c r="L893" s="53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76"/>
      <c r="F894" s="53"/>
      <c r="G894" s="4"/>
      <c r="H894" s="4"/>
      <c r="I894" s="4"/>
      <c r="J894" s="4"/>
      <c r="K894" s="4"/>
      <c r="L894" s="53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76"/>
      <c r="F895" s="53"/>
      <c r="G895" s="4"/>
      <c r="H895" s="4"/>
      <c r="I895" s="4"/>
      <c r="J895" s="4"/>
      <c r="K895" s="4"/>
      <c r="L895" s="53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76"/>
      <c r="F896" s="53"/>
      <c r="G896" s="4"/>
      <c r="H896" s="4"/>
      <c r="I896" s="4"/>
      <c r="J896" s="4"/>
      <c r="K896" s="4"/>
      <c r="L896" s="53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76"/>
      <c r="F897" s="53"/>
      <c r="G897" s="4"/>
      <c r="H897" s="4"/>
      <c r="I897" s="4"/>
      <c r="J897" s="4"/>
      <c r="K897" s="4"/>
      <c r="L897" s="53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76"/>
      <c r="F898" s="53"/>
      <c r="G898" s="4"/>
      <c r="H898" s="4"/>
      <c r="I898" s="4"/>
      <c r="J898" s="4"/>
      <c r="K898" s="4"/>
      <c r="L898" s="53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76"/>
      <c r="F899" s="53"/>
      <c r="G899" s="4"/>
      <c r="H899" s="4"/>
      <c r="I899" s="4"/>
      <c r="J899" s="4"/>
      <c r="K899" s="4"/>
      <c r="L899" s="53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76"/>
      <c r="F900" s="53"/>
      <c r="G900" s="4"/>
      <c r="H900" s="4"/>
      <c r="I900" s="4"/>
      <c r="J900" s="4"/>
      <c r="K900" s="4"/>
      <c r="L900" s="53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76"/>
      <c r="F901" s="53"/>
      <c r="G901" s="4"/>
      <c r="H901" s="4"/>
      <c r="I901" s="4"/>
      <c r="J901" s="4"/>
      <c r="K901" s="4"/>
      <c r="L901" s="53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76"/>
      <c r="F902" s="53"/>
      <c r="G902" s="4"/>
      <c r="H902" s="4"/>
      <c r="I902" s="4"/>
      <c r="J902" s="4"/>
      <c r="K902" s="4"/>
      <c r="L902" s="53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76"/>
      <c r="F903" s="53"/>
      <c r="G903" s="4"/>
      <c r="H903" s="4"/>
      <c r="I903" s="4"/>
      <c r="J903" s="4"/>
      <c r="K903" s="4"/>
      <c r="L903" s="53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76"/>
      <c r="F904" s="53"/>
      <c r="G904" s="4"/>
      <c r="H904" s="4"/>
      <c r="I904" s="4"/>
      <c r="J904" s="4"/>
      <c r="K904" s="4"/>
      <c r="L904" s="53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76"/>
      <c r="F905" s="53"/>
      <c r="G905" s="4"/>
      <c r="H905" s="4"/>
      <c r="I905" s="4"/>
      <c r="J905" s="4"/>
      <c r="K905" s="4"/>
      <c r="L905" s="53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76"/>
      <c r="F906" s="53"/>
      <c r="G906" s="4"/>
      <c r="H906" s="4"/>
      <c r="I906" s="4"/>
      <c r="J906" s="4"/>
      <c r="K906" s="4"/>
      <c r="L906" s="53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76"/>
      <c r="F907" s="53"/>
      <c r="G907" s="4"/>
      <c r="H907" s="4"/>
      <c r="I907" s="4"/>
      <c r="J907" s="4"/>
      <c r="K907" s="4"/>
      <c r="L907" s="53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76"/>
      <c r="F908" s="53"/>
      <c r="G908" s="4"/>
      <c r="H908" s="4"/>
      <c r="I908" s="4"/>
      <c r="J908" s="4"/>
      <c r="K908" s="4"/>
      <c r="L908" s="53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76"/>
      <c r="F909" s="53"/>
      <c r="G909" s="4"/>
      <c r="H909" s="4"/>
      <c r="I909" s="4"/>
      <c r="J909" s="4"/>
      <c r="K909" s="4"/>
      <c r="L909" s="53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76"/>
      <c r="F910" s="53"/>
      <c r="G910" s="4"/>
      <c r="H910" s="4"/>
      <c r="I910" s="4"/>
      <c r="J910" s="4"/>
      <c r="K910" s="4"/>
      <c r="L910" s="53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76"/>
      <c r="F911" s="53"/>
      <c r="G911" s="4"/>
      <c r="H911" s="4"/>
      <c r="I911" s="4"/>
      <c r="J911" s="4"/>
      <c r="K911" s="4"/>
      <c r="L911" s="53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76"/>
      <c r="F912" s="53"/>
      <c r="G912" s="4"/>
      <c r="H912" s="4"/>
      <c r="I912" s="4"/>
      <c r="J912" s="4"/>
      <c r="K912" s="4"/>
      <c r="L912" s="53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76"/>
      <c r="F913" s="53"/>
      <c r="G913" s="4"/>
      <c r="H913" s="4"/>
      <c r="I913" s="4"/>
      <c r="J913" s="4"/>
      <c r="K913" s="4"/>
      <c r="L913" s="53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76"/>
      <c r="F914" s="53"/>
      <c r="G914" s="4"/>
      <c r="H914" s="4"/>
      <c r="I914" s="4"/>
      <c r="J914" s="4"/>
      <c r="K914" s="4"/>
      <c r="L914" s="53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76"/>
      <c r="F915" s="53"/>
      <c r="G915" s="4"/>
      <c r="H915" s="4"/>
      <c r="I915" s="4"/>
      <c r="J915" s="4"/>
      <c r="K915" s="4"/>
      <c r="L915" s="53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76"/>
      <c r="F916" s="53"/>
      <c r="G916" s="4"/>
      <c r="H916" s="4"/>
      <c r="I916" s="4"/>
      <c r="J916" s="4"/>
      <c r="K916" s="4"/>
      <c r="L916" s="53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76"/>
      <c r="F917" s="53"/>
      <c r="G917" s="4"/>
      <c r="H917" s="4"/>
      <c r="I917" s="4"/>
      <c r="J917" s="4"/>
      <c r="K917" s="4"/>
      <c r="L917" s="53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76"/>
      <c r="F918" s="53"/>
      <c r="G918" s="4"/>
      <c r="H918" s="4"/>
      <c r="I918" s="4"/>
      <c r="J918" s="4"/>
      <c r="K918" s="4"/>
      <c r="L918" s="53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76"/>
      <c r="F919" s="53"/>
      <c r="G919" s="4"/>
      <c r="H919" s="4"/>
      <c r="I919" s="4"/>
      <c r="J919" s="4"/>
      <c r="K919" s="4"/>
      <c r="L919" s="53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76"/>
      <c r="F920" s="53"/>
      <c r="G920" s="4"/>
      <c r="H920" s="4"/>
      <c r="I920" s="4"/>
      <c r="J920" s="4"/>
      <c r="K920" s="4"/>
      <c r="L920" s="53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76"/>
      <c r="F921" s="53"/>
      <c r="G921" s="4"/>
      <c r="H921" s="4"/>
      <c r="I921" s="4"/>
      <c r="J921" s="4"/>
      <c r="K921" s="4"/>
      <c r="L921" s="53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76"/>
      <c r="F922" s="53"/>
      <c r="G922" s="4"/>
      <c r="H922" s="4"/>
      <c r="I922" s="4"/>
      <c r="J922" s="4"/>
      <c r="K922" s="4"/>
      <c r="L922" s="53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76"/>
      <c r="F923" s="53"/>
      <c r="G923" s="4"/>
      <c r="H923" s="4"/>
      <c r="I923" s="4"/>
      <c r="J923" s="4"/>
      <c r="K923" s="4"/>
      <c r="L923" s="53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76"/>
      <c r="F924" s="53"/>
      <c r="G924" s="4"/>
      <c r="H924" s="4"/>
      <c r="I924" s="4"/>
      <c r="J924" s="4"/>
      <c r="K924" s="4"/>
      <c r="L924" s="53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76"/>
      <c r="F925" s="53"/>
      <c r="G925" s="4"/>
      <c r="H925" s="4"/>
      <c r="I925" s="4"/>
      <c r="J925" s="4"/>
      <c r="K925" s="4"/>
      <c r="L925" s="53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76"/>
      <c r="F926" s="53"/>
      <c r="G926" s="4"/>
      <c r="H926" s="4"/>
      <c r="I926" s="4"/>
      <c r="J926" s="4"/>
      <c r="K926" s="4"/>
      <c r="L926" s="53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76"/>
      <c r="F927" s="53"/>
      <c r="G927" s="4"/>
      <c r="H927" s="4"/>
      <c r="I927" s="4"/>
      <c r="J927" s="4"/>
      <c r="K927" s="4"/>
      <c r="L927" s="53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76"/>
      <c r="F928" s="53"/>
      <c r="G928" s="4"/>
      <c r="H928" s="4"/>
      <c r="I928" s="4"/>
      <c r="J928" s="4"/>
      <c r="K928" s="4"/>
      <c r="L928" s="53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76"/>
      <c r="F929" s="53"/>
      <c r="G929" s="4"/>
      <c r="H929" s="4"/>
      <c r="I929" s="4"/>
      <c r="J929" s="4"/>
      <c r="K929" s="4"/>
      <c r="L929" s="53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76"/>
      <c r="F930" s="53"/>
      <c r="G930" s="4"/>
      <c r="H930" s="4"/>
      <c r="I930" s="4"/>
      <c r="J930" s="4"/>
      <c r="K930" s="4"/>
      <c r="L930" s="53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76"/>
      <c r="F931" s="53"/>
      <c r="G931" s="4"/>
      <c r="H931" s="4"/>
      <c r="I931" s="4"/>
      <c r="J931" s="4"/>
      <c r="K931" s="4"/>
      <c r="L931" s="53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76"/>
      <c r="F932" s="53"/>
      <c r="G932" s="4"/>
      <c r="H932" s="4"/>
      <c r="I932" s="4"/>
      <c r="J932" s="4"/>
      <c r="K932" s="4"/>
      <c r="L932" s="53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76"/>
      <c r="F933" s="53"/>
      <c r="G933" s="4"/>
      <c r="H933" s="4"/>
      <c r="I933" s="4"/>
      <c r="J933" s="4"/>
      <c r="K933" s="4"/>
      <c r="L933" s="53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76"/>
      <c r="F934" s="53"/>
      <c r="G934" s="4"/>
      <c r="H934" s="4"/>
      <c r="I934" s="4"/>
      <c r="J934" s="4"/>
      <c r="K934" s="4"/>
      <c r="L934" s="53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76"/>
      <c r="F935" s="53"/>
      <c r="G935" s="4"/>
      <c r="H935" s="4"/>
      <c r="I935" s="4"/>
      <c r="J935" s="4"/>
      <c r="K935" s="4"/>
      <c r="L935" s="53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76"/>
      <c r="F936" s="53"/>
      <c r="G936" s="4"/>
      <c r="H936" s="4"/>
      <c r="I936" s="4"/>
      <c r="J936" s="4"/>
      <c r="K936" s="4"/>
      <c r="L936" s="53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76"/>
      <c r="F937" s="53"/>
      <c r="G937" s="4"/>
      <c r="H937" s="4"/>
      <c r="I937" s="4"/>
      <c r="J937" s="4"/>
      <c r="K937" s="4"/>
      <c r="L937" s="53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76"/>
      <c r="F938" s="53"/>
      <c r="G938" s="4"/>
      <c r="H938" s="4"/>
      <c r="I938" s="4"/>
      <c r="J938" s="4"/>
      <c r="K938" s="4"/>
      <c r="L938" s="53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76"/>
      <c r="F939" s="53"/>
      <c r="G939" s="4"/>
      <c r="H939" s="4"/>
      <c r="I939" s="4"/>
      <c r="J939" s="4"/>
      <c r="K939" s="4"/>
      <c r="L939" s="53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76"/>
      <c r="F940" s="53"/>
      <c r="G940" s="4"/>
      <c r="H940" s="4"/>
      <c r="I940" s="4"/>
      <c r="J940" s="4"/>
      <c r="K940" s="4"/>
      <c r="L940" s="53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76"/>
      <c r="F941" s="53"/>
      <c r="G941" s="4"/>
      <c r="H941" s="4"/>
      <c r="I941" s="4"/>
      <c r="J941" s="4"/>
      <c r="K941" s="4"/>
      <c r="L941" s="53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76"/>
      <c r="F942" s="53"/>
      <c r="G942" s="4"/>
      <c r="H942" s="4"/>
      <c r="I942" s="4"/>
      <c r="J942" s="4"/>
      <c r="K942" s="4"/>
      <c r="L942" s="53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76"/>
      <c r="F943" s="53"/>
      <c r="G943" s="4"/>
      <c r="H943" s="4"/>
      <c r="I943" s="4"/>
      <c r="J943" s="4"/>
      <c r="K943" s="4"/>
      <c r="L943" s="53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76"/>
      <c r="F944" s="53"/>
      <c r="G944" s="4"/>
      <c r="H944" s="4"/>
      <c r="I944" s="4"/>
      <c r="J944" s="4"/>
      <c r="K944" s="4"/>
      <c r="L944" s="53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76"/>
      <c r="F945" s="53"/>
      <c r="G945" s="4"/>
      <c r="H945" s="4"/>
      <c r="I945" s="4"/>
      <c r="J945" s="4"/>
      <c r="K945" s="4"/>
      <c r="L945" s="53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76"/>
      <c r="F946" s="53"/>
      <c r="G946" s="4"/>
      <c r="H946" s="4"/>
      <c r="I946" s="4"/>
      <c r="J946" s="4"/>
      <c r="K946" s="4"/>
      <c r="L946" s="53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76"/>
      <c r="F947" s="53"/>
      <c r="G947" s="4"/>
      <c r="H947" s="4"/>
      <c r="I947" s="4"/>
      <c r="J947" s="4"/>
      <c r="K947" s="4"/>
      <c r="L947" s="53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76"/>
      <c r="F948" s="53"/>
      <c r="G948" s="4"/>
      <c r="H948" s="4"/>
      <c r="I948" s="4"/>
      <c r="J948" s="4"/>
      <c r="K948" s="4"/>
      <c r="L948" s="53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76"/>
      <c r="F949" s="53"/>
      <c r="G949" s="4"/>
      <c r="H949" s="4"/>
      <c r="I949" s="4"/>
      <c r="J949" s="4"/>
      <c r="K949" s="4"/>
      <c r="L949" s="53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76"/>
      <c r="F950" s="53"/>
      <c r="G950" s="4"/>
      <c r="H950" s="4"/>
      <c r="I950" s="4"/>
      <c r="J950" s="4"/>
      <c r="K950" s="4"/>
      <c r="L950" s="53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76"/>
      <c r="F951" s="53"/>
      <c r="G951" s="4"/>
      <c r="H951" s="4"/>
      <c r="I951" s="4"/>
      <c r="J951" s="4"/>
      <c r="K951" s="4"/>
      <c r="L951" s="53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76"/>
      <c r="F952" s="53"/>
      <c r="G952" s="4"/>
      <c r="H952" s="4"/>
      <c r="I952" s="4"/>
      <c r="J952" s="4"/>
      <c r="K952" s="4"/>
      <c r="L952" s="53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76"/>
      <c r="F953" s="53"/>
      <c r="G953" s="4"/>
      <c r="H953" s="4"/>
      <c r="I953" s="4"/>
      <c r="J953" s="4"/>
      <c r="K953" s="4"/>
      <c r="L953" s="53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76"/>
      <c r="F954" s="53"/>
      <c r="G954" s="4"/>
      <c r="H954" s="4"/>
      <c r="I954" s="4"/>
      <c r="J954" s="4"/>
      <c r="K954" s="4"/>
      <c r="L954" s="53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76"/>
      <c r="F955" s="53"/>
      <c r="G955" s="4"/>
      <c r="H955" s="4"/>
      <c r="I955" s="4"/>
      <c r="J955" s="4"/>
      <c r="K955" s="4"/>
      <c r="L955" s="53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76"/>
      <c r="F956" s="53"/>
      <c r="G956" s="4"/>
      <c r="H956" s="4"/>
      <c r="I956" s="4"/>
      <c r="J956" s="4"/>
      <c r="K956" s="4"/>
      <c r="L956" s="53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76"/>
      <c r="F957" s="53"/>
      <c r="G957" s="4"/>
      <c r="H957" s="4"/>
      <c r="I957" s="4"/>
      <c r="J957" s="4"/>
      <c r="K957" s="4"/>
      <c r="L957" s="53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76"/>
      <c r="F958" s="53"/>
      <c r="G958" s="4"/>
      <c r="H958" s="4"/>
      <c r="I958" s="4"/>
      <c r="J958" s="4"/>
      <c r="K958" s="4"/>
      <c r="L958" s="53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76"/>
      <c r="F959" s="53"/>
      <c r="G959" s="4"/>
      <c r="H959" s="4"/>
      <c r="I959" s="4"/>
      <c r="J959" s="4"/>
      <c r="K959" s="4"/>
      <c r="L959" s="53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76"/>
      <c r="F960" s="53"/>
      <c r="G960" s="4"/>
      <c r="H960" s="4"/>
      <c r="I960" s="4"/>
      <c r="J960" s="4"/>
      <c r="K960" s="4"/>
      <c r="L960" s="53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76"/>
      <c r="F961" s="53"/>
      <c r="G961" s="4"/>
      <c r="H961" s="4"/>
      <c r="I961" s="4"/>
      <c r="J961" s="4"/>
      <c r="K961" s="4"/>
      <c r="L961" s="53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76"/>
      <c r="F962" s="53"/>
      <c r="G962" s="4"/>
      <c r="H962" s="4"/>
      <c r="I962" s="4"/>
      <c r="J962" s="4"/>
      <c r="K962" s="4"/>
      <c r="L962" s="53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76"/>
      <c r="F963" s="53"/>
      <c r="G963" s="4"/>
      <c r="H963" s="4"/>
      <c r="I963" s="4"/>
      <c r="J963" s="4"/>
      <c r="K963" s="4"/>
      <c r="L963" s="53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76"/>
      <c r="F964" s="53"/>
      <c r="G964" s="4"/>
      <c r="H964" s="4"/>
      <c r="I964" s="4"/>
      <c r="J964" s="4"/>
      <c r="K964" s="4"/>
      <c r="L964" s="53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76"/>
      <c r="F965" s="53"/>
      <c r="G965" s="4"/>
      <c r="H965" s="4"/>
      <c r="I965" s="4"/>
      <c r="J965" s="4"/>
      <c r="K965" s="4"/>
      <c r="L965" s="53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76"/>
      <c r="F966" s="53"/>
      <c r="G966" s="4"/>
      <c r="H966" s="4"/>
      <c r="I966" s="4"/>
      <c r="J966" s="4"/>
      <c r="K966" s="4"/>
      <c r="L966" s="53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76"/>
      <c r="F967" s="53"/>
      <c r="G967" s="4"/>
      <c r="H967" s="4"/>
      <c r="I967" s="4"/>
      <c r="J967" s="4"/>
      <c r="K967" s="4"/>
      <c r="L967" s="53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76"/>
      <c r="F968" s="53"/>
      <c r="G968" s="4"/>
      <c r="H968" s="4"/>
      <c r="I968" s="4"/>
      <c r="J968" s="4"/>
      <c r="K968" s="4"/>
      <c r="L968" s="53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76"/>
      <c r="F969" s="53"/>
      <c r="G969" s="4"/>
      <c r="H969" s="4"/>
      <c r="I969" s="4"/>
      <c r="J969" s="4"/>
      <c r="K969" s="4"/>
      <c r="L969" s="53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76"/>
      <c r="F970" s="53"/>
      <c r="G970" s="4"/>
      <c r="H970" s="4"/>
      <c r="I970" s="4"/>
      <c r="J970" s="4"/>
      <c r="K970" s="4"/>
      <c r="L970" s="53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76"/>
      <c r="F971" s="53"/>
      <c r="G971" s="4"/>
      <c r="H971" s="4"/>
      <c r="I971" s="4"/>
      <c r="J971" s="4"/>
      <c r="K971" s="4"/>
      <c r="L971" s="53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76"/>
      <c r="F972" s="53"/>
      <c r="G972" s="4"/>
      <c r="H972" s="4"/>
      <c r="I972" s="4"/>
      <c r="J972" s="4"/>
      <c r="K972" s="4"/>
      <c r="L972" s="53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76"/>
      <c r="F973" s="53"/>
      <c r="G973" s="4"/>
      <c r="H973" s="4"/>
      <c r="I973" s="4"/>
      <c r="J973" s="4"/>
      <c r="K973" s="4"/>
      <c r="L973" s="53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76"/>
      <c r="F974" s="53"/>
      <c r="G974" s="4"/>
      <c r="H974" s="4"/>
      <c r="I974" s="4"/>
      <c r="J974" s="4"/>
      <c r="K974" s="4"/>
      <c r="L974" s="53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76"/>
      <c r="F975" s="53"/>
      <c r="G975" s="4"/>
      <c r="H975" s="4"/>
      <c r="I975" s="4"/>
      <c r="J975" s="4"/>
      <c r="K975" s="4"/>
      <c r="L975" s="53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76"/>
      <c r="F976" s="53"/>
      <c r="G976" s="4"/>
      <c r="H976" s="4"/>
      <c r="I976" s="4"/>
      <c r="J976" s="4"/>
      <c r="K976" s="4"/>
      <c r="L976" s="53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76"/>
      <c r="F977" s="53"/>
      <c r="G977" s="4"/>
      <c r="H977" s="4"/>
      <c r="I977" s="4"/>
      <c r="J977" s="4"/>
      <c r="K977" s="4"/>
      <c r="L977" s="53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76"/>
      <c r="F978" s="53"/>
      <c r="G978" s="4"/>
      <c r="H978" s="4"/>
      <c r="I978" s="4"/>
      <c r="J978" s="4"/>
      <c r="K978" s="4"/>
      <c r="L978" s="53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76"/>
      <c r="F979" s="53"/>
      <c r="G979" s="4"/>
      <c r="H979" s="4"/>
      <c r="I979" s="4"/>
      <c r="J979" s="4"/>
      <c r="K979" s="4"/>
      <c r="L979" s="53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76"/>
      <c r="F980" s="53"/>
      <c r="G980" s="4"/>
      <c r="H980" s="4"/>
      <c r="I980" s="4"/>
      <c r="J980" s="4"/>
      <c r="K980" s="4"/>
      <c r="L980" s="53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76"/>
      <c r="F981" s="53"/>
      <c r="G981" s="4"/>
      <c r="H981" s="4"/>
      <c r="I981" s="4"/>
      <c r="J981" s="4"/>
      <c r="K981" s="4"/>
      <c r="L981" s="53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76"/>
      <c r="F982" s="53"/>
      <c r="G982" s="4"/>
      <c r="H982" s="4"/>
      <c r="I982" s="4"/>
      <c r="J982" s="4"/>
      <c r="K982" s="4"/>
      <c r="L982" s="53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76"/>
      <c r="F983" s="53"/>
      <c r="G983" s="4"/>
      <c r="H983" s="4"/>
      <c r="I983" s="4"/>
      <c r="J983" s="4"/>
      <c r="K983" s="4"/>
      <c r="L983" s="53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76"/>
      <c r="F984" s="53"/>
      <c r="G984" s="4"/>
      <c r="H984" s="4"/>
      <c r="I984" s="4"/>
      <c r="J984" s="4"/>
      <c r="K984" s="4"/>
      <c r="L984" s="53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76"/>
      <c r="F985" s="53"/>
      <c r="G985" s="4"/>
      <c r="H985" s="4"/>
      <c r="I985" s="4"/>
      <c r="J985" s="4"/>
      <c r="K985" s="4"/>
      <c r="L985" s="53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76"/>
      <c r="F986" s="53"/>
      <c r="G986" s="4"/>
      <c r="H986" s="4"/>
      <c r="I986" s="4"/>
      <c r="J986" s="4"/>
      <c r="K986" s="4"/>
      <c r="L986" s="53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76"/>
      <c r="F987" s="53"/>
      <c r="G987" s="4"/>
      <c r="H987" s="4"/>
      <c r="I987" s="4"/>
      <c r="J987" s="4"/>
      <c r="K987" s="4"/>
      <c r="L987" s="53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76"/>
      <c r="F988" s="53"/>
      <c r="G988" s="4"/>
      <c r="H988" s="4"/>
      <c r="I988" s="4"/>
      <c r="J988" s="4"/>
      <c r="K988" s="4"/>
      <c r="L988" s="53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76"/>
      <c r="F989" s="53"/>
      <c r="G989" s="4"/>
      <c r="H989" s="4"/>
      <c r="I989" s="4"/>
      <c r="J989" s="4"/>
      <c r="K989" s="4"/>
      <c r="L989" s="53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76"/>
      <c r="F990" s="53"/>
      <c r="G990" s="4"/>
      <c r="H990" s="4"/>
      <c r="I990" s="4"/>
      <c r="J990" s="4"/>
      <c r="K990" s="4"/>
      <c r="L990" s="53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76"/>
      <c r="F991" s="53"/>
      <c r="G991" s="4"/>
      <c r="H991" s="4"/>
      <c r="I991" s="4"/>
      <c r="J991" s="4"/>
      <c r="K991" s="4"/>
      <c r="L991" s="53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76"/>
      <c r="F992" s="53"/>
      <c r="G992" s="4"/>
      <c r="H992" s="4"/>
      <c r="I992" s="4"/>
      <c r="J992" s="4"/>
      <c r="K992" s="4"/>
      <c r="L992" s="53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76"/>
      <c r="F993" s="53"/>
      <c r="G993" s="4"/>
      <c r="H993" s="4"/>
      <c r="I993" s="4"/>
      <c r="J993" s="4"/>
      <c r="K993" s="4"/>
      <c r="L993" s="53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76"/>
      <c r="F994" s="53"/>
      <c r="G994" s="4"/>
      <c r="H994" s="4"/>
      <c r="I994" s="4"/>
      <c r="J994" s="4"/>
      <c r="K994" s="4"/>
      <c r="L994" s="53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76"/>
      <c r="F995" s="53"/>
      <c r="G995" s="4"/>
      <c r="H995" s="4"/>
      <c r="I995" s="4"/>
      <c r="J995" s="4"/>
      <c r="K995" s="4"/>
      <c r="L995" s="53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76"/>
      <c r="F996" s="53"/>
      <c r="G996" s="4"/>
      <c r="H996" s="4"/>
      <c r="I996" s="4"/>
      <c r="J996" s="4"/>
      <c r="K996" s="4"/>
      <c r="L996" s="53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76"/>
      <c r="F997" s="53"/>
      <c r="G997" s="4"/>
      <c r="H997" s="4"/>
      <c r="I997" s="4"/>
      <c r="J997" s="4"/>
      <c r="K997" s="4"/>
      <c r="L997" s="53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76"/>
      <c r="F998" s="53"/>
      <c r="G998" s="4"/>
      <c r="H998" s="4"/>
      <c r="I998" s="4"/>
      <c r="J998" s="4"/>
      <c r="K998" s="4"/>
      <c r="L998" s="53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76"/>
      <c r="F999" s="53"/>
      <c r="G999" s="4"/>
      <c r="H999" s="4"/>
      <c r="I999" s="4"/>
      <c r="J999" s="4"/>
      <c r="K999" s="4"/>
      <c r="L999" s="53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76"/>
      <c r="F1000" s="53"/>
      <c r="G1000" s="4"/>
      <c r="H1000" s="4"/>
      <c r="I1000" s="4"/>
      <c r="J1000" s="4"/>
      <c r="K1000" s="4"/>
      <c r="L1000" s="53"/>
      <c r="P1000" s="4"/>
      <c r="Q1000" s="4"/>
      <c r="R1000" s="4"/>
      <c r="S1000" s="4"/>
      <c r="T1000" s="4"/>
      <c r="U1000" s="4"/>
      <c r="V1000" s="4"/>
    </row>
  </sheetData>
  <mergeCells count="2">
    <mergeCell ref="A1:H1"/>
    <mergeCell ref="A2:H2"/>
  </mergeCells>
  <conditionalFormatting sqref="D5:D25 D28:D39">
    <cfRule type="containsBlanks" dxfId="0" priority="1">
      <formula>LEN(TRIM(D5))=0</formula>
    </cfRule>
  </conditionalFormatting>
  <conditionalFormatting sqref="F5:F25 F28:F39">
    <cfRule type="cellIs" dxfId="1" priority="2" operator="equal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11.13"/>
    <col customWidth="1" min="3" max="3" width="14.0"/>
    <col customWidth="1" min="4" max="4" width="8.63"/>
    <col customWidth="1" min="5" max="5" width="14.5"/>
    <col customWidth="1" min="6" max="6" width="7.5"/>
    <col customWidth="1" min="7" max="7" width="5.13"/>
    <col customWidth="1" min="8" max="8" width="13.25"/>
    <col customWidth="1" min="9" max="9" width="14.13"/>
    <col customWidth="1" min="10" max="10" width="8.63"/>
    <col customWidth="1" min="11" max="11" width="14.63"/>
    <col customWidth="1" min="12" max="12" width="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P1" s="4"/>
      <c r="Q1" s="4"/>
      <c r="R1" s="4"/>
      <c r="S1" s="4"/>
      <c r="T1" s="4"/>
      <c r="U1" s="4"/>
      <c r="V1" s="4"/>
    </row>
    <row r="2">
      <c r="A2" s="85">
        <v>46174.0</v>
      </c>
      <c r="P2" s="4"/>
      <c r="Q2" s="4"/>
      <c r="R2" s="4"/>
      <c r="S2" s="4"/>
      <c r="T2" s="4"/>
      <c r="U2" s="4"/>
      <c r="V2" s="4"/>
    </row>
    <row r="3">
      <c r="A3" s="8" t="s">
        <v>4</v>
      </c>
      <c r="B3" s="10"/>
      <c r="C3" s="10"/>
      <c r="D3" s="10"/>
      <c r="E3" s="10"/>
      <c r="F3" s="10"/>
      <c r="G3" s="10"/>
      <c r="H3" s="13"/>
      <c r="P3" s="4"/>
      <c r="Q3" s="4"/>
      <c r="R3" s="4"/>
      <c r="S3" s="4"/>
      <c r="T3" s="4"/>
      <c r="U3" s="4"/>
      <c r="V3" s="4"/>
    </row>
    <row r="4">
      <c r="A4" s="15" t="s">
        <v>6</v>
      </c>
      <c r="B4" s="17" t="s">
        <v>7</v>
      </c>
      <c r="C4" s="19" t="s">
        <v>8</v>
      </c>
      <c r="D4" s="21" t="s">
        <v>9</v>
      </c>
      <c r="E4" s="23" t="s">
        <v>10</v>
      </c>
      <c r="F4" s="24" t="s">
        <v>11</v>
      </c>
      <c r="H4" s="26" t="s">
        <v>12</v>
      </c>
      <c r="P4" s="4"/>
      <c r="Q4" s="4"/>
      <c r="R4" s="4"/>
      <c r="S4" s="4"/>
      <c r="T4" s="4"/>
      <c r="U4" s="4"/>
      <c r="V4" s="4"/>
    </row>
    <row r="5">
      <c r="A5" s="29" t="s">
        <v>13</v>
      </c>
      <c r="B5" s="30" t="s">
        <v>14</v>
      </c>
      <c r="C5" s="32">
        <v>46202.99930555555</v>
      </c>
      <c r="D5" s="33" t="s">
        <v>21</v>
      </c>
      <c r="E5" s="32">
        <f t="shared" ref="E5:E13" si="1">IF(D5&lt;&gt;"",IF(E5="",NOW(),E5),"")</f>
        <v>46201.96061</v>
      </c>
      <c r="F5" s="37">
        <f t="shared" ref="F5:F25" si="2">if(D5 = "", 0,IF(E5&lt;C5,0.5,0))</f>
        <v>0.5</v>
      </c>
      <c r="H5" s="38">
        <f t="shared" ref="H5:H25" si="3">if(D5 &lt;&gt; "", ABS(E5-C5), "0")</f>
        <v>1.038691655</v>
      </c>
      <c r="P5" s="4"/>
      <c r="Q5" s="4"/>
      <c r="R5" s="4"/>
      <c r="S5" s="4"/>
      <c r="T5" s="4"/>
      <c r="U5" s="4"/>
      <c r="V5" s="4"/>
    </row>
    <row r="6">
      <c r="A6" s="39" t="s">
        <v>16</v>
      </c>
      <c r="B6" s="30" t="s">
        <v>14</v>
      </c>
      <c r="C6" s="32">
        <v>46202.99930555555</v>
      </c>
      <c r="D6" s="33" t="s">
        <v>21</v>
      </c>
      <c r="E6" s="32">
        <f t="shared" si="1"/>
        <v>46201.96055</v>
      </c>
      <c r="F6" s="37">
        <f t="shared" si="2"/>
        <v>0.5</v>
      </c>
      <c r="H6" s="38">
        <f t="shared" si="3"/>
        <v>1.038758056</v>
      </c>
      <c r="P6" s="4"/>
      <c r="Q6" s="4"/>
      <c r="R6" s="4"/>
      <c r="S6" s="4"/>
      <c r="T6" s="4"/>
      <c r="U6" s="4"/>
      <c r="V6" s="4"/>
    </row>
    <row r="7">
      <c r="A7" s="39" t="s">
        <v>17</v>
      </c>
      <c r="B7" s="30" t="s">
        <v>18</v>
      </c>
      <c r="C7" s="32">
        <v>46175.99930555555</v>
      </c>
      <c r="D7" s="33" t="s">
        <v>15</v>
      </c>
      <c r="E7" s="32">
        <f t="shared" si="1"/>
        <v>46174.33394</v>
      </c>
      <c r="F7" s="37">
        <f t="shared" si="2"/>
        <v>0.5</v>
      </c>
      <c r="H7" s="38">
        <f t="shared" si="3"/>
        <v>1.665360799</v>
      </c>
      <c r="P7" s="4"/>
      <c r="Q7" s="4"/>
      <c r="R7" s="4"/>
      <c r="S7" s="4"/>
      <c r="T7" s="4"/>
      <c r="U7" s="4"/>
      <c r="V7" s="4"/>
    </row>
    <row r="8">
      <c r="A8" s="39" t="s">
        <v>19</v>
      </c>
      <c r="B8" s="30" t="s">
        <v>20</v>
      </c>
      <c r="C8" s="32">
        <v>46175.99930555555</v>
      </c>
      <c r="D8" s="33" t="s">
        <v>21</v>
      </c>
      <c r="E8" s="32">
        <f t="shared" si="1"/>
        <v>46174.10324</v>
      </c>
      <c r="F8" s="37">
        <f t="shared" si="2"/>
        <v>0.5</v>
      </c>
      <c r="H8" s="38">
        <f t="shared" si="3"/>
        <v>1.896069606</v>
      </c>
      <c r="P8" s="4"/>
      <c r="Q8" s="4"/>
      <c r="R8" s="4"/>
      <c r="S8" s="4"/>
      <c r="T8" s="4"/>
      <c r="U8" s="4"/>
      <c r="V8" s="4"/>
    </row>
    <row r="9">
      <c r="A9" s="39" t="s">
        <v>22</v>
      </c>
      <c r="B9" s="30" t="s">
        <v>23</v>
      </c>
      <c r="C9" s="32">
        <v>46178.99930555555</v>
      </c>
      <c r="D9" s="33" t="s">
        <v>21</v>
      </c>
      <c r="E9" s="32">
        <f t="shared" si="1"/>
        <v>46178.39632</v>
      </c>
      <c r="F9" s="37">
        <f t="shared" si="2"/>
        <v>0.5</v>
      </c>
      <c r="H9" s="38">
        <f t="shared" si="3"/>
        <v>0.6029858333</v>
      </c>
      <c r="P9" s="4"/>
      <c r="Q9" s="4"/>
      <c r="R9" s="4"/>
      <c r="S9" s="4"/>
      <c r="T9" s="4"/>
      <c r="U9" s="4"/>
      <c r="V9" s="4"/>
    </row>
    <row r="10">
      <c r="A10" s="39" t="s">
        <v>24</v>
      </c>
      <c r="B10" s="30" t="s">
        <v>23</v>
      </c>
      <c r="C10" s="32">
        <v>46178.99930555555</v>
      </c>
      <c r="D10" s="33" t="s">
        <v>21</v>
      </c>
      <c r="E10" s="32">
        <f t="shared" si="1"/>
        <v>46178.39639</v>
      </c>
      <c r="F10" s="37">
        <f t="shared" si="2"/>
        <v>0.5</v>
      </c>
      <c r="H10" s="38">
        <f t="shared" si="3"/>
        <v>0.6029155671</v>
      </c>
      <c r="P10" s="4"/>
      <c r="Q10" s="4"/>
      <c r="R10" s="4"/>
      <c r="S10" s="4"/>
      <c r="T10" s="4"/>
      <c r="U10" s="4"/>
      <c r="V10" s="4"/>
    </row>
    <row r="11">
      <c r="A11" s="39" t="s">
        <v>25</v>
      </c>
      <c r="B11" s="30" t="s">
        <v>14</v>
      </c>
      <c r="C11" s="32">
        <v>46181.99930555555</v>
      </c>
      <c r="D11" s="33" t="s">
        <v>15</v>
      </c>
      <c r="E11" s="32">
        <f t="shared" si="1"/>
        <v>46181.3111</v>
      </c>
      <c r="F11" s="37">
        <f t="shared" si="2"/>
        <v>0.5</v>
      </c>
      <c r="H11" s="38">
        <f t="shared" si="3"/>
        <v>0.6882042593</v>
      </c>
      <c r="K11" s="50">
        <v>1.0</v>
      </c>
      <c r="P11" s="4"/>
      <c r="Q11" s="4"/>
      <c r="R11" s="4"/>
      <c r="S11" s="4"/>
      <c r="T11" s="4"/>
      <c r="U11" s="4"/>
      <c r="V11" s="4"/>
    </row>
    <row r="12">
      <c r="A12" s="49" t="s">
        <v>26</v>
      </c>
      <c r="B12" s="30" t="s">
        <v>14</v>
      </c>
      <c r="C12" s="32">
        <v>46181.99930555555</v>
      </c>
      <c r="D12" s="33" t="s">
        <v>15</v>
      </c>
      <c r="E12" s="32">
        <f t="shared" si="1"/>
        <v>46181.31116</v>
      </c>
      <c r="F12" s="37">
        <f t="shared" si="2"/>
        <v>0.5</v>
      </c>
      <c r="H12" s="38">
        <f t="shared" si="3"/>
        <v>0.6881436806</v>
      </c>
      <c r="K12" s="50">
        <v>1.0</v>
      </c>
      <c r="P12" s="4"/>
      <c r="Q12" s="4"/>
      <c r="R12" s="4"/>
      <c r="S12" s="4"/>
      <c r="T12" s="4"/>
      <c r="U12" s="4"/>
      <c r="V12" s="4"/>
    </row>
    <row r="13">
      <c r="A13" s="49" t="s">
        <v>27</v>
      </c>
      <c r="B13" s="30" t="s">
        <v>23</v>
      </c>
      <c r="C13" s="32">
        <v>46183.99930555555</v>
      </c>
      <c r="D13" s="33" t="s">
        <v>21</v>
      </c>
      <c r="E13" s="32">
        <f t="shared" si="1"/>
        <v>46182.2979</v>
      </c>
      <c r="F13" s="37">
        <f t="shared" si="2"/>
        <v>0.5</v>
      </c>
      <c r="H13" s="38">
        <f t="shared" si="3"/>
        <v>1.701409248</v>
      </c>
      <c r="K13" s="50">
        <v>1.0</v>
      </c>
      <c r="P13" s="4"/>
      <c r="Q13" s="4"/>
      <c r="R13" s="4"/>
      <c r="S13" s="4"/>
      <c r="T13" s="4"/>
      <c r="U13" s="4"/>
      <c r="V13" s="4"/>
    </row>
    <row r="14">
      <c r="A14" s="49" t="s">
        <v>29</v>
      </c>
      <c r="B14" s="30" t="s">
        <v>30</v>
      </c>
      <c r="C14" s="32">
        <v>46185.99930555555</v>
      </c>
      <c r="D14" s="33" t="s">
        <v>21</v>
      </c>
      <c r="E14" s="32">
        <v>46184.12061342593</v>
      </c>
      <c r="F14" s="37">
        <f t="shared" si="2"/>
        <v>0.5</v>
      </c>
      <c r="H14" s="38">
        <f t="shared" si="3"/>
        <v>1.87869213</v>
      </c>
      <c r="K14" s="86">
        <v>0.0</v>
      </c>
      <c r="P14" s="4"/>
      <c r="Q14" s="4"/>
      <c r="R14" s="4"/>
      <c r="S14" s="4"/>
      <c r="T14" s="4"/>
      <c r="U14" s="4"/>
      <c r="V14" s="4"/>
    </row>
    <row r="15">
      <c r="A15" s="49" t="s">
        <v>32</v>
      </c>
      <c r="B15" s="30" t="s">
        <v>20</v>
      </c>
      <c r="C15" s="32">
        <v>46185.99930555555</v>
      </c>
      <c r="D15" s="33" t="s">
        <v>21</v>
      </c>
      <c r="E15" s="32">
        <f t="shared" ref="E15:E25" si="4">IF(D15&lt;&gt;"",IF(E15="",NOW(),E15),"")</f>
        <v>46184.09335</v>
      </c>
      <c r="F15" s="37">
        <f t="shared" si="2"/>
        <v>0.5</v>
      </c>
      <c r="H15" s="38">
        <f t="shared" si="3"/>
        <v>1.905957222</v>
      </c>
      <c r="P15" s="4"/>
      <c r="Q15" s="4"/>
      <c r="R15" s="4"/>
      <c r="S15" s="4"/>
      <c r="T15" s="4"/>
      <c r="U15" s="4"/>
      <c r="V15" s="4"/>
    </row>
    <row r="16">
      <c r="A16" s="49" t="s">
        <v>33</v>
      </c>
      <c r="B16" s="30" t="s">
        <v>20</v>
      </c>
      <c r="C16" s="32">
        <v>46188.99930555555</v>
      </c>
      <c r="D16" s="33" t="s">
        <v>21</v>
      </c>
      <c r="E16" s="32">
        <f t="shared" si="4"/>
        <v>46189.1801</v>
      </c>
      <c r="F16" s="37">
        <f t="shared" si="2"/>
        <v>0</v>
      </c>
      <c r="H16" s="38">
        <f t="shared" si="3"/>
        <v>0.1807988194</v>
      </c>
      <c r="P16" s="4"/>
      <c r="Q16" s="4"/>
      <c r="R16" s="4"/>
      <c r="S16" s="4"/>
      <c r="T16" s="4"/>
      <c r="U16" s="4"/>
      <c r="V16" s="4"/>
    </row>
    <row r="17">
      <c r="A17" s="49" t="s">
        <v>34</v>
      </c>
      <c r="B17" s="30" t="s">
        <v>30</v>
      </c>
      <c r="C17" s="32">
        <v>46188.99930555555</v>
      </c>
      <c r="D17" s="33" t="s">
        <v>21</v>
      </c>
      <c r="E17" s="32">
        <f t="shared" si="4"/>
        <v>46188.4604</v>
      </c>
      <c r="F17" s="37">
        <f t="shared" si="2"/>
        <v>0.5</v>
      </c>
      <c r="G17" s="4"/>
      <c r="H17" s="38">
        <f t="shared" si="3"/>
        <v>0.5389067593</v>
      </c>
      <c r="I17" s="4"/>
      <c r="J17" s="4"/>
      <c r="K17" s="4"/>
      <c r="L17" s="53"/>
      <c r="P17" s="4"/>
      <c r="Q17" s="4"/>
      <c r="R17" s="4"/>
      <c r="S17" s="4"/>
      <c r="T17" s="4"/>
      <c r="U17" s="4"/>
      <c r="V17" s="4"/>
    </row>
    <row r="18">
      <c r="A18" s="49" t="s">
        <v>35</v>
      </c>
      <c r="B18" s="30" t="s">
        <v>14</v>
      </c>
      <c r="C18" s="32">
        <v>46191.99930555555</v>
      </c>
      <c r="D18" s="33" t="s">
        <v>15</v>
      </c>
      <c r="E18" s="32">
        <f t="shared" si="4"/>
        <v>46192.13032</v>
      </c>
      <c r="F18" s="37">
        <f t="shared" si="2"/>
        <v>0</v>
      </c>
      <c r="G18" s="4"/>
      <c r="H18" s="38">
        <f t="shared" si="3"/>
        <v>0.1310178588</v>
      </c>
      <c r="I18" s="4"/>
      <c r="J18" s="4"/>
      <c r="K18" s="4"/>
      <c r="L18" s="53"/>
      <c r="P18" s="4"/>
      <c r="Q18" s="4"/>
      <c r="R18" s="4"/>
      <c r="S18" s="4"/>
      <c r="T18" s="4"/>
      <c r="U18" s="4"/>
      <c r="V18" s="4"/>
    </row>
    <row r="19">
      <c r="A19" s="49" t="s">
        <v>36</v>
      </c>
      <c r="B19" s="30" t="s">
        <v>37</v>
      </c>
      <c r="C19" s="32">
        <v>46191.99930555555</v>
      </c>
      <c r="D19" s="33" t="s">
        <v>49</v>
      </c>
      <c r="E19" s="32">
        <f t="shared" si="4"/>
        <v>46191.36485</v>
      </c>
      <c r="F19" s="37">
        <f t="shared" si="2"/>
        <v>0.5</v>
      </c>
      <c r="G19" s="4"/>
      <c r="H19" s="38">
        <f t="shared" si="3"/>
        <v>0.6344534722</v>
      </c>
      <c r="I19" s="4"/>
      <c r="J19" s="4"/>
      <c r="K19" s="4"/>
      <c r="L19" s="53"/>
      <c r="P19" s="4"/>
      <c r="Q19" s="4"/>
      <c r="R19" s="4"/>
      <c r="S19" s="4"/>
      <c r="T19" s="4"/>
      <c r="U19" s="4"/>
      <c r="V19" s="4"/>
    </row>
    <row r="20">
      <c r="A20" s="49" t="s">
        <v>38</v>
      </c>
      <c r="B20" s="30" t="s">
        <v>30</v>
      </c>
      <c r="C20" s="32">
        <v>46192.99930555555</v>
      </c>
      <c r="D20" s="33" t="s">
        <v>21</v>
      </c>
      <c r="E20" s="32">
        <f t="shared" si="4"/>
        <v>46192.10274</v>
      </c>
      <c r="F20" s="37">
        <f t="shared" si="2"/>
        <v>0.5</v>
      </c>
      <c r="G20" s="4"/>
      <c r="H20" s="38">
        <f t="shared" si="3"/>
        <v>0.8965640278</v>
      </c>
      <c r="I20" s="4"/>
      <c r="J20" s="4"/>
      <c r="K20" s="4"/>
      <c r="L20" s="53"/>
      <c r="P20" s="4"/>
      <c r="Q20" s="4"/>
      <c r="R20" s="4"/>
      <c r="S20" s="4"/>
      <c r="T20" s="4"/>
      <c r="U20" s="4"/>
      <c r="V20" s="4"/>
    </row>
    <row r="21">
      <c r="A21" s="49" t="s">
        <v>39</v>
      </c>
      <c r="B21" s="30" t="s">
        <v>18</v>
      </c>
      <c r="C21" s="32">
        <v>46192.99930555555</v>
      </c>
      <c r="D21" s="33" t="s">
        <v>15</v>
      </c>
      <c r="E21" s="32">
        <f t="shared" si="4"/>
        <v>46191.4133</v>
      </c>
      <c r="F21" s="37">
        <f t="shared" si="2"/>
        <v>0.5</v>
      </c>
      <c r="G21" s="4"/>
      <c r="H21" s="38">
        <f t="shared" si="3"/>
        <v>1.586009213</v>
      </c>
      <c r="I21" s="4"/>
      <c r="J21" s="4"/>
      <c r="K21" s="4"/>
      <c r="L21" s="53"/>
      <c r="P21" s="4"/>
      <c r="Q21" s="4"/>
      <c r="R21" s="4"/>
      <c r="S21" s="4"/>
      <c r="T21" s="4"/>
      <c r="U21" s="4"/>
      <c r="V21" s="4"/>
    </row>
    <row r="22">
      <c r="A22" s="49" t="s">
        <v>40</v>
      </c>
      <c r="B22" s="30" t="s">
        <v>37</v>
      </c>
      <c r="C22" s="32">
        <v>46196.99930555555</v>
      </c>
      <c r="D22" s="33" t="s">
        <v>49</v>
      </c>
      <c r="E22" s="32">
        <f t="shared" si="4"/>
        <v>46196.3658</v>
      </c>
      <c r="F22" s="37">
        <f t="shared" si="2"/>
        <v>0.5</v>
      </c>
      <c r="G22" s="4"/>
      <c r="H22" s="38">
        <f t="shared" si="3"/>
        <v>0.6335064352</v>
      </c>
      <c r="I22" s="4"/>
      <c r="J22" s="4"/>
      <c r="K22" s="4"/>
      <c r="L22" s="53"/>
      <c r="P22" s="4"/>
      <c r="Q22" s="4"/>
      <c r="R22" s="4"/>
      <c r="S22" s="4"/>
      <c r="T22" s="4"/>
      <c r="U22" s="4"/>
      <c r="V22" s="4"/>
    </row>
    <row r="23">
      <c r="A23" s="49" t="s">
        <v>41</v>
      </c>
      <c r="B23" s="30" t="s">
        <v>18</v>
      </c>
      <c r="C23" s="32">
        <v>46196.99930555555</v>
      </c>
      <c r="D23" s="33" t="s">
        <v>15</v>
      </c>
      <c r="E23" s="32">
        <f t="shared" si="4"/>
        <v>46195.56271</v>
      </c>
      <c r="F23" s="37">
        <f t="shared" si="2"/>
        <v>0.5</v>
      </c>
      <c r="G23" s="4"/>
      <c r="H23" s="38">
        <f t="shared" si="3"/>
        <v>1.436599155</v>
      </c>
      <c r="I23" s="4"/>
      <c r="J23" s="4"/>
      <c r="K23" s="4"/>
      <c r="L23" s="53"/>
      <c r="P23" s="4"/>
      <c r="Q23" s="4"/>
      <c r="R23" s="4"/>
      <c r="S23" s="4"/>
      <c r="T23" s="4"/>
      <c r="U23" s="4"/>
      <c r="V23" s="4"/>
    </row>
    <row r="24">
      <c r="A24" s="49" t="s">
        <v>42</v>
      </c>
      <c r="B24" s="30" t="s">
        <v>23</v>
      </c>
      <c r="C24" s="32">
        <v>46199.99930555555</v>
      </c>
      <c r="D24" s="33" t="s">
        <v>21</v>
      </c>
      <c r="E24" s="32">
        <f t="shared" si="4"/>
        <v>46198.44685</v>
      </c>
      <c r="F24" s="37">
        <f t="shared" si="2"/>
        <v>0.5</v>
      </c>
      <c r="G24" s="4"/>
      <c r="H24" s="38">
        <f t="shared" si="3"/>
        <v>1.552450995</v>
      </c>
      <c r="I24" s="4"/>
      <c r="J24" s="4"/>
      <c r="K24" s="4"/>
      <c r="L24" s="53"/>
      <c r="P24" s="4"/>
      <c r="Q24" s="4"/>
      <c r="R24" s="4"/>
      <c r="S24" s="4"/>
      <c r="T24" s="4"/>
      <c r="U24" s="4"/>
      <c r="V24" s="4"/>
    </row>
    <row r="25">
      <c r="A25" s="55" t="s">
        <v>43</v>
      </c>
      <c r="B25" s="30" t="s">
        <v>37</v>
      </c>
      <c r="C25" s="32">
        <v>46199.99930555555</v>
      </c>
      <c r="D25" s="56" t="s">
        <v>21</v>
      </c>
      <c r="E25" s="32">
        <f t="shared" si="4"/>
        <v>46199.39593</v>
      </c>
      <c r="F25" s="57">
        <f t="shared" si="2"/>
        <v>0.5</v>
      </c>
      <c r="G25" s="4"/>
      <c r="H25" s="58">
        <f t="shared" si="3"/>
        <v>0.6033731019</v>
      </c>
      <c r="I25" s="4"/>
      <c r="J25" s="4"/>
      <c r="K25" s="4"/>
      <c r="L25" s="53"/>
      <c r="P25" s="4"/>
      <c r="Q25" s="4"/>
      <c r="R25" s="4"/>
      <c r="S25" s="4"/>
      <c r="T25" s="4"/>
      <c r="U25" s="4"/>
      <c r="V25" s="4"/>
    </row>
    <row r="26">
      <c r="A26" s="59" t="s">
        <v>44</v>
      </c>
      <c r="B26" s="60"/>
      <c r="C26" s="60"/>
      <c r="D26" s="60"/>
      <c r="E26" s="60"/>
      <c r="F26" s="60"/>
      <c r="G26" s="60"/>
      <c r="H26" s="61"/>
      <c r="I26" s="4"/>
      <c r="J26" s="4"/>
      <c r="K26" s="4"/>
      <c r="L26" s="53"/>
      <c r="P26" s="4"/>
      <c r="Q26" s="4"/>
      <c r="R26" s="4"/>
      <c r="S26" s="4"/>
      <c r="T26" s="4"/>
      <c r="U26" s="4"/>
      <c r="V26" s="4"/>
    </row>
    <row r="27">
      <c r="A27" s="63" t="s">
        <v>6</v>
      </c>
      <c r="B27" s="17" t="s">
        <v>7</v>
      </c>
      <c r="C27" s="64" t="s">
        <v>8</v>
      </c>
      <c r="D27" s="65" t="s">
        <v>9</v>
      </c>
      <c r="E27" s="27" t="s">
        <v>10</v>
      </c>
      <c r="F27" s="28" t="s">
        <v>11</v>
      </c>
      <c r="G27" s="4"/>
      <c r="H27" s="26" t="s">
        <v>12</v>
      </c>
      <c r="K27" s="4"/>
      <c r="L27" s="53"/>
      <c r="P27" s="4"/>
      <c r="Q27" s="4"/>
      <c r="R27" s="4"/>
      <c r="S27" s="4"/>
      <c r="T27" s="4"/>
      <c r="U27" s="4"/>
      <c r="V27" s="4"/>
    </row>
    <row r="28">
      <c r="A28" s="29" t="s">
        <v>45</v>
      </c>
      <c r="B28" s="30" t="s">
        <v>20</v>
      </c>
      <c r="C28" s="32">
        <v>46202.99930555555</v>
      </c>
      <c r="D28" s="33" t="s">
        <v>21</v>
      </c>
      <c r="E28" s="32">
        <f t="shared" ref="E28:E39" si="5">IF(D28&lt;&gt;"",IF(E28="",NOW(),E28),"")</f>
        <v>46202.01879</v>
      </c>
      <c r="F28" s="37">
        <f t="shared" ref="F28:F39" si="6">if(D28 = "", 0,IF(E28&lt;C28,0.5,0))</f>
        <v>0.5</v>
      </c>
      <c r="G28" s="4"/>
      <c r="H28" s="38">
        <f t="shared" ref="H28:H39" si="7">if(D28 &lt;&gt; "", ABS(E28-C28), "0")</f>
        <v>0.9805110185</v>
      </c>
      <c r="K28" s="4"/>
      <c r="L28" s="53"/>
      <c r="P28" s="4"/>
      <c r="Q28" s="4"/>
      <c r="R28" s="4"/>
      <c r="S28" s="4"/>
      <c r="T28" s="4"/>
      <c r="U28" s="4"/>
      <c r="V28" s="4"/>
    </row>
    <row r="29">
      <c r="A29" s="68" t="s">
        <v>46</v>
      </c>
      <c r="B29" s="30" t="s">
        <v>20</v>
      </c>
      <c r="C29" s="32">
        <v>46202.99930555555</v>
      </c>
      <c r="D29" s="33" t="s">
        <v>21</v>
      </c>
      <c r="E29" s="32">
        <f t="shared" si="5"/>
        <v>46202.01883</v>
      </c>
      <c r="F29" s="37">
        <f t="shared" si="6"/>
        <v>0.5</v>
      </c>
      <c r="G29" s="4"/>
      <c r="H29" s="38">
        <f t="shared" si="7"/>
        <v>0.9804790509</v>
      </c>
      <c r="K29" s="4"/>
      <c r="L29" s="53"/>
      <c r="P29" s="4"/>
      <c r="Q29" s="4"/>
      <c r="R29" s="4"/>
      <c r="S29" s="4"/>
      <c r="T29" s="4"/>
      <c r="U29" s="4"/>
      <c r="V29" s="4"/>
    </row>
    <row r="30">
      <c r="A30" s="68" t="s">
        <v>47</v>
      </c>
      <c r="B30" s="30" t="s">
        <v>23</v>
      </c>
      <c r="C30" s="32">
        <v>46175.99930555555</v>
      </c>
      <c r="D30" s="33" t="s">
        <v>21</v>
      </c>
      <c r="E30" s="32">
        <f t="shared" si="5"/>
        <v>46174.29075</v>
      </c>
      <c r="F30" s="37">
        <f t="shared" si="6"/>
        <v>0.5</v>
      </c>
      <c r="G30" s="4"/>
      <c r="H30" s="38">
        <f t="shared" si="7"/>
        <v>1.708553472</v>
      </c>
      <c r="K30" s="4"/>
      <c r="L30" s="53"/>
      <c r="P30" s="4"/>
      <c r="Q30" s="4"/>
      <c r="R30" s="4"/>
      <c r="S30" s="4"/>
      <c r="T30" s="4"/>
      <c r="U30" s="4"/>
      <c r="V30" s="4"/>
    </row>
    <row r="31">
      <c r="A31" s="68" t="s">
        <v>48</v>
      </c>
      <c r="B31" s="30" t="s">
        <v>14</v>
      </c>
      <c r="C31" s="32">
        <v>46178.99930555555</v>
      </c>
      <c r="D31" s="33" t="s">
        <v>15</v>
      </c>
      <c r="E31" s="32">
        <f t="shared" si="5"/>
        <v>46177.23402</v>
      </c>
      <c r="F31" s="37">
        <f t="shared" si="6"/>
        <v>0.5</v>
      </c>
      <c r="G31" s="4"/>
      <c r="H31" s="38">
        <f t="shared" si="7"/>
        <v>1.765284907</v>
      </c>
      <c r="K31" s="4"/>
      <c r="L31" s="53"/>
      <c r="P31" s="4"/>
      <c r="Q31" s="4"/>
      <c r="R31" s="4"/>
      <c r="S31" s="4"/>
      <c r="T31" s="4"/>
      <c r="U31" s="4"/>
      <c r="V31" s="4"/>
    </row>
    <row r="32">
      <c r="A32" s="69" t="s">
        <v>50</v>
      </c>
      <c r="B32" s="30" t="s">
        <v>23</v>
      </c>
      <c r="C32" s="32">
        <v>46181.99930555555</v>
      </c>
      <c r="D32" s="33" t="s">
        <v>21</v>
      </c>
      <c r="E32" s="32">
        <f t="shared" si="5"/>
        <v>46181.19551</v>
      </c>
      <c r="F32" s="37">
        <f t="shared" si="6"/>
        <v>0.5</v>
      </c>
      <c r="G32" s="4"/>
      <c r="H32" s="38">
        <f t="shared" si="7"/>
        <v>0.8037954051</v>
      </c>
      <c r="K32" s="4"/>
      <c r="L32" s="53"/>
      <c r="P32" s="4"/>
      <c r="Q32" s="4"/>
      <c r="R32" s="4"/>
      <c r="S32" s="4"/>
      <c r="T32" s="4"/>
      <c r="U32" s="4"/>
      <c r="V32" s="4"/>
    </row>
    <row r="33">
      <c r="A33" s="69" t="s">
        <v>51</v>
      </c>
      <c r="B33" s="30" t="s">
        <v>20</v>
      </c>
      <c r="C33" s="32">
        <v>46185.99930555555</v>
      </c>
      <c r="D33" s="33" t="s">
        <v>21</v>
      </c>
      <c r="E33" s="32">
        <f t="shared" si="5"/>
        <v>46184.0933</v>
      </c>
      <c r="F33" s="37">
        <f t="shared" si="6"/>
        <v>0.5</v>
      </c>
      <c r="G33" s="4"/>
      <c r="H33" s="38">
        <f t="shared" si="7"/>
        <v>1.906010035</v>
      </c>
      <c r="K33" s="4"/>
      <c r="L33" s="53"/>
      <c r="P33" s="4"/>
      <c r="Q33" s="4"/>
      <c r="R33" s="4"/>
      <c r="S33" s="4"/>
      <c r="T33" s="4"/>
      <c r="U33" s="4"/>
      <c r="V33" s="4"/>
    </row>
    <row r="34">
      <c r="A34" s="69" t="s">
        <v>52</v>
      </c>
      <c r="B34" s="30" t="s">
        <v>14</v>
      </c>
      <c r="C34" s="32">
        <v>46188.99930555555</v>
      </c>
      <c r="D34" s="33" t="s">
        <v>15</v>
      </c>
      <c r="E34" s="32">
        <f t="shared" si="5"/>
        <v>46188.1929</v>
      </c>
      <c r="F34" s="37">
        <f t="shared" si="6"/>
        <v>0.5</v>
      </c>
      <c r="G34" s="4"/>
      <c r="H34" s="38">
        <f t="shared" si="7"/>
        <v>0.8064079745</v>
      </c>
      <c r="I34" s="4"/>
      <c r="J34" s="4"/>
      <c r="K34" s="4"/>
      <c r="L34" s="53"/>
      <c r="P34" s="4"/>
      <c r="Q34" s="4"/>
      <c r="R34" s="4"/>
      <c r="S34" s="4"/>
      <c r="T34" s="4"/>
      <c r="U34" s="4"/>
      <c r="V34" s="4"/>
    </row>
    <row r="35">
      <c r="A35" s="69" t="s">
        <v>53</v>
      </c>
      <c r="B35" s="30" t="s">
        <v>20</v>
      </c>
      <c r="C35" s="32">
        <v>46191.99930555555</v>
      </c>
      <c r="D35" s="33" t="s">
        <v>21</v>
      </c>
      <c r="E35" s="32">
        <f t="shared" si="5"/>
        <v>46192.09509</v>
      </c>
      <c r="F35" s="37">
        <f t="shared" si="6"/>
        <v>0</v>
      </c>
      <c r="G35" s="4"/>
      <c r="H35" s="38">
        <f t="shared" si="7"/>
        <v>0.09578068287</v>
      </c>
      <c r="I35" s="70"/>
      <c r="J35" s="70"/>
      <c r="K35" s="4"/>
      <c r="L35" s="71"/>
      <c r="P35" s="4"/>
      <c r="Q35" s="4"/>
      <c r="R35" s="4"/>
      <c r="S35" s="4"/>
      <c r="T35" s="4"/>
      <c r="U35" s="4"/>
      <c r="V35" s="4"/>
    </row>
    <row r="36">
      <c r="A36" s="69" t="s">
        <v>54</v>
      </c>
      <c r="B36" s="30" t="s">
        <v>55</v>
      </c>
      <c r="C36" s="32">
        <v>46192.99930555555</v>
      </c>
      <c r="D36" s="33" t="s">
        <v>21</v>
      </c>
      <c r="E36" s="32">
        <f t="shared" si="5"/>
        <v>46195.31118</v>
      </c>
      <c r="F36" s="37">
        <f t="shared" si="6"/>
        <v>0</v>
      </c>
      <c r="G36" s="4"/>
      <c r="H36" s="38">
        <f t="shared" si="7"/>
        <v>2.311875845</v>
      </c>
      <c r="J36" s="70"/>
      <c r="K36" s="70"/>
      <c r="L36" s="72"/>
      <c r="P36" s="4"/>
      <c r="Q36" s="4"/>
      <c r="R36" s="4"/>
      <c r="S36" s="4"/>
      <c r="T36" s="4"/>
      <c r="U36" s="4"/>
      <c r="V36" s="4"/>
    </row>
    <row r="37">
      <c r="A37" s="69" t="s">
        <v>56</v>
      </c>
      <c r="B37" s="30" t="s">
        <v>55</v>
      </c>
      <c r="C37" s="32">
        <v>46196.99930555555</v>
      </c>
      <c r="D37" s="33" t="s">
        <v>21</v>
      </c>
      <c r="E37" s="32">
        <f t="shared" si="5"/>
        <v>46196.16408</v>
      </c>
      <c r="F37" s="37">
        <f t="shared" si="6"/>
        <v>0.5</v>
      </c>
      <c r="G37" s="4"/>
      <c r="H37" s="38">
        <f t="shared" si="7"/>
        <v>0.8352296065</v>
      </c>
      <c r="J37" s="70"/>
      <c r="K37" s="70"/>
      <c r="L37" s="72"/>
      <c r="P37" s="4"/>
      <c r="Q37" s="4"/>
      <c r="R37" s="4"/>
      <c r="S37" s="4"/>
      <c r="T37" s="4"/>
      <c r="U37" s="4"/>
      <c r="V37" s="4"/>
    </row>
    <row r="38">
      <c r="A38" s="69" t="s">
        <v>57</v>
      </c>
      <c r="B38" s="30" t="s">
        <v>55</v>
      </c>
      <c r="C38" s="32">
        <v>46199.99930555555</v>
      </c>
      <c r="D38" s="33" t="s">
        <v>21</v>
      </c>
      <c r="E38" s="32">
        <f t="shared" si="5"/>
        <v>46199.20772</v>
      </c>
      <c r="F38" s="37">
        <f t="shared" si="6"/>
        <v>0.5</v>
      </c>
      <c r="G38" s="4"/>
      <c r="H38" s="38">
        <f t="shared" si="7"/>
        <v>0.791588287</v>
      </c>
      <c r="J38" s="70"/>
      <c r="K38" s="70"/>
      <c r="L38" s="72"/>
      <c r="P38" s="4"/>
      <c r="Q38" s="4"/>
      <c r="R38" s="4"/>
      <c r="S38" s="4"/>
      <c r="T38" s="4"/>
      <c r="U38" s="4"/>
      <c r="V38" s="4"/>
    </row>
    <row r="39">
      <c r="A39" s="69" t="s">
        <v>58</v>
      </c>
      <c r="B39" s="30" t="s">
        <v>37</v>
      </c>
      <c r="C39" s="32">
        <v>46199.99930555555</v>
      </c>
      <c r="D39" s="33"/>
      <c r="E39" s="32" t="str">
        <f t="shared" si="5"/>
        <v/>
      </c>
      <c r="F39" s="37">
        <f t="shared" si="6"/>
        <v>0</v>
      </c>
      <c r="G39" s="4"/>
      <c r="H39" s="38" t="str">
        <f t="shared" si="7"/>
        <v>0</v>
      </c>
      <c r="J39" s="70"/>
      <c r="K39" s="70"/>
      <c r="L39" s="72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76"/>
      <c r="F40" s="53"/>
      <c r="G40" s="4"/>
      <c r="H40" s="4"/>
      <c r="J40" s="70"/>
      <c r="K40" s="70"/>
      <c r="L40" s="72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76"/>
      <c r="F41" s="53"/>
      <c r="G41" s="4"/>
      <c r="H41" s="4"/>
      <c r="J41" s="70"/>
      <c r="K41" s="70"/>
      <c r="L41" s="72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76"/>
      <c r="F42" s="53"/>
      <c r="G42" s="4"/>
      <c r="H42" s="4"/>
      <c r="I42" s="4"/>
      <c r="J42" s="4"/>
      <c r="K42" s="4"/>
      <c r="L42" s="53"/>
      <c r="P42" s="4"/>
      <c r="Q42" s="4"/>
      <c r="R42" s="4"/>
      <c r="S42" s="4"/>
      <c r="T42" s="4"/>
      <c r="U42" s="4"/>
      <c r="V42" s="4"/>
    </row>
    <row r="43">
      <c r="C43" s="4"/>
      <c r="D43" s="4"/>
      <c r="E43" s="76"/>
      <c r="F43" s="53"/>
      <c r="G43" s="4"/>
      <c r="H43" s="4"/>
      <c r="I43" s="4"/>
      <c r="J43" s="4"/>
      <c r="K43" s="4"/>
      <c r="L43" s="53"/>
      <c r="P43" s="4"/>
      <c r="Q43" s="4"/>
      <c r="R43" s="4"/>
      <c r="S43" s="4"/>
      <c r="T43" s="4"/>
      <c r="U43" s="4"/>
      <c r="V43" s="4"/>
    </row>
    <row r="44">
      <c r="C44" s="4"/>
      <c r="D44" s="4"/>
      <c r="E44" s="76"/>
      <c r="F44" s="53"/>
      <c r="G44" s="4"/>
      <c r="H44" s="4"/>
      <c r="I44" s="4"/>
      <c r="J44" s="4"/>
      <c r="K44" s="4"/>
      <c r="L44" s="53"/>
      <c r="P44" s="4"/>
      <c r="Q44" s="4"/>
      <c r="R44" s="4"/>
      <c r="S44" s="4"/>
      <c r="T44" s="4"/>
      <c r="U44" s="4"/>
      <c r="V44" s="4"/>
    </row>
    <row r="45">
      <c r="C45" s="4"/>
      <c r="D45" s="4"/>
      <c r="E45" s="76"/>
      <c r="F45" s="53"/>
      <c r="G45" s="4"/>
      <c r="H45" s="4"/>
      <c r="I45" s="4"/>
      <c r="J45" s="4"/>
      <c r="K45" s="4"/>
      <c r="L45" s="53"/>
      <c r="P45" s="4"/>
      <c r="Q45" s="4"/>
      <c r="R45" s="4"/>
      <c r="S45" s="4"/>
      <c r="T45" s="4"/>
      <c r="U45" s="4"/>
      <c r="V45" s="4"/>
    </row>
    <row r="46">
      <c r="C46" s="4"/>
      <c r="D46" s="4"/>
      <c r="E46" s="76"/>
      <c r="F46" s="53"/>
      <c r="G46" s="4"/>
      <c r="H46" s="4"/>
      <c r="I46" s="4"/>
      <c r="J46" s="4"/>
      <c r="K46" s="4"/>
      <c r="L46" s="53"/>
      <c r="P46" s="4"/>
      <c r="Q46" s="4"/>
      <c r="R46" s="4"/>
      <c r="S46" s="4"/>
      <c r="T46" s="4"/>
      <c r="U46" s="4"/>
      <c r="V46" s="4"/>
    </row>
    <row r="47">
      <c r="C47" s="4"/>
      <c r="D47" s="4"/>
      <c r="E47" s="76"/>
      <c r="F47" s="53"/>
      <c r="G47" s="4"/>
      <c r="H47" s="4"/>
      <c r="I47" s="4"/>
      <c r="J47" s="4"/>
      <c r="K47" s="4"/>
      <c r="L47" s="53"/>
      <c r="P47" s="4"/>
      <c r="Q47" s="4"/>
      <c r="R47" s="4"/>
      <c r="S47" s="4"/>
      <c r="T47" s="4"/>
      <c r="U47" s="4"/>
      <c r="V47" s="4"/>
    </row>
    <row r="48">
      <c r="C48" s="4"/>
      <c r="D48" s="4"/>
      <c r="E48" s="76"/>
      <c r="F48" s="53"/>
      <c r="G48" s="4"/>
      <c r="H48" s="4"/>
      <c r="I48" s="4"/>
      <c r="J48" s="4"/>
      <c r="K48" s="4"/>
      <c r="L48" s="53"/>
      <c r="P48" s="4"/>
      <c r="Q48" s="4"/>
      <c r="R48" s="4"/>
      <c r="S48" s="4"/>
      <c r="T48" s="4"/>
      <c r="U48" s="4"/>
      <c r="V48" s="4"/>
    </row>
    <row r="49">
      <c r="C49" s="4"/>
      <c r="D49" s="4"/>
      <c r="E49" s="76"/>
      <c r="F49" s="53"/>
      <c r="G49" s="4"/>
      <c r="H49" s="4"/>
      <c r="I49" s="4"/>
      <c r="J49" s="4"/>
      <c r="K49" s="4"/>
      <c r="L49" s="53"/>
      <c r="P49" s="4"/>
      <c r="Q49" s="4"/>
      <c r="R49" s="4"/>
      <c r="S49" s="4"/>
      <c r="T49" s="4"/>
      <c r="U49" s="4"/>
      <c r="V49" s="4"/>
    </row>
    <row r="50">
      <c r="C50" s="4"/>
      <c r="D50" s="4"/>
      <c r="E50" s="76"/>
      <c r="F50" s="53"/>
      <c r="G50" s="4"/>
      <c r="H50" s="4"/>
      <c r="I50" s="4"/>
      <c r="J50" s="4"/>
      <c r="K50" s="4"/>
      <c r="L50" s="53"/>
      <c r="P50" s="4"/>
      <c r="Q50" s="4"/>
      <c r="R50" s="4"/>
      <c r="S50" s="4"/>
      <c r="T50" s="4"/>
      <c r="U50" s="4"/>
      <c r="V50" s="4"/>
    </row>
    <row r="51">
      <c r="C51" s="4"/>
      <c r="D51" s="4"/>
      <c r="E51" s="76"/>
      <c r="F51" s="53"/>
      <c r="G51" s="4"/>
      <c r="H51" s="4"/>
      <c r="I51" s="4"/>
      <c r="J51" s="4"/>
      <c r="K51" s="4"/>
      <c r="L51" s="53"/>
      <c r="P51" s="4"/>
      <c r="Q51" s="4"/>
      <c r="R51" s="4"/>
      <c r="S51" s="4"/>
      <c r="T51" s="4"/>
      <c r="U51" s="4"/>
      <c r="V51" s="4"/>
    </row>
    <row r="52">
      <c r="C52" s="4"/>
      <c r="D52" s="4"/>
      <c r="E52" s="76"/>
      <c r="F52" s="53"/>
      <c r="G52" s="4"/>
      <c r="H52" s="4"/>
      <c r="I52" s="4"/>
      <c r="J52" s="4"/>
      <c r="K52" s="4"/>
      <c r="L52" s="53"/>
      <c r="P52" s="4"/>
      <c r="Q52" s="4"/>
      <c r="R52" s="4"/>
      <c r="S52" s="4"/>
      <c r="T52" s="4"/>
      <c r="U52" s="4"/>
      <c r="V52" s="4"/>
    </row>
    <row r="53">
      <c r="C53" s="4"/>
      <c r="D53" s="4"/>
      <c r="E53" s="76"/>
      <c r="F53" s="53"/>
      <c r="G53" s="4"/>
      <c r="H53" s="4"/>
      <c r="I53" s="4"/>
      <c r="J53" s="4"/>
      <c r="K53" s="4"/>
      <c r="L53" s="53"/>
      <c r="P53" s="4"/>
      <c r="Q53" s="4"/>
      <c r="R53" s="4"/>
      <c r="S53" s="4"/>
      <c r="T53" s="4"/>
      <c r="U53" s="4"/>
      <c r="V53" s="4"/>
    </row>
    <row r="54">
      <c r="C54" s="4"/>
      <c r="D54" s="4"/>
      <c r="E54" s="76"/>
      <c r="F54" s="53"/>
      <c r="G54" s="4"/>
      <c r="H54" s="4"/>
      <c r="I54" s="4"/>
      <c r="J54" s="4"/>
      <c r="K54" s="4"/>
      <c r="L54" s="53"/>
      <c r="P54" s="4"/>
      <c r="Q54" s="4"/>
      <c r="R54" s="4"/>
      <c r="S54" s="4"/>
      <c r="T54" s="4"/>
      <c r="U54" s="4"/>
      <c r="V54" s="4"/>
    </row>
    <row r="55">
      <c r="C55" s="4"/>
      <c r="D55" s="4"/>
      <c r="E55" s="76"/>
      <c r="F55" s="53"/>
      <c r="G55" s="4"/>
      <c r="H55" s="4"/>
      <c r="I55" s="4"/>
      <c r="J55" s="4"/>
      <c r="K55" s="4"/>
      <c r="L55" s="53"/>
      <c r="P55" s="4"/>
      <c r="Q55" s="4"/>
      <c r="R55" s="4"/>
      <c r="S55" s="4"/>
      <c r="T55" s="4"/>
      <c r="U55" s="4"/>
      <c r="V55" s="4"/>
    </row>
    <row r="56">
      <c r="C56" s="4"/>
      <c r="D56" s="4"/>
      <c r="E56" s="76"/>
      <c r="F56" s="53"/>
      <c r="G56" s="4"/>
      <c r="H56" s="4"/>
      <c r="I56" s="4"/>
      <c r="J56" s="4"/>
      <c r="K56" s="4"/>
      <c r="L56" s="53"/>
      <c r="P56" s="4"/>
      <c r="Q56" s="4"/>
      <c r="R56" s="4"/>
      <c r="S56" s="4"/>
      <c r="T56" s="4"/>
      <c r="U56" s="4"/>
      <c r="V56" s="4"/>
    </row>
    <row r="57">
      <c r="C57" s="4"/>
      <c r="D57" s="4"/>
      <c r="E57" s="76"/>
      <c r="F57" s="53"/>
      <c r="G57" s="4"/>
      <c r="H57" s="4"/>
      <c r="I57" s="4"/>
      <c r="J57" s="4"/>
      <c r="K57" s="4"/>
      <c r="L57" s="53"/>
      <c r="P57" s="4"/>
      <c r="Q57" s="4"/>
      <c r="R57" s="4"/>
      <c r="S57" s="4"/>
      <c r="T57" s="4"/>
      <c r="U57" s="4"/>
      <c r="V57" s="4"/>
    </row>
    <row r="58">
      <c r="C58" s="4"/>
      <c r="D58" s="4"/>
      <c r="E58" s="76"/>
      <c r="F58" s="53"/>
      <c r="G58" s="4"/>
      <c r="H58" s="4"/>
      <c r="I58" s="4"/>
      <c r="J58" s="4"/>
      <c r="K58" s="4"/>
      <c r="L58" s="53"/>
      <c r="P58" s="4"/>
      <c r="Q58" s="4"/>
      <c r="R58" s="4"/>
      <c r="S58" s="4"/>
      <c r="T58" s="4"/>
      <c r="U58" s="4"/>
      <c r="V58" s="4"/>
    </row>
    <row r="59">
      <c r="C59" s="4"/>
      <c r="D59" s="4"/>
      <c r="E59" s="76"/>
      <c r="F59" s="53"/>
      <c r="G59" s="4"/>
      <c r="H59" s="4"/>
      <c r="I59" s="4"/>
      <c r="J59" s="4"/>
      <c r="K59" s="4"/>
      <c r="L59" s="53"/>
      <c r="P59" s="4"/>
      <c r="Q59" s="4"/>
      <c r="R59" s="4"/>
      <c r="S59" s="4"/>
      <c r="T59" s="4"/>
      <c r="U59" s="4"/>
      <c r="V59" s="4"/>
    </row>
    <row r="60">
      <c r="C60" s="4"/>
      <c r="D60" s="4"/>
      <c r="E60" s="76"/>
      <c r="F60" s="53"/>
      <c r="G60" s="4"/>
      <c r="H60" s="4"/>
      <c r="I60" s="4"/>
      <c r="J60" s="4"/>
      <c r="K60" s="4"/>
      <c r="L60" s="53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76"/>
      <c r="F61" s="53"/>
      <c r="G61" s="4"/>
      <c r="H61" s="4"/>
      <c r="I61" s="4"/>
      <c r="J61" s="4"/>
      <c r="K61" s="4"/>
      <c r="L61" s="53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76"/>
      <c r="F62" s="53"/>
      <c r="G62" s="4"/>
      <c r="H62" s="4"/>
      <c r="I62" s="4"/>
      <c r="J62" s="4"/>
      <c r="K62" s="4"/>
      <c r="L62" s="53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76"/>
      <c r="F63" s="53"/>
      <c r="G63" s="4"/>
      <c r="H63" s="4"/>
      <c r="I63" s="4"/>
      <c r="J63" s="4"/>
      <c r="K63" s="4"/>
      <c r="L63" s="53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76"/>
      <c r="F64" s="53"/>
      <c r="G64" s="4"/>
      <c r="H64" s="4"/>
      <c r="I64" s="4"/>
      <c r="J64" s="4"/>
      <c r="K64" s="4"/>
      <c r="L64" s="53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76"/>
      <c r="F65" s="53"/>
      <c r="G65" s="4"/>
      <c r="H65" s="4"/>
      <c r="I65" s="4"/>
      <c r="J65" s="4"/>
      <c r="K65" s="4"/>
      <c r="L65" s="53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76"/>
      <c r="F66" s="53"/>
      <c r="G66" s="4"/>
      <c r="H66" s="4"/>
      <c r="I66" s="4"/>
      <c r="J66" s="4"/>
      <c r="K66" s="4"/>
      <c r="L66" s="53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76"/>
      <c r="F67" s="53"/>
      <c r="G67" s="4"/>
      <c r="H67" s="4"/>
      <c r="I67" s="4"/>
      <c r="J67" s="4"/>
      <c r="K67" s="4"/>
      <c r="L67" s="53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76"/>
      <c r="F68" s="53"/>
      <c r="G68" s="4"/>
      <c r="H68" s="4"/>
      <c r="I68" s="4"/>
      <c r="J68" s="4"/>
      <c r="K68" s="4"/>
      <c r="L68" s="53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76"/>
      <c r="F69" s="53"/>
      <c r="G69" s="4"/>
      <c r="H69" s="4"/>
      <c r="I69" s="4"/>
      <c r="J69" s="4"/>
      <c r="K69" s="4"/>
      <c r="L69" s="53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76"/>
      <c r="F70" s="53"/>
      <c r="G70" s="4"/>
      <c r="H70" s="4"/>
      <c r="I70" s="4"/>
      <c r="J70" s="4"/>
      <c r="K70" s="4"/>
      <c r="L70" s="53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76"/>
      <c r="F71" s="53"/>
      <c r="G71" s="4"/>
      <c r="H71" s="4"/>
      <c r="I71" s="4"/>
      <c r="J71" s="4"/>
      <c r="K71" s="4"/>
      <c r="L71" s="53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76"/>
      <c r="F72" s="53"/>
      <c r="G72" s="4"/>
      <c r="H72" s="4"/>
      <c r="I72" s="4"/>
      <c r="J72" s="4"/>
      <c r="K72" s="4"/>
      <c r="L72" s="53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76"/>
      <c r="F73" s="53"/>
      <c r="G73" s="4"/>
      <c r="H73" s="4"/>
      <c r="I73" s="4"/>
      <c r="J73" s="4"/>
      <c r="K73" s="4"/>
      <c r="L73" s="53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76"/>
      <c r="F74" s="53"/>
      <c r="G74" s="4"/>
      <c r="H74" s="4"/>
      <c r="I74" s="4"/>
      <c r="J74" s="4"/>
      <c r="K74" s="4"/>
      <c r="L74" s="53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76"/>
      <c r="F75" s="53"/>
      <c r="G75" s="4"/>
      <c r="H75" s="4"/>
      <c r="I75" s="4"/>
      <c r="J75" s="4"/>
      <c r="K75" s="4"/>
      <c r="L75" s="53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76"/>
      <c r="F76" s="53"/>
      <c r="G76" s="4"/>
      <c r="H76" s="4"/>
      <c r="I76" s="4"/>
      <c r="J76" s="4"/>
      <c r="K76" s="4"/>
      <c r="L76" s="53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76"/>
      <c r="F77" s="53"/>
      <c r="G77" s="4"/>
      <c r="H77" s="4"/>
      <c r="I77" s="4"/>
      <c r="J77" s="4"/>
      <c r="K77" s="4"/>
      <c r="L77" s="53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76"/>
      <c r="F78" s="53"/>
      <c r="G78" s="4"/>
      <c r="H78" s="4"/>
      <c r="I78" s="4"/>
      <c r="J78" s="4"/>
      <c r="K78" s="4"/>
      <c r="L78" s="53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76"/>
      <c r="F79" s="53"/>
      <c r="G79" s="4"/>
      <c r="H79" s="4"/>
      <c r="I79" s="4"/>
      <c r="J79" s="4"/>
      <c r="K79" s="4"/>
      <c r="L79" s="53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76"/>
      <c r="F80" s="53"/>
      <c r="G80" s="4"/>
      <c r="H80" s="4"/>
      <c r="I80" s="4"/>
      <c r="J80" s="4"/>
      <c r="K80" s="4"/>
      <c r="L80" s="53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76"/>
      <c r="F81" s="53"/>
      <c r="G81" s="4"/>
      <c r="H81" s="4"/>
      <c r="I81" s="4"/>
      <c r="J81" s="4"/>
      <c r="K81" s="4"/>
      <c r="L81" s="53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76"/>
      <c r="F82" s="53"/>
      <c r="G82" s="4"/>
      <c r="H82" s="4"/>
      <c r="I82" s="4"/>
      <c r="J82" s="4"/>
      <c r="K82" s="4"/>
      <c r="L82" s="53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76"/>
      <c r="F83" s="53"/>
      <c r="G83" s="4"/>
      <c r="H83" s="4"/>
      <c r="I83" s="4"/>
      <c r="J83" s="4"/>
      <c r="K83" s="4"/>
      <c r="L83" s="53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76"/>
      <c r="F84" s="53"/>
      <c r="G84" s="4"/>
      <c r="H84" s="4"/>
      <c r="I84" s="4"/>
      <c r="J84" s="4"/>
      <c r="K84" s="4"/>
      <c r="L84" s="53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76"/>
      <c r="F85" s="53"/>
      <c r="G85" s="4"/>
      <c r="H85" s="4"/>
      <c r="I85" s="4"/>
      <c r="J85" s="4"/>
      <c r="K85" s="4"/>
      <c r="L85" s="53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76"/>
      <c r="F86" s="53"/>
      <c r="G86" s="4"/>
      <c r="H86" s="4"/>
      <c r="I86" s="4"/>
      <c r="J86" s="4"/>
      <c r="K86" s="4"/>
      <c r="L86" s="53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76"/>
      <c r="F87" s="53"/>
      <c r="G87" s="4"/>
      <c r="H87" s="4"/>
      <c r="I87" s="4"/>
      <c r="J87" s="4"/>
      <c r="K87" s="4"/>
      <c r="L87" s="53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76"/>
      <c r="F88" s="53"/>
      <c r="G88" s="4"/>
      <c r="H88" s="4"/>
      <c r="I88" s="4"/>
      <c r="J88" s="4"/>
      <c r="K88" s="4"/>
      <c r="L88" s="53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76"/>
      <c r="F89" s="53"/>
      <c r="G89" s="4"/>
      <c r="H89" s="4"/>
      <c r="I89" s="4"/>
      <c r="J89" s="4"/>
      <c r="K89" s="4"/>
      <c r="L89" s="53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76"/>
      <c r="F90" s="53"/>
      <c r="G90" s="4"/>
      <c r="H90" s="4"/>
      <c r="I90" s="4"/>
      <c r="J90" s="4"/>
      <c r="K90" s="4"/>
      <c r="L90" s="53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76"/>
      <c r="F91" s="53"/>
      <c r="G91" s="4"/>
      <c r="H91" s="4"/>
      <c r="I91" s="4"/>
      <c r="J91" s="4"/>
      <c r="K91" s="4"/>
      <c r="L91" s="53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76"/>
      <c r="F92" s="53"/>
      <c r="G92" s="4"/>
      <c r="H92" s="4"/>
      <c r="I92" s="4"/>
      <c r="J92" s="4"/>
      <c r="K92" s="4"/>
      <c r="L92" s="53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76"/>
      <c r="F93" s="53"/>
      <c r="G93" s="4"/>
      <c r="H93" s="4"/>
      <c r="I93" s="4"/>
      <c r="J93" s="4"/>
      <c r="K93" s="4"/>
      <c r="L93" s="53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76"/>
      <c r="F94" s="53"/>
      <c r="G94" s="4"/>
      <c r="H94" s="4"/>
      <c r="I94" s="4"/>
      <c r="J94" s="4"/>
      <c r="K94" s="4"/>
      <c r="L94" s="53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76"/>
      <c r="F95" s="53"/>
      <c r="G95" s="4"/>
      <c r="H95" s="4"/>
      <c r="I95" s="4"/>
      <c r="J95" s="4"/>
      <c r="K95" s="4"/>
      <c r="L95" s="53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76"/>
      <c r="F96" s="53"/>
      <c r="G96" s="4"/>
      <c r="H96" s="4"/>
      <c r="I96" s="4"/>
      <c r="J96" s="4"/>
      <c r="K96" s="4"/>
      <c r="L96" s="53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76"/>
      <c r="F97" s="53"/>
      <c r="G97" s="4"/>
      <c r="H97" s="4"/>
      <c r="I97" s="4"/>
      <c r="J97" s="4"/>
      <c r="K97" s="4"/>
      <c r="L97" s="53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76"/>
      <c r="F98" s="53"/>
      <c r="G98" s="4"/>
      <c r="H98" s="4"/>
      <c r="I98" s="4"/>
      <c r="J98" s="4"/>
      <c r="K98" s="4"/>
      <c r="L98" s="53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76"/>
      <c r="F99" s="53"/>
      <c r="G99" s="4"/>
      <c r="H99" s="4"/>
      <c r="I99" s="4"/>
      <c r="J99" s="4"/>
      <c r="K99" s="4"/>
      <c r="L99" s="53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76"/>
      <c r="F100" s="53"/>
      <c r="G100" s="4"/>
      <c r="H100" s="4"/>
      <c r="I100" s="4"/>
      <c r="J100" s="4"/>
      <c r="K100" s="4"/>
      <c r="L100" s="53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76"/>
      <c r="F101" s="53"/>
      <c r="G101" s="4"/>
      <c r="H101" s="4"/>
      <c r="I101" s="4"/>
      <c r="J101" s="4"/>
      <c r="K101" s="4"/>
      <c r="L101" s="53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76"/>
      <c r="F102" s="53"/>
      <c r="G102" s="4"/>
      <c r="H102" s="4"/>
      <c r="I102" s="4"/>
      <c r="J102" s="4"/>
      <c r="K102" s="4"/>
      <c r="L102" s="53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76"/>
      <c r="F103" s="53"/>
      <c r="G103" s="4"/>
      <c r="H103" s="4"/>
      <c r="I103" s="4"/>
      <c r="J103" s="4"/>
      <c r="K103" s="4"/>
      <c r="L103" s="53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76"/>
      <c r="F104" s="53"/>
      <c r="G104" s="4"/>
      <c r="H104" s="4"/>
      <c r="I104" s="4"/>
      <c r="J104" s="4"/>
      <c r="K104" s="4"/>
      <c r="L104" s="53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76"/>
      <c r="F105" s="53"/>
      <c r="G105" s="4"/>
      <c r="H105" s="4"/>
      <c r="I105" s="4"/>
      <c r="J105" s="4"/>
      <c r="K105" s="4"/>
      <c r="L105" s="53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76"/>
      <c r="F106" s="53"/>
      <c r="G106" s="4"/>
      <c r="H106" s="4"/>
      <c r="I106" s="4"/>
      <c r="J106" s="4"/>
      <c r="K106" s="4"/>
      <c r="L106" s="53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76"/>
      <c r="F107" s="53"/>
      <c r="G107" s="4"/>
      <c r="H107" s="4"/>
      <c r="I107" s="4"/>
      <c r="J107" s="4"/>
      <c r="K107" s="4"/>
      <c r="L107" s="53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76"/>
      <c r="F108" s="53"/>
      <c r="G108" s="4"/>
      <c r="H108" s="4"/>
      <c r="I108" s="4"/>
      <c r="J108" s="4"/>
      <c r="K108" s="4"/>
      <c r="L108" s="53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76"/>
      <c r="F109" s="53"/>
      <c r="G109" s="4"/>
      <c r="H109" s="4"/>
      <c r="I109" s="4"/>
      <c r="J109" s="4"/>
      <c r="K109" s="4"/>
      <c r="L109" s="53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76"/>
      <c r="F110" s="53"/>
      <c r="G110" s="4"/>
      <c r="H110" s="4"/>
      <c r="I110" s="4"/>
      <c r="J110" s="4"/>
      <c r="K110" s="4"/>
      <c r="L110" s="53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76"/>
      <c r="F111" s="53"/>
      <c r="G111" s="4"/>
      <c r="H111" s="4"/>
      <c r="I111" s="4"/>
      <c r="J111" s="4"/>
      <c r="K111" s="4"/>
      <c r="L111" s="53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76"/>
      <c r="F112" s="53"/>
      <c r="G112" s="4"/>
      <c r="H112" s="4"/>
      <c r="I112" s="4"/>
      <c r="J112" s="4"/>
      <c r="K112" s="4"/>
      <c r="L112" s="53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76"/>
      <c r="F113" s="53"/>
      <c r="G113" s="4"/>
      <c r="H113" s="4"/>
      <c r="I113" s="4"/>
      <c r="J113" s="4"/>
      <c r="K113" s="4"/>
      <c r="L113" s="53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76"/>
      <c r="F114" s="53"/>
      <c r="G114" s="4"/>
      <c r="H114" s="4"/>
      <c r="I114" s="4"/>
      <c r="J114" s="4"/>
      <c r="K114" s="4"/>
      <c r="L114" s="53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76"/>
      <c r="F115" s="53"/>
      <c r="G115" s="4"/>
      <c r="H115" s="4"/>
      <c r="I115" s="4"/>
      <c r="J115" s="4"/>
      <c r="K115" s="4"/>
      <c r="L115" s="53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76"/>
      <c r="F116" s="53"/>
      <c r="G116" s="4"/>
      <c r="H116" s="4"/>
      <c r="I116" s="4"/>
      <c r="J116" s="4"/>
      <c r="K116" s="4"/>
      <c r="L116" s="53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76"/>
      <c r="F117" s="53"/>
      <c r="G117" s="4"/>
      <c r="H117" s="4"/>
      <c r="I117" s="4"/>
      <c r="J117" s="4"/>
      <c r="K117" s="4"/>
      <c r="L117" s="53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76"/>
      <c r="F118" s="53"/>
      <c r="G118" s="4"/>
      <c r="H118" s="4"/>
      <c r="I118" s="4"/>
      <c r="J118" s="4"/>
      <c r="K118" s="4"/>
      <c r="L118" s="53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76"/>
      <c r="F119" s="53"/>
      <c r="G119" s="4"/>
      <c r="H119" s="4"/>
      <c r="I119" s="4"/>
      <c r="J119" s="4"/>
      <c r="K119" s="4"/>
      <c r="L119" s="53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76"/>
      <c r="F120" s="53"/>
      <c r="G120" s="4"/>
      <c r="H120" s="4"/>
      <c r="I120" s="4"/>
      <c r="J120" s="4"/>
      <c r="K120" s="4"/>
      <c r="L120" s="53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76"/>
      <c r="F121" s="53"/>
      <c r="G121" s="4"/>
      <c r="H121" s="4"/>
      <c r="I121" s="4"/>
      <c r="J121" s="4"/>
      <c r="K121" s="4"/>
      <c r="L121" s="53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76"/>
      <c r="F122" s="53"/>
      <c r="G122" s="4"/>
      <c r="H122" s="4"/>
      <c r="I122" s="4"/>
      <c r="J122" s="4"/>
      <c r="K122" s="4"/>
      <c r="L122" s="53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76"/>
      <c r="F123" s="53"/>
      <c r="G123" s="4"/>
      <c r="H123" s="4"/>
      <c r="I123" s="4"/>
      <c r="J123" s="4"/>
      <c r="K123" s="4"/>
      <c r="L123" s="53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76"/>
      <c r="F124" s="53"/>
      <c r="G124" s="4"/>
      <c r="H124" s="4"/>
      <c r="I124" s="4"/>
      <c r="J124" s="4"/>
      <c r="K124" s="4"/>
      <c r="L124" s="53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76"/>
      <c r="F125" s="53"/>
      <c r="G125" s="4"/>
      <c r="H125" s="4"/>
      <c r="I125" s="4"/>
      <c r="J125" s="4"/>
      <c r="K125" s="4"/>
      <c r="L125" s="53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76"/>
      <c r="F126" s="53"/>
      <c r="G126" s="4"/>
      <c r="H126" s="4"/>
      <c r="I126" s="4"/>
      <c r="J126" s="4"/>
      <c r="K126" s="4"/>
      <c r="L126" s="53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76"/>
      <c r="F127" s="53"/>
      <c r="G127" s="4"/>
      <c r="H127" s="4"/>
      <c r="I127" s="4"/>
      <c r="J127" s="4"/>
      <c r="K127" s="4"/>
      <c r="L127" s="53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76"/>
      <c r="F128" s="53"/>
      <c r="G128" s="4"/>
      <c r="H128" s="4"/>
      <c r="I128" s="4"/>
      <c r="J128" s="4"/>
      <c r="K128" s="4"/>
      <c r="L128" s="53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76"/>
      <c r="F129" s="53"/>
      <c r="G129" s="4"/>
      <c r="H129" s="4"/>
      <c r="I129" s="4"/>
      <c r="J129" s="4"/>
      <c r="K129" s="4"/>
      <c r="L129" s="53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76"/>
      <c r="F130" s="53"/>
      <c r="G130" s="4"/>
      <c r="H130" s="4"/>
      <c r="I130" s="4"/>
      <c r="J130" s="4"/>
      <c r="K130" s="4"/>
      <c r="L130" s="53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76"/>
      <c r="F131" s="53"/>
      <c r="G131" s="4"/>
      <c r="H131" s="4"/>
      <c r="I131" s="4"/>
      <c r="J131" s="4"/>
      <c r="K131" s="4"/>
      <c r="L131" s="53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76"/>
      <c r="F132" s="53"/>
      <c r="G132" s="4"/>
      <c r="H132" s="4"/>
      <c r="I132" s="4"/>
      <c r="J132" s="4"/>
      <c r="K132" s="4"/>
      <c r="L132" s="53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76"/>
      <c r="F133" s="53"/>
      <c r="G133" s="4"/>
      <c r="H133" s="4"/>
      <c r="I133" s="4"/>
      <c r="J133" s="4"/>
      <c r="K133" s="4"/>
      <c r="L133" s="53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76"/>
      <c r="F134" s="53"/>
      <c r="G134" s="4"/>
      <c r="H134" s="4"/>
      <c r="I134" s="4"/>
      <c r="J134" s="4"/>
      <c r="K134" s="4"/>
      <c r="L134" s="53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76"/>
      <c r="F135" s="53"/>
      <c r="G135" s="4"/>
      <c r="H135" s="4"/>
      <c r="I135" s="4"/>
      <c r="J135" s="4"/>
      <c r="K135" s="4"/>
      <c r="L135" s="53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76"/>
      <c r="F136" s="53"/>
      <c r="G136" s="4"/>
      <c r="H136" s="4"/>
      <c r="I136" s="4"/>
      <c r="J136" s="4"/>
      <c r="K136" s="4"/>
      <c r="L136" s="53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76"/>
      <c r="F137" s="53"/>
      <c r="G137" s="4"/>
      <c r="H137" s="4"/>
      <c r="I137" s="4"/>
      <c r="J137" s="4"/>
      <c r="K137" s="4"/>
      <c r="L137" s="53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76"/>
      <c r="F138" s="53"/>
      <c r="G138" s="4"/>
      <c r="H138" s="4"/>
      <c r="I138" s="4"/>
      <c r="J138" s="4"/>
      <c r="K138" s="4"/>
      <c r="L138" s="53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76"/>
      <c r="F139" s="53"/>
      <c r="G139" s="4"/>
      <c r="H139" s="4"/>
      <c r="I139" s="4"/>
      <c r="J139" s="4"/>
      <c r="K139" s="4"/>
      <c r="L139" s="53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76"/>
      <c r="F140" s="53"/>
      <c r="G140" s="4"/>
      <c r="H140" s="4"/>
      <c r="I140" s="4"/>
      <c r="J140" s="4"/>
      <c r="K140" s="4"/>
      <c r="L140" s="53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76"/>
      <c r="F141" s="53"/>
      <c r="G141" s="4"/>
      <c r="H141" s="4"/>
      <c r="I141" s="4"/>
      <c r="J141" s="4"/>
      <c r="K141" s="4"/>
      <c r="L141" s="53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76"/>
      <c r="F142" s="53"/>
      <c r="G142" s="4"/>
      <c r="H142" s="4"/>
      <c r="I142" s="4"/>
      <c r="J142" s="4"/>
      <c r="K142" s="4"/>
      <c r="L142" s="53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76"/>
      <c r="F143" s="53"/>
      <c r="G143" s="4"/>
      <c r="H143" s="4"/>
      <c r="I143" s="4"/>
      <c r="J143" s="4"/>
      <c r="K143" s="4"/>
      <c r="L143" s="53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76"/>
      <c r="F144" s="53"/>
      <c r="G144" s="4"/>
      <c r="H144" s="4"/>
      <c r="I144" s="4"/>
      <c r="J144" s="4"/>
      <c r="K144" s="4"/>
      <c r="L144" s="53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76"/>
      <c r="F145" s="53"/>
      <c r="G145" s="4"/>
      <c r="H145" s="4"/>
      <c r="I145" s="4"/>
      <c r="J145" s="4"/>
      <c r="K145" s="4"/>
      <c r="L145" s="53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76"/>
      <c r="F146" s="53"/>
      <c r="G146" s="4"/>
      <c r="H146" s="4"/>
      <c r="I146" s="4"/>
      <c r="J146" s="4"/>
      <c r="K146" s="4"/>
      <c r="L146" s="53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76"/>
      <c r="F147" s="53"/>
      <c r="G147" s="4"/>
      <c r="H147" s="4"/>
      <c r="I147" s="4"/>
      <c r="J147" s="4"/>
      <c r="K147" s="4"/>
      <c r="L147" s="53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76"/>
      <c r="F148" s="53"/>
      <c r="G148" s="4"/>
      <c r="H148" s="4"/>
      <c r="I148" s="4"/>
      <c r="J148" s="4"/>
      <c r="K148" s="4"/>
      <c r="L148" s="53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76"/>
      <c r="F149" s="53"/>
      <c r="G149" s="4"/>
      <c r="H149" s="4"/>
      <c r="I149" s="4"/>
      <c r="J149" s="4"/>
      <c r="K149" s="4"/>
      <c r="L149" s="53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76"/>
      <c r="F150" s="53"/>
      <c r="G150" s="4"/>
      <c r="H150" s="4"/>
      <c r="I150" s="4"/>
      <c r="J150" s="4"/>
      <c r="K150" s="4"/>
      <c r="L150" s="53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76"/>
      <c r="F151" s="53"/>
      <c r="G151" s="4"/>
      <c r="H151" s="4"/>
      <c r="I151" s="4"/>
      <c r="J151" s="4"/>
      <c r="K151" s="4"/>
      <c r="L151" s="53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76"/>
      <c r="F152" s="53"/>
      <c r="G152" s="4"/>
      <c r="H152" s="4"/>
      <c r="I152" s="4"/>
      <c r="J152" s="4"/>
      <c r="K152" s="4"/>
      <c r="L152" s="53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76"/>
      <c r="F153" s="53"/>
      <c r="G153" s="4"/>
      <c r="H153" s="4"/>
      <c r="I153" s="4"/>
      <c r="J153" s="4"/>
      <c r="K153" s="4"/>
      <c r="L153" s="53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76"/>
      <c r="F154" s="53"/>
      <c r="G154" s="4"/>
      <c r="H154" s="4"/>
      <c r="I154" s="4"/>
      <c r="J154" s="4"/>
      <c r="K154" s="4"/>
      <c r="L154" s="53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76"/>
      <c r="F155" s="53"/>
      <c r="G155" s="4"/>
      <c r="H155" s="4"/>
      <c r="I155" s="4"/>
      <c r="J155" s="4"/>
      <c r="K155" s="4"/>
      <c r="L155" s="53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76"/>
      <c r="F156" s="53"/>
      <c r="G156" s="4"/>
      <c r="H156" s="4"/>
      <c r="I156" s="4"/>
      <c r="J156" s="4"/>
      <c r="K156" s="4"/>
      <c r="L156" s="53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76"/>
      <c r="F157" s="53"/>
      <c r="G157" s="4"/>
      <c r="H157" s="4"/>
      <c r="I157" s="4"/>
      <c r="J157" s="4"/>
      <c r="K157" s="4"/>
      <c r="L157" s="53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76"/>
      <c r="F158" s="53"/>
      <c r="G158" s="4"/>
      <c r="H158" s="4"/>
      <c r="I158" s="4"/>
      <c r="J158" s="4"/>
      <c r="K158" s="4"/>
      <c r="L158" s="53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76"/>
      <c r="F159" s="53"/>
      <c r="G159" s="4"/>
      <c r="H159" s="4"/>
      <c r="I159" s="4"/>
      <c r="J159" s="4"/>
      <c r="K159" s="4"/>
      <c r="L159" s="53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76"/>
      <c r="F160" s="53"/>
      <c r="G160" s="4"/>
      <c r="H160" s="4"/>
      <c r="I160" s="4"/>
      <c r="J160" s="4"/>
      <c r="K160" s="4"/>
      <c r="L160" s="53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76"/>
      <c r="F161" s="53"/>
      <c r="G161" s="4"/>
      <c r="H161" s="4"/>
      <c r="I161" s="4"/>
      <c r="J161" s="4"/>
      <c r="K161" s="4"/>
      <c r="L161" s="53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76"/>
      <c r="F162" s="53"/>
      <c r="G162" s="4"/>
      <c r="H162" s="4"/>
      <c r="I162" s="4"/>
      <c r="J162" s="4"/>
      <c r="K162" s="4"/>
      <c r="L162" s="53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76"/>
      <c r="F163" s="53"/>
      <c r="G163" s="4"/>
      <c r="H163" s="4"/>
      <c r="I163" s="4"/>
      <c r="J163" s="4"/>
      <c r="K163" s="4"/>
      <c r="L163" s="53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76"/>
      <c r="F164" s="53"/>
      <c r="G164" s="4"/>
      <c r="H164" s="4"/>
      <c r="I164" s="4"/>
      <c r="J164" s="4"/>
      <c r="K164" s="4"/>
      <c r="L164" s="53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76"/>
      <c r="F165" s="53"/>
      <c r="G165" s="4"/>
      <c r="H165" s="4"/>
      <c r="I165" s="4"/>
      <c r="J165" s="4"/>
      <c r="K165" s="4"/>
      <c r="L165" s="53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76"/>
      <c r="F166" s="53"/>
      <c r="G166" s="4"/>
      <c r="H166" s="4"/>
      <c r="I166" s="4"/>
      <c r="J166" s="4"/>
      <c r="K166" s="4"/>
      <c r="L166" s="53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76"/>
      <c r="F167" s="53"/>
      <c r="G167" s="4"/>
      <c r="H167" s="4"/>
      <c r="I167" s="4"/>
      <c r="J167" s="4"/>
      <c r="K167" s="4"/>
      <c r="L167" s="53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76"/>
      <c r="F168" s="53"/>
      <c r="G168" s="4"/>
      <c r="H168" s="4"/>
      <c r="I168" s="4"/>
      <c r="J168" s="4"/>
      <c r="K168" s="4"/>
      <c r="L168" s="53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76"/>
      <c r="F169" s="53"/>
      <c r="G169" s="4"/>
      <c r="H169" s="4"/>
      <c r="I169" s="4"/>
      <c r="J169" s="4"/>
      <c r="K169" s="4"/>
      <c r="L169" s="53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76"/>
      <c r="F170" s="53"/>
      <c r="G170" s="4"/>
      <c r="H170" s="4"/>
      <c r="I170" s="4"/>
      <c r="J170" s="4"/>
      <c r="K170" s="4"/>
      <c r="L170" s="53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76"/>
      <c r="F171" s="53"/>
      <c r="G171" s="4"/>
      <c r="H171" s="4"/>
      <c r="I171" s="4"/>
      <c r="J171" s="4"/>
      <c r="K171" s="4"/>
      <c r="L171" s="53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76"/>
      <c r="F172" s="53"/>
      <c r="G172" s="4"/>
      <c r="H172" s="4"/>
      <c r="I172" s="4"/>
      <c r="J172" s="4"/>
      <c r="K172" s="4"/>
      <c r="L172" s="53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76"/>
      <c r="F173" s="53"/>
      <c r="G173" s="4"/>
      <c r="H173" s="4"/>
      <c r="I173" s="4"/>
      <c r="J173" s="4"/>
      <c r="K173" s="4"/>
      <c r="L173" s="53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76"/>
      <c r="F174" s="53"/>
      <c r="G174" s="4"/>
      <c r="H174" s="4"/>
      <c r="I174" s="4"/>
      <c r="J174" s="4"/>
      <c r="K174" s="4"/>
      <c r="L174" s="53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76"/>
      <c r="F175" s="53"/>
      <c r="G175" s="4"/>
      <c r="H175" s="4"/>
      <c r="I175" s="4"/>
      <c r="J175" s="4"/>
      <c r="K175" s="4"/>
      <c r="L175" s="53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76"/>
      <c r="F176" s="53"/>
      <c r="G176" s="4"/>
      <c r="H176" s="4"/>
      <c r="I176" s="4"/>
      <c r="J176" s="4"/>
      <c r="K176" s="4"/>
      <c r="L176" s="53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76"/>
      <c r="F177" s="53"/>
      <c r="G177" s="4"/>
      <c r="H177" s="4"/>
      <c r="I177" s="4"/>
      <c r="J177" s="4"/>
      <c r="K177" s="4"/>
      <c r="L177" s="53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76"/>
      <c r="F178" s="53"/>
      <c r="G178" s="4"/>
      <c r="H178" s="4"/>
      <c r="I178" s="4"/>
      <c r="J178" s="4"/>
      <c r="K178" s="4"/>
      <c r="L178" s="53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76"/>
      <c r="F179" s="53"/>
      <c r="G179" s="4"/>
      <c r="H179" s="4"/>
      <c r="I179" s="4"/>
      <c r="J179" s="4"/>
      <c r="K179" s="4"/>
      <c r="L179" s="53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76"/>
      <c r="F180" s="53"/>
      <c r="G180" s="4"/>
      <c r="H180" s="4"/>
      <c r="I180" s="4"/>
      <c r="J180" s="4"/>
      <c r="K180" s="4"/>
      <c r="L180" s="53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76"/>
      <c r="F181" s="53"/>
      <c r="G181" s="4"/>
      <c r="H181" s="4"/>
      <c r="I181" s="4"/>
      <c r="J181" s="4"/>
      <c r="K181" s="4"/>
      <c r="L181" s="53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76"/>
      <c r="F182" s="53"/>
      <c r="G182" s="4"/>
      <c r="H182" s="4"/>
      <c r="I182" s="4"/>
      <c r="J182" s="4"/>
      <c r="K182" s="4"/>
      <c r="L182" s="53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76"/>
      <c r="F183" s="53"/>
      <c r="G183" s="4"/>
      <c r="H183" s="4"/>
      <c r="I183" s="4"/>
      <c r="J183" s="4"/>
      <c r="K183" s="4"/>
      <c r="L183" s="53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76"/>
      <c r="F184" s="53"/>
      <c r="G184" s="4"/>
      <c r="H184" s="4"/>
      <c r="I184" s="4"/>
      <c r="J184" s="4"/>
      <c r="K184" s="4"/>
      <c r="L184" s="53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76"/>
      <c r="F185" s="53"/>
      <c r="G185" s="4"/>
      <c r="H185" s="4"/>
      <c r="I185" s="4"/>
      <c r="J185" s="4"/>
      <c r="K185" s="4"/>
      <c r="L185" s="53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76"/>
      <c r="F186" s="53"/>
      <c r="G186" s="4"/>
      <c r="H186" s="4"/>
      <c r="I186" s="4"/>
      <c r="J186" s="4"/>
      <c r="K186" s="4"/>
      <c r="L186" s="53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76"/>
      <c r="F187" s="53"/>
      <c r="G187" s="4"/>
      <c r="H187" s="4"/>
      <c r="I187" s="4"/>
      <c r="J187" s="4"/>
      <c r="K187" s="4"/>
      <c r="L187" s="53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76"/>
      <c r="F188" s="53"/>
      <c r="G188" s="4"/>
      <c r="H188" s="4"/>
      <c r="I188" s="4"/>
      <c r="J188" s="4"/>
      <c r="K188" s="4"/>
      <c r="L188" s="53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76"/>
      <c r="F189" s="53"/>
      <c r="G189" s="4"/>
      <c r="H189" s="4"/>
      <c r="I189" s="4"/>
      <c r="J189" s="4"/>
      <c r="K189" s="4"/>
      <c r="L189" s="53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76"/>
      <c r="F190" s="53"/>
      <c r="G190" s="4"/>
      <c r="H190" s="4"/>
      <c r="I190" s="4"/>
      <c r="J190" s="4"/>
      <c r="K190" s="4"/>
      <c r="L190" s="53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76"/>
      <c r="F191" s="53"/>
      <c r="G191" s="4"/>
      <c r="H191" s="4"/>
      <c r="I191" s="4"/>
      <c r="J191" s="4"/>
      <c r="K191" s="4"/>
      <c r="L191" s="53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76"/>
      <c r="F192" s="53"/>
      <c r="G192" s="4"/>
      <c r="H192" s="4"/>
      <c r="I192" s="4"/>
      <c r="J192" s="4"/>
      <c r="K192" s="4"/>
      <c r="L192" s="53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76"/>
      <c r="F193" s="53"/>
      <c r="G193" s="4"/>
      <c r="H193" s="4"/>
      <c r="I193" s="4"/>
      <c r="J193" s="4"/>
      <c r="K193" s="4"/>
      <c r="L193" s="53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76"/>
      <c r="F194" s="53"/>
      <c r="G194" s="4"/>
      <c r="H194" s="4"/>
      <c r="I194" s="4"/>
      <c r="J194" s="4"/>
      <c r="K194" s="4"/>
      <c r="L194" s="53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76"/>
      <c r="F195" s="53"/>
      <c r="G195" s="4"/>
      <c r="H195" s="4"/>
      <c r="I195" s="4"/>
      <c r="J195" s="4"/>
      <c r="K195" s="4"/>
      <c r="L195" s="53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76"/>
      <c r="F196" s="53"/>
      <c r="G196" s="4"/>
      <c r="H196" s="4"/>
      <c r="I196" s="4"/>
      <c r="J196" s="4"/>
      <c r="K196" s="4"/>
      <c r="L196" s="53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76"/>
      <c r="F197" s="53"/>
      <c r="G197" s="4"/>
      <c r="H197" s="4"/>
      <c r="I197" s="4"/>
      <c r="J197" s="4"/>
      <c r="K197" s="4"/>
      <c r="L197" s="53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76"/>
      <c r="F198" s="53"/>
      <c r="G198" s="4"/>
      <c r="H198" s="4"/>
      <c r="I198" s="4"/>
      <c r="J198" s="4"/>
      <c r="K198" s="4"/>
      <c r="L198" s="53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76"/>
      <c r="F199" s="53"/>
      <c r="G199" s="4"/>
      <c r="H199" s="4"/>
      <c r="I199" s="4"/>
      <c r="J199" s="4"/>
      <c r="K199" s="4"/>
      <c r="L199" s="53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76"/>
      <c r="F200" s="53"/>
      <c r="G200" s="4"/>
      <c r="H200" s="4"/>
      <c r="I200" s="4"/>
      <c r="J200" s="4"/>
      <c r="K200" s="4"/>
      <c r="L200" s="53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76"/>
      <c r="F201" s="53"/>
      <c r="G201" s="4"/>
      <c r="H201" s="4"/>
      <c r="I201" s="4"/>
      <c r="J201" s="4"/>
      <c r="K201" s="4"/>
      <c r="L201" s="53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76"/>
      <c r="F202" s="53"/>
      <c r="G202" s="4"/>
      <c r="H202" s="4"/>
      <c r="I202" s="4"/>
      <c r="J202" s="4"/>
      <c r="K202" s="4"/>
      <c r="L202" s="53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76"/>
      <c r="F203" s="53"/>
      <c r="G203" s="4"/>
      <c r="H203" s="4"/>
      <c r="I203" s="4"/>
      <c r="J203" s="4"/>
      <c r="K203" s="4"/>
      <c r="L203" s="53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76"/>
      <c r="F204" s="53"/>
      <c r="G204" s="4"/>
      <c r="H204" s="4"/>
      <c r="I204" s="4"/>
      <c r="J204" s="4"/>
      <c r="K204" s="4"/>
      <c r="L204" s="53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76"/>
      <c r="F205" s="53"/>
      <c r="G205" s="4"/>
      <c r="H205" s="4"/>
      <c r="I205" s="4"/>
      <c r="J205" s="4"/>
      <c r="K205" s="4"/>
      <c r="L205" s="53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76"/>
      <c r="F206" s="53"/>
      <c r="G206" s="4"/>
      <c r="H206" s="4"/>
      <c r="I206" s="4"/>
      <c r="J206" s="4"/>
      <c r="K206" s="4"/>
      <c r="L206" s="53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76"/>
      <c r="F207" s="53"/>
      <c r="G207" s="4"/>
      <c r="H207" s="4"/>
      <c r="I207" s="4"/>
      <c r="J207" s="4"/>
      <c r="K207" s="4"/>
      <c r="L207" s="53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76"/>
      <c r="F208" s="53"/>
      <c r="G208" s="4"/>
      <c r="H208" s="4"/>
      <c r="I208" s="4"/>
      <c r="J208" s="4"/>
      <c r="K208" s="4"/>
      <c r="L208" s="53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76"/>
      <c r="F209" s="53"/>
      <c r="G209" s="4"/>
      <c r="H209" s="4"/>
      <c r="I209" s="4"/>
      <c r="J209" s="4"/>
      <c r="K209" s="4"/>
      <c r="L209" s="53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76"/>
      <c r="F210" s="53"/>
      <c r="G210" s="4"/>
      <c r="H210" s="4"/>
      <c r="I210" s="4"/>
      <c r="J210" s="4"/>
      <c r="K210" s="4"/>
      <c r="L210" s="53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76"/>
      <c r="F211" s="53"/>
      <c r="G211" s="4"/>
      <c r="H211" s="4"/>
      <c r="I211" s="4"/>
      <c r="J211" s="4"/>
      <c r="K211" s="4"/>
      <c r="L211" s="53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76"/>
      <c r="F212" s="53"/>
      <c r="G212" s="4"/>
      <c r="H212" s="4"/>
      <c r="I212" s="4"/>
      <c r="J212" s="4"/>
      <c r="K212" s="4"/>
      <c r="L212" s="53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76"/>
      <c r="F213" s="53"/>
      <c r="G213" s="4"/>
      <c r="H213" s="4"/>
      <c r="I213" s="4"/>
      <c r="J213" s="4"/>
      <c r="K213" s="4"/>
      <c r="L213" s="53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76"/>
      <c r="F214" s="53"/>
      <c r="G214" s="4"/>
      <c r="H214" s="4"/>
      <c r="I214" s="4"/>
      <c r="J214" s="4"/>
      <c r="K214" s="4"/>
      <c r="L214" s="53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76"/>
      <c r="F215" s="53"/>
      <c r="G215" s="4"/>
      <c r="H215" s="4"/>
      <c r="I215" s="4"/>
      <c r="J215" s="4"/>
      <c r="K215" s="4"/>
      <c r="L215" s="53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76"/>
      <c r="F216" s="53"/>
      <c r="G216" s="4"/>
      <c r="H216" s="4"/>
      <c r="I216" s="4"/>
      <c r="J216" s="4"/>
      <c r="K216" s="4"/>
      <c r="L216" s="53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76"/>
      <c r="F217" s="53"/>
      <c r="G217" s="4"/>
      <c r="H217" s="4"/>
      <c r="I217" s="4"/>
      <c r="J217" s="4"/>
      <c r="K217" s="4"/>
      <c r="L217" s="53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76"/>
      <c r="F218" s="53"/>
      <c r="G218" s="4"/>
      <c r="H218" s="4"/>
      <c r="I218" s="4"/>
      <c r="J218" s="4"/>
      <c r="K218" s="4"/>
      <c r="L218" s="53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76"/>
      <c r="F219" s="53"/>
      <c r="G219" s="4"/>
      <c r="H219" s="4"/>
      <c r="I219" s="4"/>
      <c r="J219" s="4"/>
      <c r="K219" s="4"/>
      <c r="L219" s="53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76"/>
      <c r="F220" s="53"/>
      <c r="G220" s="4"/>
      <c r="H220" s="4"/>
      <c r="I220" s="4"/>
      <c r="J220" s="4"/>
      <c r="K220" s="4"/>
      <c r="L220" s="53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76"/>
      <c r="F221" s="53"/>
      <c r="G221" s="4"/>
      <c r="H221" s="4"/>
      <c r="I221" s="4"/>
      <c r="J221" s="4"/>
      <c r="K221" s="4"/>
      <c r="L221" s="53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76"/>
      <c r="F222" s="53"/>
      <c r="G222" s="4"/>
      <c r="H222" s="4"/>
      <c r="I222" s="4"/>
      <c r="J222" s="4"/>
      <c r="K222" s="4"/>
      <c r="L222" s="53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76"/>
      <c r="F223" s="53"/>
      <c r="G223" s="4"/>
      <c r="H223" s="4"/>
      <c r="I223" s="4"/>
      <c r="J223" s="4"/>
      <c r="K223" s="4"/>
      <c r="L223" s="53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76"/>
      <c r="F224" s="53"/>
      <c r="G224" s="4"/>
      <c r="H224" s="4"/>
      <c r="I224" s="4"/>
      <c r="J224" s="4"/>
      <c r="K224" s="4"/>
      <c r="L224" s="53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76"/>
      <c r="F225" s="53"/>
      <c r="G225" s="4"/>
      <c r="H225" s="4"/>
      <c r="I225" s="4"/>
      <c r="J225" s="4"/>
      <c r="K225" s="4"/>
      <c r="L225" s="53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76"/>
      <c r="F226" s="53"/>
      <c r="G226" s="4"/>
      <c r="H226" s="4"/>
      <c r="I226" s="4"/>
      <c r="J226" s="4"/>
      <c r="K226" s="4"/>
      <c r="L226" s="53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76"/>
      <c r="F227" s="53"/>
      <c r="G227" s="4"/>
      <c r="H227" s="4"/>
      <c r="I227" s="4"/>
      <c r="J227" s="4"/>
      <c r="K227" s="4"/>
      <c r="L227" s="53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76"/>
      <c r="F228" s="53"/>
      <c r="G228" s="4"/>
      <c r="H228" s="4"/>
      <c r="I228" s="4"/>
      <c r="J228" s="4"/>
      <c r="K228" s="4"/>
      <c r="L228" s="53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76"/>
      <c r="F229" s="53"/>
      <c r="G229" s="4"/>
      <c r="H229" s="4"/>
      <c r="I229" s="4"/>
      <c r="J229" s="4"/>
      <c r="K229" s="4"/>
      <c r="L229" s="53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76"/>
      <c r="F230" s="53"/>
      <c r="G230" s="4"/>
      <c r="H230" s="4"/>
      <c r="I230" s="4"/>
      <c r="J230" s="4"/>
      <c r="K230" s="4"/>
      <c r="L230" s="53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76"/>
      <c r="F231" s="53"/>
      <c r="G231" s="4"/>
      <c r="H231" s="4"/>
      <c r="I231" s="4"/>
      <c r="J231" s="4"/>
      <c r="K231" s="4"/>
      <c r="L231" s="53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76"/>
      <c r="F232" s="53"/>
      <c r="G232" s="4"/>
      <c r="H232" s="4"/>
      <c r="I232" s="4"/>
      <c r="J232" s="4"/>
      <c r="K232" s="4"/>
      <c r="L232" s="53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76"/>
      <c r="F233" s="53"/>
      <c r="G233" s="4"/>
      <c r="H233" s="4"/>
      <c r="I233" s="4"/>
      <c r="J233" s="4"/>
      <c r="K233" s="4"/>
      <c r="L233" s="53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76"/>
      <c r="F234" s="53"/>
      <c r="G234" s="4"/>
      <c r="H234" s="4"/>
      <c r="I234" s="4"/>
      <c r="J234" s="4"/>
      <c r="K234" s="4"/>
      <c r="L234" s="53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76"/>
      <c r="F235" s="53"/>
      <c r="G235" s="4"/>
      <c r="H235" s="4"/>
      <c r="I235" s="4"/>
      <c r="J235" s="4"/>
      <c r="K235" s="4"/>
      <c r="L235" s="53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76"/>
      <c r="F236" s="53"/>
      <c r="G236" s="4"/>
      <c r="H236" s="4"/>
      <c r="I236" s="4"/>
      <c r="J236" s="4"/>
      <c r="K236" s="4"/>
      <c r="L236" s="53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76"/>
      <c r="F237" s="53"/>
      <c r="G237" s="4"/>
      <c r="H237" s="4"/>
      <c r="I237" s="4"/>
      <c r="J237" s="4"/>
      <c r="K237" s="4"/>
      <c r="L237" s="53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76"/>
      <c r="F238" s="53"/>
      <c r="G238" s="4"/>
      <c r="H238" s="4"/>
      <c r="I238" s="4"/>
      <c r="J238" s="4"/>
      <c r="K238" s="4"/>
      <c r="L238" s="53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76"/>
      <c r="F239" s="53"/>
      <c r="G239" s="4"/>
      <c r="H239" s="4"/>
      <c r="I239" s="4"/>
      <c r="J239" s="4"/>
      <c r="K239" s="4"/>
      <c r="L239" s="53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76"/>
      <c r="F240" s="53"/>
      <c r="G240" s="4"/>
      <c r="H240" s="4"/>
      <c r="I240" s="4"/>
      <c r="J240" s="4"/>
      <c r="K240" s="4"/>
      <c r="L240" s="53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76"/>
      <c r="F241" s="53"/>
      <c r="G241" s="4"/>
      <c r="H241" s="4"/>
      <c r="I241" s="4"/>
      <c r="J241" s="4"/>
      <c r="K241" s="4"/>
      <c r="L241" s="53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76"/>
      <c r="F242" s="53"/>
      <c r="G242" s="4"/>
      <c r="H242" s="4"/>
      <c r="I242" s="4"/>
      <c r="J242" s="4"/>
      <c r="K242" s="4"/>
      <c r="L242" s="53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76"/>
      <c r="F243" s="53"/>
      <c r="G243" s="4"/>
      <c r="H243" s="4"/>
      <c r="I243" s="4"/>
      <c r="J243" s="4"/>
      <c r="K243" s="4"/>
      <c r="L243" s="53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76"/>
      <c r="F244" s="53"/>
      <c r="G244" s="4"/>
      <c r="H244" s="4"/>
      <c r="I244" s="4"/>
      <c r="J244" s="4"/>
      <c r="K244" s="4"/>
      <c r="L244" s="53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76"/>
      <c r="F245" s="53"/>
      <c r="G245" s="4"/>
      <c r="H245" s="4"/>
      <c r="I245" s="4"/>
      <c r="J245" s="4"/>
      <c r="K245" s="4"/>
      <c r="L245" s="53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76"/>
      <c r="F246" s="53"/>
      <c r="G246" s="4"/>
      <c r="H246" s="4"/>
      <c r="I246" s="4"/>
      <c r="J246" s="4"/>
      <c r="K246" s="4"/>
      <c r="L246" s="53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76"/>
      <c r="F247" s="53"/>
      <c r="G247" s="4"/>
      <c r="H247" s="4"/>
      <c r="I247" s="4"/>
      <c r="J247" s="4"/>
      <c r="K247" s="4"/>
      <c r="L247" s="53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76"/>
      <c r="F248" s="53"/>
      <c r="G248" s="4"/>
      <c r="H248" s="4"/>
      <c r="I248" s="4"/>
      <c r="J248" s="4"/>
      <c r="K248" s="4"/>
      <c r="L248" s="53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76"/>
      <c r="F249" s="53"/>
      <c r="G249" s="4"/>
      <c r="H249" s="4"/>
      <c r="I249" s="4"/>
      <c r="J249" s="4"/>
      <c r="K249" s="4"/>
      <c r="L249" s="53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76"/>
      <c r="F250" s="53"/>
      <c r="G250" s="4"/>
      <c r="H250" s="4"/>
      <c r="I250" s="4"/>
      <c r="J250" s="4"/>
      <c r="K250" s="4"/>
      <c r="L250" s="53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76"/>
      <c r="F251" s="53"/>
      <c r="G251" s="4"/>
      <c r="H251" s="4"/>
      <c r="I251" s="4"/>
      <c r="J251" s="4"/>
      <c r="K251" s="4"/>
      <c r="L251" s="53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76"/>
      <c r="F252" s="53"/>
      <c r="G252" s="4"/>
      <c r="H252" s="4"/>
      <c r="I252" s="4"/>
      <c r="J252" s="4"/>
      <c r="K252" s="4"/>
      <c r="L252" s="53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76"/>
      <c r="F253" s="53"/>
      <c r="G253" s="4"/>
      <c r="H253" s="4"/>
      <c r="I253" s="4"/>
      <c r="J253" s="4"/>
      <c r="K253" s="4"/>
      <c r="L253" s="53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76"/>
      <c r="F254" s="53"/>
      <c r="G254" s="4"/>
      <c r="H254" s="4"/>
      <c r="I254" s="4"/>
      <c r="J254" s="4"/>
      <c r="K254" s="4"/>
      <c r="L254" s="53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76"/>
      <c r="F255" s="53"/>
      <c r="G255" s="4"/>
      <c r="H255" s="4"/>
      <c r="I255" s="4"/>
      <c r="J255" s="4"/>
      <c r="K255" s="4"/>
      <c r="L255" s="53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76"/>
      <c r="F256" s="53"/>
      <c r="G256" s="4"/>
      <c r="H256" s="4"/>
      <c r="I256" s="4"/>
      <c r="J256" s="4"/>
      <c r="K256" s="4"/>
      <c r="L256" s="53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76"/>
      <c r="F257" s="53"/>
      <c r="G257" s="4"/>
      <c r="H257" s="4"/>
      <c r="I257" s="4"/>
      <c r="J257" s="4"/>
      <c r="K257" s="4"/>
      <c r="L257" s="53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76"/>
      <c r="F258" s="53"/>
      <c r="G258" s="4"/>
      <c r="H258" s="4"/>
      <c r="I258" s="4"/>
      <c r="J258" s="4"/>
      <c r="K258" s="4"/>
      <c r="L258" s="53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76"/>
      <c r="F259" s="53"/>
      <c r="G259" s="4"/>
      <c r="H259" s="4"/>
      <c r="I259" s="4"/>
      <c r="J259" s="4"/>
      <c r="K259" s="4"/>
      <c r="L259" s="53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76"/>
      <c r="F260" s="53"/>
      <c r="G260" s="4"/>
      <c r="H260" s="4"/>
      <c r="I260" s="4"/>
      <c r="J260" s="4"/>
      <c r="K260" s="4"/>
      <c r="L260" s="53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76"/>
      <c r="F261" s="53"/>
      <c r="G261" s="4"/>
      <c r="H261" s="4"/>
      <c r="I261" s="4"/>
      <c r="J261" s="4"/>
      <c r="K261" s="4"/>
      <c r="L261" s="53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76"/>
      <c r="F262" s="53"/>
      <c r="G262" s="4"/>
      <c r="H262" s="4"/>
      <c r="I262" s="4"/>
      <c r="J262" s="4"/>
      <c r="K262" s="4"/>
      <c r="L262" s="53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76"/>
      <c r="F263" s="53"/>
      <c r="G263" s="4"/>
      <c r="H263" s="4"/>
      <c r="I263" s="4"/>
      <c r="J263" s="4"/>
      <c r="K263" s="4"/>
      <c r="L263" s="53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76"/>
      <c r="F264" s="53"/>
      <c r="G264" s="4"/>
      <c r="H264" s="4"/>
      <c r="I264" s="4"/>
      <c r="J264" s="4"/>
      <c r="K264" s="4"/>
      <c r="L264" s="53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76"/>
      <c r="F265" s="53"/>
      <c r="G265" s="4"/>
      <c r="H265" s="4"/>
      <c r="I265" s="4"/>
      <c r="J265" s="4"/>
      <c r="K265" s="4"/>
      <c r="L265" s="53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76"/>
      <c r="F266" s="53"/>
      <c r="G266" s="4"/>
      <c r="H266" s="4"/>
      <c r="I266" s="4"/>
      <c r="J266" s="4"/>
      <c r="K266" s="4"/>
      <c r="L266" s="53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76"/>
      <c r="F267" s="53"/>
      <c r="G267" s="4"/>
      <c r="H267" s="4"/>
      <c r="I267" s="4"/>
      <c r="J267" s="4"/>
      <c r="K267" s="4"/>
      <c r="L267" s="53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76"/>
      <c r="F268" s="53"/>
      <c r="G268" s="4"/>
      <c r="H268" s="4"/>
      <c r="I268" s="4"/>
      <c r="J268" s="4"/>
      <c r="K268" s="4"/>
      <c r="L268" s="53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76"/>
      <c r="F269" s="53"/>
      <c r="G269" s="4"/>
      <c r="H269" s="4"/>
      <c r="I269" s="4"/>
      <c r="J269" s="4"/>
      <c r="K269" s="4"/>
      <c r="L269" s="53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76"/>
      <c r="F270" s="53"/>
      <c r="G270" s="4"/>
      <c r="H270" s="4"/>
      <c r="I270" s="4"/>
      <c r="J270" s="4"/>
      <c r="K270" s="4"/>
      <c r="L270" s="53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76"/>
      <c r="F271" s="53"/>
      <c r="G271" s="4"/>
      <c r="H271" s="4"/>
      <c r="I271" s="4"/>
      <c r="J271" s="4"/>
      <c r="K271" s="4"/>
      <c r="L271" s="53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76"/>
      <c r="F272" s="53"/>
      <c r="G272" s="4"/>
      <c r="H272" s="4"/>
      <c r="I272" s="4"/>
      <c r="J272" s="4"/>
      <c r="K272" s="4"/>
      <c r="L272" s="53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76"/>
      <c r="F273" s="53"/>
      <c r="G273" s="4"/>
      <c r="H273" s="4"/>
      <c r="I273" s="4"/>
      <c r="J273" s="4"/>
      <c r="K273" s="4"/>
      <c r="L273" s="53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76"/>
      <c r="F274" s="53"/>
      <c r="G274" s="4"/>
      <c r="H274" s="4"/>
      <c r="I274" s="4"/>
      <c r="J274" s="4"/>
      <c r="K274" s="4"/>
      <c r="L274" s="53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76"/>
      <c r="F275" s="53"/>
      <c r="G275" s="4"/>
      <c r="H275" s="4"/>
      <c r="I275" s="4"/>
      <c r="J275" s="4"/>
      <c r="K275" s="4"/>
      <c r="L275" s="53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76"/>
      <c r="F276" s="53"/>
      <c r="G276" s="4"/>
      <c r="H276" s="4"/>
      <c r="I276" s="4"/>
      <c r="J276" s="4"/>
      <c r="K276" s="4"/>
      <c r="L276" s="53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76"/>
      <c r="F277" s="53"/>
      <c r="G277" s="4"/>
      <c r="H277" s="4"/>
      <c r="I277" s="4"/>
      <c r="J277" s="4"/>
      <c r="K277" s="4"/>
      <c r="L277" s="53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76"/>
      <c r="F278" s="53"/>
      <c r="G278" s="4"/>
      <c r="H278" s="4"/>
      <c r="I278" s="4"/>
      <c r="J278" s="4"/>
      <c r="K278" s="4"/>
      <c r="L278" s="53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76"/>
      <c r="F279" s="53"/>
      <c r="G279" s="4"/>
      <c r="H279" s="4"/>
      <c r="I279" s="4"/>
      <c r="J279" s="4"/>
      <c r="K279" s="4"/>
      <c r="L279" s="53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76"/>
      <c r="F280" s="53"/>
      <c r="G280" s="4"/>
      <c r="H280" s="4"/>
      <c r="I280" s="4"/>
      <c r="J280" s="4"/>
      <c r="K280" s="4"/>
      <c r="L280" s="53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76"/>
      <c r="F281" s="53"/>
      <c r="G281" s="4"/>
      <c r="H281" s="4"/>
      <c r="I281" s="4"/>
      <c r="J281" s="4"/>
      <c r="K281" s="4"/>
      <c r="L281" s="53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76"/>
      <c r="F282" s="53"/>
      <c r="G282" s="4"/>
      <c r="H282" s="4"/>
      <c r="I282" s="4"/>
      <c r="J282" s="4"/>
      <c r="K282" s="4"/>
      <c r="L282" s="53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76"/>
      <c r="F283" s="53"/>
      <c r="G283" s="4"/>
      <c r="H283" s="4"/>
      <c r="I283" s="4"/>
      <c r="J283" s="4"/>
      <c r="K283" s="4"/>
      <c r="L283" s="53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76"/>
      <c r="F284" s="53"/>
      <c r="G284" s="4"/>
      <c r="H284" s="4"/>
      <c r="I284" s="4"/>
      <c r="J284" s="4"/>
      <c r="K284" s="4"/>
      <c r="L284" s="53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76"/>
      <c r="F285" s="53"/>
      <c r="G285" s="4"/>
      <c r="H285" s="4"/>
      <c r="I285" s="4"/>
      <c r="J285" s="4"/>
      <c r="K285" s="4"/>
      <c r="L285" s="53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76"/>
      <c r="F286" s="53"/>
      <c r="G286" s="4"/>
      <c r="H286" s="4"/>
      <c r="I286" s="4"/>
      <c r="J286" s="4"/>
      <c r="K286" s="4"/>
      <c r="L286" s="53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76"/>
      <c r="F287" s="53"/>
      <c r="G287" s="4"/>
      <c r="H287" s="4"/>
      <c r="I287" s="4"/>
      <c r="J287" s="4"/>
      <c r="K287" s="4"/>
      <c r="L287" s="53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76"/>
      <c r="F288" s="53"/>
      <c r="G288" s="4"/>
      <c r="H288" s="4"/>
      <c r="I288" s="4"/>
      <c r="J288" s="4"/>
      <c r="K288" s="4"/>
      <c r="L288" s="53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76"/>
      <c r="F289" s="53"/>
      <c r="G289" s="4"/>
      <c r="H289" s="4"/>
      <c r="I289" s="4"/>
      <c r="J289" s="4"/>
      <c r="K289" s="4"/>
      <c r="L289" s="53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76"/>
      <c r="F290" s="53"/>
      <c r="G290" s="4"/>
      <c r="H290" s="4"/>
      <c r="I290" s="4"/>
      <c r="J290" s="4"/>
      <c r="K290" s="4"/>
      <c r="L290" s="53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76"/>
      <c r="F291" s="53"/>
      <c r="G291" s="4"/>
      <c r="H291" s="4"/>
      <c r="I291" s="4"/>
      <c r="J291" s="4"/>
      <c r="K291" s="4"/>
      <c r="L291" s="53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76"/>
      <c r="F292" s="53"/>
      <c r="G292" s="4"/>
      <c r="H292" s="4"/>
      <c r="I292" s="4"/>
      <c r="J292" s="4"/>
      <c r="K292" s="4"/>
      <c r="L292" s="53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76"/>
      <c r="F293" s="53"/>
      <c r="G293" s="4"/>
      <c r="H293" s="4"/>
      <c r="I293" s="4"/>
      <c r="J293" s="4"/>
      <c r="K293" s="4"/>
      <c r="L293" s="53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76"/>
      <c r="F294" s="53"/>
      <c r="G294" s="4"/>
      <c r="H294" s="4"/>
      <c r="I294" s="4"/>
      <c r="J294" s="4"/>
      <c r="K294" s="4"/>
      <c r="L294" s="53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76"/>
      <c r="F295" s="53"/>
      <c r="G295" s="4"/>
      <c r="H295" s="4"/>
      <c r="I295" s="4"/>
      <c r="J295" s="4"/>
      <c r="K295" s="4"/>
      <c r="L295" s="53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76"/>
      <c r="F296" s="53"/>
      <c r="G296" s="4"/>
      <c r="H296" s="4"/>
      <c r="I296" s="4"/>
      <c r="J296" s="4"/>
      <c r="K296" s="4"/>
      <c r="L296" s="53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76"/>
      <c r="F297" s="53"/>
      <c r="G297" s="4"/>
      <c r="H297" s="4"/>
      <c r="I297" s="4"/>
      <c r="J297" s="4"/>
      <c r="K297" s="4"/>
      <c r="L297" s="53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76"/>
      <c r="F298" s="53"/>
      <c r="G298" s="4"/>
      <c r="H298" s="4"/>
      <c r="I298" s="4"/>
      <c r="J298" s="4"/>
      <c r="K298" s="4"/>
      <c r="L298" s="53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76"/>
      <c r="F299" s="53"/>
      <c r="G299" s="4"/>
      <c r="H299" s="4"/>
      <c r="I299" s="4"/>
      <c r="J299" s="4"/>
      <c r="K299" s="4"/>
      <c r="L299" s="53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76"/>
      <c r="F300" s="53"/>
      <c r="G300" s="4"/>
      <c r="H300" s="4"/>
      <c r="I300" s="4"/>
      <c r="J300" s="4"/>
      <c r="K300" s="4"/>
      <c r="L300" s="53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76"/>
      <c r="F301" s="53"/>
      <c r="G301" s="4"/>
      <c r="H301" s="4"/>
      <c r="I301" s="4"/>
      <c r="J301" s="4"/>
      <c r="K301" s="4"/>
      <c r="L301" s="53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76"/>
      <c r="F302" s="53"/>
      <c r="G302" s="4"/>
      <c r="H302" s="4"/>
      <c r="I302" s="4"/>
      <c r="J302" s="4"/>
      <c r="K302" s="4"/>
      <c r="L302" s="53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76"/>
      <c r="F303" s="53"/>
      <c r="G303" s="4"/>
      <c r="H303" s="4"/>
      <c r="I303" s="4"/>
      <c r="J303" s="4"/>
      <c r="K303" s="4"/>
      <c r="L303" s="53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76"/>
      <c r="F304" s="53"/>
      <c r="G304" s="4"/>
      <c r="H304" s="4"/>
      <c r="I304" s="4"/>
      <c r="J304" s="4"/>
      <c r="K304" s="4"/>
      <c r="L304" s="53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76"/>
      <c r="F305" s="53"/>
      <c r="G305" s="4"/>
      <c r="H305" s="4"/>
      <c r="I305" s="4"/>
      <c r="J305" s="4"/>
      <c r="K305" s="4"/>
      <c r="L305" s="53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76"/>
      <c r="F306" s="53"/>
      <c r="G306" s="4"/>
      <c r="H306" s="4"/>
      <c r="I306" s="4"/>
      <c r="J306" s="4"/>
      <c r="K306" s="4"/>
      <c r="L306" s="53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76"/>
      <c r="F307" s="53"/>
      <c r="G307" s="4"/>
      <c r="H307" s="4"/>
      <c r="I307" s="4"/>
      <c r="J307" s="4"/>
      <c r="K307" s="4"/>
      <c r="L307" s="53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76"/>
      <c r="F308" s="53"/>
      <c r="G308" s="4"/>
      <c r="H308" s="4"/>
      <c r="I308" s="4"/>
      <c r="J308" s="4"/>
      <c r="K308" s="4"/>
      <c r="L308" s="53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76"/>
      <c r="F309" s="53"/>
      <c r="G309" s="4"/>
      <c r="H309" s="4"/>
      <c r="I309" s="4"/>
      <c r="J309" s="4"/>
      <c r="K309" s="4"/>
      <c r="L309" s="53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76"/>
      <c r="F310" s="53"/>
      <c r="G310" s="4"/>
      <c r="H310" s="4"/>
      <c r="I310" s="4"/>
      <c r="J310" s="4"/>
      <c r="K310" s="4"/>
      <c r="L310" s="53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76"/>
      <c r="F311" s="53"/>
      <c r="G311" s="4"/>
      <c r="H311" s="4"/>
      <c r="I311" s="4"/>
      <c r="J311" s="4"/>
      <c r="K311" s="4"/>
      <c r="L311" s="53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76"/>
      <c r="F312" s="53"/>
      <c r="G312" s="4"/>
      <c r="H312" s="4"/>
      <c r="I312" s="4"/>
      <c r="J312" s="4"/>
      <c r="K312" s="4"/>
      <c r="L312" s="53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76"/>
      <c r="F313" s="53"/>
      <c r="G313" s="4"/>
      <c r="H313" s="4"/>
      <c r="I313" s="4"/>
      <c r="J313" s="4"/>
      <c r="K313" s="4"/>
      <c r="L313" s="53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76"/>
      <c r="F314" s="53"/>
      <c r="G314" s="4"/>
      <c r="H314" s="4"/>
      <c r="I314" s="4"/>
      <c r="J314" s="4"/>
      <c r="K314" s="4"/>
      <c r="L314" s="53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76"/>
      <c r="F315" s="53"/>
      <c r="G315" s="4"/>
      <c r="H315" s="4"/>
      <c r="I315" s="4"/>
      <c r="J315" s="4"/>
      <c r="K315" s="4"/>
      <c r="L315" s="53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76"/>
      <c r="F316" s="53"/>
      <c r="G316" s="4"/>
      <c r="H316" s="4"/>
      <c r="I316" s="4"/>
      <c r="J316" s="4"/>
      <c r="K316" s="4"/>
      <c r="L316" s="53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76"/>
      <c r="F317" s="53"/>
      <c r="G317" s="4"/>
      <c r="H317" s="4"/>
      <c r="I317" s="4"/>
      <c r="J317" s="4"/>
      <c r="K317" s="4"/>
      <c r="L317" s="53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76"/>
      <c r="F318" s="53"/>
      <c r="G318" s="4"/>
      <c r="H318" s="4"/>
      <c r="I318" s="4"/>
      <c r="J318" s="4"/>
      <c r="K318" s="4"/>
      <c r="L318" s="53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76"/>
      <c r="F319" s="53"/>
      <c r="G319" s="4"/>
      <c r="H319" s="4"/>
      <c r="I319" s="4"/>
      <c r="J319" s="4"/>
      <c r="K319" s="4"/>
      <c r="L319" s="53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76"/>
      <c r="F320" s="53"/>
      <c r="G320" s="4"/>
      <c r="H320" s="4"/>
      <c r="I320" s="4"/>
      <c r="J320" s="4"/>
      <c r="K320" s="4"/>
      <c r="L320" s="53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76"/>
      <c r="F321" s="53"/>
      <c r="G321" s="4"/>
      <c r="H321" s="4"/>
      <c r="I321" s="4"/>
      <c r="J321" s="4"/>
      <c r="K321" s="4"/>
      <c r="L321" s="53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76"/>
      <c r="F322" s="53"/>
      <c r="G322" s="4"/>
      <c r="H322" s="4"/>
      <c r="I322" s="4"/>
      <c r="J322" s="4"/>
      <c r="K322" s="4"/>
      <c r="L322" s="53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76"/>
      <c r="F323" s="53"/>
      <c r="G323" s="4"/>
      <c r="H323" s="4"/>
      <c r="I323" s="4"/>
      <c r="J323" s="4"/>
      <c r="K323" s="4"/>
      <c r="L323" s="53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76"/>
      <c r="F324" s="53"/>
      <c r="G324" s="4"/>
      <c r="H324" s="4"/>
      <c r="I324" s="4"/>
      <c r="J324" s="4"/>
      <c r="K324" s="4"/>
      <c r="L324" s="53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76"/>
      <c r="F325" s="53"/>
      <c r="G325" s="4"/>
      <c r="H325" s="4"/>
      <c r="I325" s="4"/>
      <c r="J325" s="4"/>
      <c r="K325" s="4"/>
      <c r="L325" s="53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76"/>
      <c r="F326" s="53"/>
      <c r="G326" s="4"/>
      <c r="H326" s="4"/>
      <c r="I326" s="4"/>
      <c r="J326" s="4"/>
      <c r="K326" s="4"/>
      <c r="L326" s="53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76"/>
      <c r="F327" s="53"/>
      <c r="G327" s="4"/>
      <c r="H327" s="4"/>
      <c r="I327" s="4"/>
      <c r="J327" s="4"/>
      <c r="K327" s="4"/>
      <c r="L327" s="53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76"/>
      <c r="F328" s="53"/>
      <c r="G328" s="4"/>
      <c r="H328" s="4"/>
      <c r="I328" s="4"/>
      <c r="J328" s="4"/>
      <c r="K328" s="4"/>
      <c r="L328" s="53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76"/>
      <c r="F329" s="53"/>
      <c r="G329" s="4"/>
      <c r="H329" s="4"/>
      <c r="I329" s="4"/>
      <c r="J329" s="4"/>
      <c r="K329" s="4"/>
      <c r="L329" s="53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76"/>
      <c r="F330" s="53"/>
      <c r="G330" s="4"/>
      <c r="H330" s="4"/>
      <c r="I330" s="4"/>
      <c r="J330" s="4"/>
      <c r="K330" s="4"/>
      <c r="L330" s="53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76"/>
      <c r="F331" s="53"/>
      <c r="G331" s="4"/>
      <c r="H331" s="4"/>
      <c r="I331" s="4"/>
      <c r="J331" s="4"/>
      <c r="K331" s="4"/>
      <c r="L331" s="53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76"/>
      <c r="F332" s="53"/>
      <c r="G332" s="4"/>
      <c r="H332" s="4"/>
      <c r="I332" s="4"/>
      <c r="J332" s="4"/>
      <c r="K332" s="4"/>
      <c r="L332" s="53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76"/>
      <c r="F333" s="53"/>
      <c r="G333" s="4"/>
      <c r="H333" s="4"/>
      <c r="I333" s="4"/>
      <c r="J333" s="4"/>
      <c r="K333" s="4"/>
      <c r="L333" s="53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76"/>
      <c r="F334" s="53"/>
      <c r="G334" s="4"/>
      <c r="H334" s="4"/>
      <c r="I334" s="4"/>
      <c r="J334" s="4"/>
      <c r="K334" s="4"/>
      <c r="L334" s="53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76"/>
      <c r="F335" s="53"/>
      <c r="G335" s="4"/>
      <c r="H335" s="4"/>
      <c r="I335" s="4"/>
      <c r="J335" s="4"/>
      <c r="K335" s="4"/>
      <c r="L335" s="53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76"/>
      <c r="F336" s="53"/>
      <c r="G336" s="4"/>
      <c r="H336" s="4"/>
      <c r="I336" s="4"/>
      <c r="J336" s="4"/>
      <c r="K336" s="4"/>
      <c r="L336" s="53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76"/>
      <c r="F337" s="53"/>
      <c r="G337" s="4"/>
      <c r="H337" s="4"/>
      <c r="I337" s="4"/>
      <c r="J337" s="4"/>
      <c r="K337" s="4"/>
      <c r="L337" s="53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76"/>
      <c r="F338" s="53"/>
      <c r="G338" s="4"/>
      <c r="H338" s="4"/>
      <c r="I338" s="4"/>
      <c r="J338" s="4"/>
      <c r="K338" s="4"/>
      <c r="L338" s="53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76"/>
      <c r="F339" s="53"/>
      <c r="G339" s="4"/>
      <c r="H339" s="4"/>
      <c r="I339" s="4"/>
      <c r="J339" s="4"/>
      <c r="K339" s="4"/>
      <c r="L339" s="53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76"/>
      <c r="F340" s="53"/>
      <c r="G340" s="4"/>
      <c r="H340" s="4"/>
      <c r="I340" s="4"/>
      <c r="J340" s="4"/>
      <c r="K340" s="4"/>
      <c r="L340" s="53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76"/>
      <c r="F341" s="53"/>
      <c r="G341" s="4"/>
      <c r="H341" s="4"/>
      <c r="I341" s="4"/>
      <c r="J341" s="4"/>
      <c r="K341" s="4"/>
      <c r="L341" s="53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76"/>
      <c r="F342" s="53"/>
      <c r="G342" s="4"/>
      <c r="H342" s="4"/>
      <c r="I342" s="4"/>
      <c r="J342" s="4"/>
      <c r="K342" s="4"/>
      <c r="L342" s="53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76"/>
      <c r="F343" s="53"/>
      <c r="G343" s="4"/>
      <c r="H343" s="4"/>
      <c r="I343" s="4"/>
      <c r="J343" s="4"/>
      <c r="K343" s="4"/>
      <c r="L343" s="53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76"/>
      <c r="F344" s="53"/>
      <c r="G344" s="4"/>
      <c r="H344" s="4"/>
      <c r="I344" s="4"/>
      <c r="J344" s="4"/>
      <c r="K344" s="4"/>
      <c r="L344" s="53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76"/>
      <c r="F345" s="53"/>
      <c r="G345" s="4"/>
      <c r="H345" s="4"/>
      <c r="I345" s="4"/>
      <c r="J345" s="4"/>
      <c r="K345" s="4"/>
      <c r="L345" s="53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76"/>
      <c r="F346" s="53"/>
      <c r="G346" s="4"/>
      <c r="H346" s="4"/>
      <c r="I346" s="4"/>
      <c r="J346" s="4"/>
      <c r="K346" s="4"/>
      <c r="L346" s="53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76"/>
      <c r="F347" s="53"/>
      <c r="G347" s="4"/>
      <c r="H347" s="4"/>
      <c r="I347" s="4"/>
      <c r="J347" s="4"/>
      <c r="K347" s="4"/>
      <c r="L347" s="53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76"/>
      <c r="F348" s="53"/>
      <c r="G348" s="4"/>
      <c r="H348" s="4"/>
      <c r="I348" s="4"/>
      <c r="J348" s="4"/>
      <c r="K348" s="4"/>
      <c r="L348" s="53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76"/>
      <c r="F349" s="53"/>
      <c r="G349" s="4"/>
      <c r="H349" s="4"/>
      <c r="I349" s="4"/>
      <c r="J349" s="4"/>
      <c r="K349" s="4"/>
      <c r="L349" s="53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76"/>
      <c r="F350" s="53"/>
      <c r="G350" s="4"/>
      <c r="H350" s="4"/>
      <c r="I350" s="4"/>
      <c r="J350" s="4"/>
      <c r="K350" s="4"/>
      <c r="L350" s="53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76"/>
      <c r="F351" s="53"/>
      <c r="G351" s="4"/>
      <c r="H351" s="4"/>
      <c r="I351" s="4"/>
      <c r="J351" s="4"/>
      <c r="K351" s="4"/>
      <c r="L351" s="53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76"/>
      <c r="F352" s="53"/>
      <c r="G352" s="4"/>
      <c r="H352" s="4"/>
      <c r="I352" s="4"/>
      <c r="J352" s="4"/>
      <c r="K352" s="4"/>
      <c r="L352" s="53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76"/>
      <c r="F353" s="53"/>
      <c r="G353" s="4"/>
      <c r="H353" s="4"/>
      <c r="I353" s="4"/>
      <c r="J353" s="4"/>
      <c r="K353" s="4"/>
      <c r="L353" s="53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76"/>
      <c r="F354" s="53"/>
      <c r="G354" s="4"/>
      <c r="H354" s="4"/>
      <c r="I354" s="4"/>
      <c r="J354" s="4"/>
      <c r="K354" s="4"/>
      <c r="L354" s="53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76"/>
      <c r="F355" s="53"/>
      <c r="G355" s="4"/>
      <c r="H355" s="4"/>
      <c r="I355" s="4"/>
      <c r="J355" s="4"/>
      <c r="K355" s="4"/>
      <c r="L355" s="53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76"/>
      <c r="F356" s="53"/>
      <c r="G356" s="4"/>
      <c r="H356" s="4"/>
      <c r="I356" s="4"/>
      <c r="J356" s="4"/>
      <c r="K356" s="4"/>
      <c r="L356" s="53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76"/>
      <c r="F357" s="53"/>
      <c r="G357" s="4"/>
      <c r="H357" s="4"/>
      <c r="I357" s="4"/>
      <c r="J357" s="4"/>
      <c r="K357" s="4"/>
      <c r="L357" s="53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76"/>
      <c r="F358" s="53"/>
      <c r="G358" s="4"/>
      <c r="H358" s="4"/>
      <c r="I358" s="4"/>
      <c r="J358" s="4"/>
      <c r="K358" s="4"/>
      <c r="L358" s="53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76"/>
      <c r="F359" s="53"/>
      <c r="G359" s="4"/>
      <c r="H359" s="4"/>
      <c r="I359" s="4"/>
      <c r="J359" s="4"/>
      <c r="K359" s="4"/>
      <c r="L359" s="53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76"/>
      <c r="F360" s="53"/>
      <c r="G360" s="4"/>
      <c r="H360" s="4"/>
      <c r="I360" s="4"/>
      <c r="J360" s="4"/>
      <c r="K360" s="4"/>
      <c r="L360" s="53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76"/>
      <c r="F361" s="53"/>
      <c r="G361" s="4"/>
      <c r="H361" s="4"/>
      <c r="I361" s="4"/>
      <c r="J361" s="4"/>
      <c r="K361" s="4"/>
      <c r="L361" s="53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76"/>
      <c r="F362" s="53"/>
      <c r="G362" s="4"/>
      <c r="H362" s="4"/>
      <c r="I362" s="4"/>
      <c r="J362" s="4"/>
      <c r="K362" s="4"/>
      <c r="L362" s="53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76"/>
      <c r="F363" s="53"/>
      <c r="G363" s="4"/>
      <c r="H363" s="4"/>
      <c r="I363" s="4"/>
      <c r="J363" s="4"/>
      <c r="K363" s="4"/>
      <c r="L363" s="53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76"/>
      <c r="F364" s="53"/>
      <c r="G364" s="4"/>
      <c r="H364" s="4"/>
      <c r="I364" s="4"/>
      <c r="J364" s="4"/>
      <c r="K364" s="4"/>
      <c r="L364" s="53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76"/>
      <c r="F365" s="53"/>
      <c r="G365" s="4"/>
      <c r="H365" s="4"/>
      <c r="I365" s="4"/>
      <c r="J365" s="4"/>
      <c r="K365" s="4"/>
      <c r="L365" s="53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76"/>
      <c r="F366" s="53"/>
      <c r="G366" s="4"/>
      <c r="H366" s="4"/>
      <c r="I366" s="4"/>
      <c r="J366" s="4"/>
      <c r="K366" s="4"/>
      <c r="L366" s="53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76"/>
      <c r="F367" s="53"/>
      <c r="G367" s="4"/>
      <c r="H367" s="4"/>
      <c r="I367" s="4"/>
      <c r="J367" s="4"/>
      <c r="K367" s="4"/>
      <c r="L367" s="53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76"/>
      <c r="F368" s="53"/>
      <c r="G368" s="4"/>
      <c r="H368" s="4"/>
      <c r="I368" s="4"/>
      <c r="J368" s="4"/>
      <c r="K368" s="4"/>
      <c r="L368" s="53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76"/>
      <c r="F369" s="53"/>
      <c r="G369" s="4"/>
      <c r="H369" s="4"/>
      <c r="I369" s="4"/>
      <c r="J369" s="4"/>
      <c r="K369" s="4"/>
      <c r="L369" s="53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76"/>
      <c r="F370" s="53"/>
      <c r="G370" s="4"/>
      <c r="H370" s="4"/>
      <c r="I370" s="4"/>
      <c r="J370" s="4"/>
      <c r="K370" s="4"/>
      <c r="L370" s="53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76"/>
      <c r="F371" s="53"/>
      <c r="G371" s="4"/>
      <c r="H371" s="4"/>
      <c r="I371" s="4"/>
      <c r="J371" s="4"/>
      <c r="K371" s="4"/>
      <c r="L371" s="53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76"/>
      <c r="F372" s="53"/>
      <c r="G372" s="4"/>
      <c r="H372" s="4"/>
      <c r="I372" s="4"/>
      <c r="J372" s="4"/>
      <c r="K372" s="4"/>
      <c r="L372" s="53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76"/>
      <c r="F373" s="53"/>
      <c r="G373" s="4"/>
      <c r="H373" s="4"/>
      <c r="I373" s="4"/>
      <c r="J373" s="4"/>
      <c r="K373" s="4"/>
      <c r="L373" s="53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76"/>
      <c r="F374" s="53"/>
      <c r="G374" s="4"/>
      <c r="H374" s="4"/>
      <c r="I374" s="4"/>
      <c r="J374" s="4"/>
      <c r="K374" s="4"/>
      <c r="L374" s="53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76"/>
      <c r="F375" s="53"/>
      <c r="G375" s="4"/>
      <c r="H375" s="4"/>
      <c r="I375" s="4"/>
      <c r="J375" s="4"/>
      <c r="K375" s="4"/>
      <c r="L375" s="53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76"/>
      <c r="F376" s="53"/>
      <c r="G376" s="4"/>
      <c r="H376" s="4"/>
      <c r="I376" s="4"/>
      <c r="J376" s="4"/>
      <c r="K376" s="4"/>
      <c r="L376" s="53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76"/>
      <c r="F377" s="53"/>
      <c r="G377" s="4"/>
      <c r="H377" s="4"/>
      <c r="I377" s="4"/>
      <c r="J377" s="4"/>
      <c r="K377" s="4"/>
      <c r="L377" s="53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76"/>
      <c r="F378" s="53"/>
      <c r="G378" s="4"/>
      <c r="H378" s="4"/>
      <c r="I378" s="4"/>
      <c r="J378" s="4"/>
      <c r="K378" s="4"/>
      <c r="L378" s="53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76"/>
      <c r="F379" s="53"/>
      <c r="G379" s="4"/>
      <c r="H379" s="4"/>
      <c r="I379" s="4"/>
      <c r="J379" s="4"/>
      <c r="K379" s="4"/>
      <c r="L379" s="53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76"/>
      <c r="F380" s="53"/>
      <c r="G380" s="4"/>
      <c r="H380" s="4"/>
      <c r="I380" s="4"/>
      <c r="J380" s="4"/>
      <c r="K380" s="4"/>
      <c r="L380" s="53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76"/>
      <c r="F381" s="53"/>
      <c r="G381" s="4"/>
      <c r="H381" s="4"/>
      <c r="I381" s="4"/>
      <c r="J381" s="4"/>
      <c r="K381" s="4"/>
      <c r="L381" s="53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76"/>
      <c r="F382" s="53"/>
      <c r="G382" s="4"/>
      <c r="H382" s="4"/>
      <c r="I382" s="4"/>
      <c r="J382" s="4"/>
      <c r="K382" s="4"/>
      <c r="L382" s="53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76"/>
      <c r="F383" s="53"/>
      <c r="G383" s="4"/>
      <c r="H383" s="4"/>
      <c r="I383" s="4"/>
      <c r="J383" s="4"/>
      <c r="K383" s="4"/>
      <c r="L383" s="53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76"/>
      <c r="F384" s="53"/>
      <c r="G384" s="4"/>
      <c r="H384" s="4"/>
      <c r="I384" s="4"/>
      <c r="J384" s="4"/>
      <c r="K384" s="4"/>
      <c r="L384" s="53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76"/>
      <c r="F385" s="53"/>
      <c r="G385" s="4"/>
      <c r="H385" s="4"/>
      <c r="I385" s="4"/>
      <c r="J385" s="4"/>
      <c r="K385" s="4"/>
      <c r="L385" s="53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76"/>
      <c r="F386" s="53"/>
      <c r="G386" s="4"/>
      <c r="H386" s="4"/>
      <c r="I386" s="4"/>
      <c r="J386" s="4"/>
      <c r="K386" s="4"/>
      <c r="L386" s="53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76"/>
      <c r="F387" s="53"/>
      <c r="G387" s="4"/>
      <c r="H387" s="4"/>
      <c r="I387" s="4"/>
      <c r="J387" s="4"/>
      <c r="K387" s="4"/>
      <c r="L387" s="53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76"/>
      <c r="F388" s="53"/>
      <c r="G388" s="4"/>
      <c r="H388" s="4"/>
      <c r="I388" s="4"/>
      <c r="J388" s="4"/>
      <c r="K388" s="4"/>
      <c r="L388" s="53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76"/>
      <c r="F389" s="53"/>
      <c r="G389" s="4"/>
      <c r="H389" s="4"/>
      <c r="I389" s="4"/>
      <c r="J389" s="4"/>
      <c r="K389" s="4"/>
      <c r="L389" s="53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76"/>
      <c r="F390" s="53"/>
      <c r="G390" s="4"/>
      <c r="H390" s="4"/>
      <c r="I390" s="4"/>
      <c r="J390" s="4"/>
      <c r="K390" s="4"/>
      <c r="L390" s="53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76"/>
      <c r="F391" s="53"/>
      <c r="G391" s="4"/>
      <c r="H391" s="4"/>
      <c r="I391" s="4"/>
      <c r="J391" s="4"/>
      <c r="K391" s="4"/>
      <c r="L391" s="53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76"/>
      <c r="F392" s="53"/>
      <c r="G392" s="4"/>
      <c r="H392" s="4"/>
      <c r="I392" s="4"/>
      <c r="J392" s="4"/>
      <c r="K392" s="4"/>
      <c r="L392" s="53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76"/>
      <c r="F393" s="53"/>
      <c r="G393" s="4"/>
      <c r="H393" s="4"/>
      <c r="I393" s="4"/>
      <c r="J393" s="4"/>
      <c r="K393" s="4"/>
      <c r="L393" s="53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76"/>
      <c r="F394" s="53"/>
      <c r="G394" s="4"/>
      <c r="H394" s="4"/>
      <c r="I394" s="4"/>
      <c r="J394" s="4"/>
      <c r="K394" s="4"/>
      <c r="L394" s="53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76"/>
      <c r="F395" s="53"/>
      <c r="G395" s="4"/>
      <c r="H395" s="4"/>
      <c r="I395" s="4"/>
      <c r="J395" s="4"/>
      <c r="K395" s="4"/>
      <c r="L395" s="53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76"/>
      <c r="F396" s="53"/>
      <c r="G396" s="4"/>
      <c r="H396" s="4"/>
      <c r="I396" s="4"/>
      <c r="J396" s="4"/>
      <c r="K396" s="4"/>
      <c r="L396" s="53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76"/>
      <c r="F397" s="53"/>
      <c r="G397" s="4"/>
      <c r="H397" s="4"/>
      <c r="I397" s="4"/>
      <c r="J397" s="4"/>
      <c r="K397" s="4"/>
      <c r="L397" s="53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76"/>
      <c r="F398" s="53"/>
      <c r="G398" s="4"/>
      <c r="H398" s="4"/>
      <c r="I398" s="4"/>
      <c r="J398" s="4"/>
      <c r="K398" s="4"/>
      <c r="L398" s="53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76"/>
      <c r="F399" s="53"/>
      <c r="G399" s="4"/>
      <c r="H399" s="4"/>
      <c r="I399" s="4"/>
      <c r="J399" s="4"/>
      <c r="K399" s="4"/>
      <c r="L399" s="53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76"/>
      <c r="F400" s="53"/>
      <c r="G400" s="4"/>
      <c r="H400" s="4"/>
      <c r="I400" s="4"/>
      <c r="J400" s="4"/>
      <c r="K400" s="4"/>
      <c r="L400" s="53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76"/>
      <c r="F401" s="53"/>
      <c r="G401" s="4"/>
      <c r="H401" s="4"/>
      <c r="I401" s="4"/>
      <c r="J401" s="4"/>
      <c r="K401" s="4"/>
      <c r="L401" s="53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76"/>
      <c r="F402" s="53"/>
      <c r="G402" s="4"/>
      <c r="H402" s="4"/>
      <c r="I402" s="4"/>
      <c r="J402" s="4"/>
      <c r="K402" s="4"/>
      <c r="L402" s="53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76"/>
      <c r="F403" s="53"/>
      <c r="G403" s="4"/>
      <c r="H403" s="4"/>
      <c r="I403" s="4"/>
      <c r="J403" s="4"/>
      <c r="K403" s="4"/>
      <c r="L403" s="53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76"/>
      <c r="F404" s="53"/>
      <c r="G404" s="4"/>
      <c r="H404" s="4"/>
      <c r="I404" s="4"/>
      <c r="J404" s="4"/>
      <c r="K404" s="4"/>
      <c r="L404" s="53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76"/>
      <c r="F405" s="53"/>
      <c r="G405" s="4"/>
      <c r="H405" s="4"/>
      <c r="I405" s="4"/>
      <c r="J405" s="4"/>
      <c r="K405" s="4"/>
      <c r="L405" s="53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76"/>
      <c r="F406" s="53"/>
      <c r="G406" s="4"/>
      <c r="H406" s="4"/>
      <c r="I406" s="4"/>
      <c r="J406" s="4"/>
      <c r="K406" s="4"/>
      <c r="L406" s="53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76"/>
      <c r="F407" s="53"/>
      <c r="G407" s="4"/>
      <c r="H407" s="4"/>
      <c r="I407" s="4"/>
      <c r="J407" s="4"/>
      <c r="K407" s="4"/>
      <c r="L407" s="53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76"/>
      <c r="F408" s="53"/>
      <c r="G408" s="4"/>
      <c r="H408" s="4"/>
      <c r="I408" s="4"/>
      <c r="J408" s="4"/>
      <c r="K408" s="4"/>
      <c r="L408" s="53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76"/>
      <c r="F409" s="53"/>
      <c r="G409" s="4"/>
      <c r="H409" s="4"/>
      <c r="I409" s="4"/>
      <c r="J409" s="4"/>
      <c r="K409" s="4"/>
      <c r="L409" s="53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76"/>
      <c r="F410" s="53"/>
      <c r="G410" s="4"/>
      <c r="H410" s="4"/>
      <c r="I410" s="4"/>
      <c r="J410" s="4"/>
      <c r="K410" s="4"/>
      <c r="L410" s="53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76"/>
      <c r="F411" s="53"/>
      <c r="G411" s="4"/>
      <c r="H411" s="4"/>
      <c r="I411" s="4"/>
      <c r="J411" s="4"/>
      <c r="K411" s="4"/>
      <c r="L411" s="53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76"/>
      <c r="F412" s="53"/>
      <c r="G412" s="4"/>
      <c r="H412" s="4"/>
      <c r="I412" s="4"/>
      <c r="J412" s="4"/>
      <c r="K412" s="4"/>
      <c r="L412" s="53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76"/>
      <c r="F413" s="53"/>
      <c r="G413" s="4"/>
      <c r="H413" s="4"/>
      <c r="I413" s="4"/>
      <c r="J413" s="4"/>
      <c r="K413" s="4"/>
      <c r="L413" s="53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76"/>
      <c r="F414" s="53"/>
      <c r="G414" s="4"/>
      <c r="H414" s="4"/>
      <c r="I414" s="4"/>
      <c r="J414" s="4"/>
      <c r="K414" s="4"/>
      <c r="L414" s="53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76"/>
      <c r="F415" s="53"/>
      <c r="G415" s="4"/>
      <c r="H415" s="4"/>
      <c r="I415" s="4"/>
      <c r="J415" s="4"/>
      <c r="K415" s="4"/>
      <c r="L415" s="53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76"/>
      <c r="F416" s="53"/>
      <c r="G416" s="4"/>
      <c r="H416" s="4"/>
      <c r="I416" s="4"/>
      <c r="J416" s="4"/>
      <c r="K416" s="4"/>
      <c r="L416" s="53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76"/>
      <c r="F417" s="53"/>
      <c r="G417" s="4"/>
      <c r="H417" s="4"/>
      <c r="I417" s="4"/>
      <c r="J417" s="4"/>
      <c r="K417" s="4"/>
      <c r="L417" s="53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76"/>
      <c r="F418" s="53"/>
      <c r="G418" s="4"/>
      <c r="H418" s="4"/>
      <c r="I418" s="4"/>
      <c r="J418" s="4"/>
      <c r="K418" s="4"/>
      <c r="L418" s="53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76"/>
      <c r="F419" s="53"/>
      <c r="G419" s="4"/>
      <c r="H419" s="4"/>
      <c r="I419" s="4"/>
      <c r="J419" s="4"/>
      <c r="K419" s="4"/>
      <c r="L419" s="53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76"/>
      <c r="F420" s="53"/>
      <c r="G420" s="4"/>
      <c r="H420" s="4"/>
      <c r="I420" s="4"/>
      <c r="J420" s="4"/>
      <c r="K420" s="4"/>
      <c r="L420" s="53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76"/>
      <c r="F421" s="53"/>
      <c r="G421" s="4"/>
      <c r="H421" s="4"/>
      <c r="I421" s="4"/>
      <c r="J421" s="4"/>
      <c r="K421" s="4"/>
      <c r="L421" s="53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76"/>
      <c r="F422" s="53"/>
      <c r="G422" s="4"/>
      <c r="H422" s="4"/>
      <c r="I422" s="4"/>
      <c r="J422" s="4"/>
      <c r="K422" s="4"/>
      <c r="L422" s="53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76"/>
      <c r="F423" s="53"/>
      <c r="G423" s="4"/>
      <c r="H423" s="4"/>
      <c r="I423" s="4"/>
      <c r="J423" s="4"/>
      <c r="K423" s="4"/>
      <c r="L423" s="53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76"/>
      <c r="F424" s="53"/>
      <c r="G424" s="4"/>
      <c r="H424" s="4"/>
      <c r="I424" s="4"/>
      <c r="J424" s="4"/>
      <c r="K424" s="4"/>
      <c r="L424" s="53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76"/>
      <c r="F425" s="53"/>
      <c r="G425" s="4"/>
      <c r="H425" s="4"/>
      <c r="I425" s="4"/>
      <c r="J425" s="4"/>
      <c r="K425" s="4"/>
      <c r="L425" s="53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76"/>
      <c r="F426" s="53"/>
      <c r="G426" s="4"/>
      <c r="H426" s="4"/>
      <c r="I426" s="4"/>
      <c r="J426" s="4"/>
      <c r="K426" s="4"/>
      <c r="L426" s="53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76"/>
      <c r="F427" s="53"/>
      <c r="G427" s="4"/>
      <c r="H427" s="4"/>
      <c r="I427" s="4"/>
      <c r="J427" s="4"/>
      <c r="K427" s="4"/>
      <c r="L427" s="53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76"/>
      <c r="F428" s="53"/>
      <c r="G428" s="4"/>
      <c r="H428" s="4"/>
      <c r="I428" s="4"/>
      <c r="J428" s="4"/>
      <c r="K428" s="4"/>
      <c r="L428" s="53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76"/>
      <c r="F429" s="53"/>
      <c r="G429" s="4"/>
      <c r="H429" s="4"/>
      <c r="I429" s="4"/>
      <c r="J429" s="4"/>
      <c r="K429" s="4"/>
      <c r="L429" s="53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76"/>
      <c r="F430" s="53"/>
      <c r="G430" s="4"/>
      <c r="H430" s="4"/>
      <c r="I430" s="4"/>
      <c r="J430" s="4"/>
      <c r="K430" s="4"/>
      <c r="L430" s="53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76"/>
      <c r="F431" s="53"/>
      <c r="G431" s="4"/>
      <c r="H431" s="4"/>
      <c r="I431" s="4"/>
      <c r="J431" s="4"/>
      <c r="K431" s="4"/>
      <c r="L431" s="53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76"/>
      <c r="F432" s="53"/>
      <c r="G432" s="4"/>
      <c r="H432" s="4"/>
      <c r="I432" s="4"/>
      <c r="J432" s="4"/>
      <c r="K432" s="4"/>
      <c r="L432" s="53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76"/>
      <c r="F433" s="53"/>
      <c r="G433" s="4"/>
      <c r="H433" s="4"/>
      <c r="I433" s="4"/>
      <c r="J433" s="4"/>
      <c r="K433" s="4"/>
      <c r="L433" s="53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76"/>
      <c r="F434" s="53"/>
      <c r="G434" s="4"/>
      <c r="H434" s="4"/>
      <c r="I434" s="4"/>
      <c r="J434" s="4"/>
      <c r="K434" s="4"/>
      <c r="L434" s="53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76"/>
      <c r="F435" s="53"/>
      <c r="G435" s="4"/>
      <c r="H435" s="4"/>
      <c r="I435" s="4"/>
      <c r="J435" s="4"/>
      <c r="K435" s="4"/>
      <c r="L435" s="53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76"/>
      <c r="F436" s="53"/>
      <c r="G436" s="4"/>
      <c r="H436" s="4"/>
      <c r="I436" s="4"/>
      <c r="J436" s="4"/>
      <c r="K436" s="4"/>
      <c r="L436" s="53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76"/>
      <c r="F437" s="53"/>
      <c r="G437" s="4"/>
      <c r="H437" s="4"/>
      <c r="I437" s="4"/>
      <c r="J437" s="4"/>
      <c r="K437" s="4"/>
      <c r="L437" s="53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76"/>
      <c r="F438" s="53"/>
      <c r="G438" s="4"/>
      <c r="H438" s="4"/>
      <c r="I438" s="4"/>
      <c r="J438" s="4"/>
      <c r="K438" s="4"/>
      <c r="L438" s="53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76"/>
      <c r="F439" s="53"/>
      <c r="G439" s="4"/>
      <c r="H439" s="4"/>
      <c r="I439" s="4"/>
      <c r="J439" s="4"/>
      <c r="K439" s="4"/>
      <c r="L439" s="53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76"/>
      <c r="F440" s="53"/>
      <c r="G440" s="4"/>
      <c r="H440" s="4"/>
      <c r="I440" s="4"/>
      <c r="J440" s="4"/>
      <c r="K440" s="4"/>
      <c r="L440" s="53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76"/>
      <c r="F441" s="53"/>
      <c r="G441" s="4"/>
      <c r="H441" s="4"/>
      <c r="I441" s="4"/>
      <c r="J441" s="4"/>
      <c r="K441" s="4"/>
      <c r="L441" s="53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76"/>
      <c r="F442" s="53"/>
      <c r="G442" s="4"/>
      <c r="H442" s="4"/>
      <c r="I442" s="4"/>
      <c r="J442" s="4"/>
      <c r="K442" s="4"/>
      <c r="L442" s="53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76"/>
      <c r="F443" s="53"/>
      <c r="G443" s="4"/>
      <c r="H443" s="4"/>
      <c r="I443" s="4"/>
      <c r="J443" s="4"/>
      <c r="K443" s="4"/>
      <c r="L443" s="53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76"/>
      <c r="F444" s="53"/>
      <c r="G444" s="4"/>
      <c r="H444" s="4"/>
      <c r="I444" s="4"/>
      <c r="J444" s="4"/>
      <c r="K444" s="4"/>
      <c r="L444" s="53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76"/>
      <c r="F445" s="53"/>
      <c r="G445" s="4"/>
      <c r="H445" s="4"/>
      <c r="I445" s="4"/>
      <c r="J445" s="4"/>
      <c r="K445" s="4"/>
      <c r="L445" s="53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76"/>
      <c r="F446" s="53"/>
      <c r="G446" s="4"/>
      <c r="H446" s="4"/>
      <c r="I446" s="4"/>
      <c r="J446" s="4"/>
      <c r="K446" s="4"/>
      <c r="L446" s="53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76"/>
      <c r="F447" s="53"/>
      <c r="G447" s="4"/>
      <c r="H447" s="4"/>
      <c r="I447" s="4"/>
      <c r="J447" s="4"/>
      <c r="K447" s="4"/>
      <c r="L447" s="53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76"/>
      <c r="F448" s="53"/>
      <c r="G448" s="4"/>
      <c r="H448" s="4"/>
      <c r="I448" s="4"/>
      <c r="J448" s="4"/>
      <c r="K448" s="4"/>
      <c r="L448" s="53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76"/>
      <c r="F449" s="53"/>
      <c r="G449" s="4"/>
      <c r="H449" s="4"/>
      <c r="I449" s="4"/>
      <c r="J449" s="4"/>
      <c r="K449" s="4"/>
      <c r="L449" s="53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76"/>
      <c r="F450" s="53"/>
      <c r="G450" s="4"/>
      <c r="H450" s="4"/>
      <c r="I450" s="4"/>
      <c r="J450" s="4"/>
      <c r="K450" s="4"/>
      <c r="L450" s="53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76"/>
      <c r="F451" s="53"/>
      <c r="G451" s="4"/>
      <c r="H451" s="4"/>
      <c r="I451" s="4"/>
      <c r="J451" s="4"/>
      <c r="K451" s="4"/>
      <c r="L451" s="53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76"/>
      <c r="F452" s="53"/>
      <c r="G452" s="4"/>
      <c r="H452" s="4"/>
      <c r="I452" s="4"/>
      <c r="J452" s="4"/>
      <c r="K452" s="4"/>
      <c r="L452" s="53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76"/>
      <c r="F453" s="53"/>
      <c r="G453" s="4"/>
      <c r="H453" s="4"/>
      <c r="I453" s="4"/>
      <c r="J453" s="4"/>
      <c r="K453" s="4"/>
      <c r="L453" s="53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76"/>
      <c r="F454" s="53"/>
      <c r="G454" s="4"/>
      <c r="H454" s="4"/>
      <c r="I454" s="4"/>
      <c r="J454" s="4"/>
      <c r="K454" s="4"/>
      <c r="L454" s="53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76"/>
      <c r="F455" s="53"/>
      <c r="G455" s="4"/>
      <c r="H455" s="4"/>
      <c r="I455" s="4"/>
      <c r="J455" s="4"/>
      <c r="K455" s="4"/>
      <c r="L455" s="53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76"/>
      <c r="F456" s="53"/>
      <c r="G456" s="4"/>
      <c r="H456" s="4"/>
      <c r="I456" s="4"/>
      <c r="J456" s="4"/>
      <c r="K456" s="4"/>
      <c r="L456" s="53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76"/>
      <c r="F457" s="53"/>
      <c r="G457" s="4"/>
      <c r="H457" s="4"/>
      <c r="I457" s="4"/>
      <c r="J457" s="4"/>
      <c r="K457" s="4"/>
      <c r="L457" s="53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76"/>
      <c r="F458" s="53"/>
      <c r="G458" s="4"/>
      <c r="H458" s="4"/>
      <c r="I458" s="4"/>
      <c r="J458" s="4"/>
      <c r="K458" s="4"/>
      <c r="L458" s="53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76"/>
      <c r="F459" s="53"/>
      <c r="G459" s="4"/>
      <c r="H459" s="4"/>
      <c r="I459" s="4"/>
      <c r="J459" s="4"/>
      <c r="K459" s="4"/>
      <c r="L459" s="53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76"/>
      <c r="F460" s="53"/>
      <c r="G460" s="4"/>
      <c r="H460" s="4"/>
      <c r="I460" s="4"/>
      <c r="J460" s="4"/>
      <c r="K460" s="4"/>
      <c r="L460" s="53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76"/>
      <c r="F461" s="53"/>
      <c r="G461" s="4"/>
      <c r="H461" s="4"/>
      <c r="I461" s="4"/>
      <c r="J461" s="4"/>
      <c r="K461" s="4"/>
      <c r="L461" s="53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76"/>
      <c r="F462" s="53"/>
      <c r="G462" s="4"/>
      <c r="H462" s="4"/>
      <c r="I462" s="4"/>
      <c r="J462" s="4"/>
      <c r="K462" s="4"/>
      <c r="L462" s="53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76"/>
      <c r="F463" s="53"/>
      <c r="G463" s="4"/>
      <c r="H463" s="4"/>
      <c r="I463" s="4"/>
      <c r="J463" s="4"/>
      <c r="K463" s="4"/>
      <c r="L463" s="53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76"/>
      <c r="F464" s="53"/>
      <c r="G464" s="4"/>
      <c r="H464" s="4"/>
      <c r="I464" s="4"/>
      <c r="J464" s="4"/>
      <c r="K464" s="4"/>
      <c r="L464" s="53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76"/>
      <c r="F465" s="53"/>
      <c r="G465" s="4"/>
      <c r="H465" s="4"/>
      <c r="I465" s="4"/>
      <c r="J465" s="4"/>
      <c r="K465" s="4"/>
      <c r="L465" s="53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76"/>
      <c r="F466" s="53"/>
      <c r="G466" s="4"/>
      <c r="H466" s="4"/>
      <c r="I466" s="4"/>
      <c r="J466" s="4"/>
      <c r="K466" s="4"/>
      <c r="L466" s="53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76"/>
      <c r="F467" s="53"/>
      <c r="G467" s="4"/>
      <c r="H467" s="4"/>
      <c r="I467" s="4"/>
      <c r="J467" s="4"/>
      <c r="K467" s="4"/>
      <c r="L467" s="53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76"/>
      <c r="F468" s="53"/>
      <c r="G468" s="4"/>
      <c r="H468" s="4"/>
      <c r="I468" s="4"/>
      <c r="J468" s="4"/>
      <c r="K468" s="4"/>
      <c r="L468" s="53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76"/>
      <c r="F469" s="53"/>
      <c r="G469" s="4"/>
      <c r="H469" s="4"/>
      <c r="I469" s="4"/>
      <c r="J469" s="4"/>
      <c r="K469" s="4"/>
      <c r="L469" s="53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76"/>
      <c r="F470" s="53"/>
      <c r="G470" s="4"/>
      <c r="H470" s="4"/>
      <c r="I470" s="4"/>
      <c r="J470" s="4"/>
      <c r="K470" s="4"/>
      <c r="L470" s="53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76"/>
      <c r="F471" s="53"/>
      <c r="G471" s="4"/>
      <c r="H471" s="4"/>
      <c r="I471" s="4"/>
      <c r="J471" s="4"/>
      <c r="K471" s="4"/>
      <c r="L471" s="53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76"/>
      <c r="F472" s="53"/>
      <c r="G472" s="4"/>
      <c r="H472" s="4"/>
      <c r="I472" s="4"/>
      <c r="J472" s="4"/>
      <c r="K472" s="4"/>
      <c r="L472" s="53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76"/>
      <c r="F473" s="53"/>
      <c r="G473" s="4"/>
      <c r="H473" s="4"/>
      <c r="I473" s="4"/>
      <c r="J473" s="4"/>
      <c r="K473" s="4"/>
      <c r="L473" s="53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76"/>
      <c r="F474" s="53"/>
      <c r="G474" s="4"/>
      <c r="H474" s="4"/>
      <c r="I474" s="4"/>
      <c r="J474" s="4"/>
      <c r="K474" s="4"/>
      <c r="L474" s="53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76"/>
      <c r="F475" s="53"/>
      <c r="G475" s="4"/>
      <c r="H475" s="4"/>
      <c r="I475" s="4"/>
      <c r="J475" s="4"/>
      <c r="K475" s="4"/>
      <c r="L475" s="53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76"/>
      <c r="F476" s="53"/>
      <c r="G476" s="4"/>
      <c r="H476" s="4"/>
      <c r="I476" s="4"/>
      <c r="J476" s="4"/>
      <c r="K476" s="4"/>
      <c r="L476" s="53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76"/>
      <c r="F477" s="53"/>
      <c r="G477" s="4"/>
      <c r="H477" s="4"/>
      <c r="I477" s="4"/>
      <c r="J477" s="4"/>
      <c r="K477" s="4"/>
      <c r="L477" s="53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76"/>
      <c r="F478" s="53"/>
      <c r="G478" s="4"/>
      <c r="H478" s="4"/>
      <c r="I478" s="4"/>
      <c r="J478" s="4"/>
      <c r="K478" s="4"/>
      <c r="L478" s="53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76"/>
      <c r="F479" s="53"/>
      <c r="G479" s="4"/>
      <c r="H479" s="4"/>
      <c r="I479" s="4"/>
      <c r="J479" s="4"/>
      <c r="K479" s="4"/>
      <c r="L479" s="53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76"/>
      <c r="F480" s="53"/>
      <c r="G480" s="4"/>
      <c r="H480" s="4"/>
      <c r="I480" s="4"/>
      <c r="J480" s="4"/>
      <c r="K480" s="4"/>
      <c r="L480" s="53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76"/>
      <c r="F481" s="53"/>
      <c r="G481" s="4"/>
      <c r="H481" s="4"/>
      <c r="I481" s="4"/>
      <c r="J481" s="4"/>
      <c r="K481" s="4"/>
      <c r="L481" s="53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76"/>
      <c r="F482" s="53"/>
      <c r="G482" s="4"/>
      <c r="H482" s="4"/>
      <c r="I482" s="4"/>
      <c r="J482" s="4"/>
      <c r="K482" s="4"/>
      <c r="L482" s="53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76"/>
      <c r="F483" s="53"/>
      <c r="G483" s="4"/>
      <c r="H483" s="4"/>
      <c r="I483" s="4"/>
      <c r="J483" s="4"/>
      <c r="K483" s="4"/>
      <c r="L483" s="53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76"/>
      <c r="F484" s="53"/>
      <c r="G484" s="4"/>
      <c r="H484" s="4"/>
      <c r="I484" s="4"/>
      <c r="J484" s="4"/>
      <c r="K484" s="4"/>
      <c r="L484" s="53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76"/>
      <c r="F485" s="53"/>
      <c r="G485" s="4"/>
      <c r="H485" s="4"/>
      <c r="I485" s="4"/>
      <c r="J485" s="4"/>
      <c r="K485" s="4"/>
      <c r="L485" s="53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76"/>
      <c r="F486" s="53"/>
      <c r="G486" s="4"/>
      <c r="H486" s="4"/>
      <c r="I486" s="4"/>
      <c r="J486" s="4"/>
      <c r="K486" s="4"/>
      <c r="L486" s="53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76"/>
      <c r="F487" s="53"/>
      <c r="G487" s="4"/>
      <c r="H487" s="4"/>
      <c r="I487" s="4"/>
      <c r="J487" s="4"/>
      <c r="K487" s="4"/>
      <c r="L487" s="53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76"/>
      <c r="F488" s="53"/>
      <c r="G488" s="4"/>
      <c r="H488" s="4"/>
      <c r="I488" s="4"/>
      <c r="J488" s="4"/>
      <c r="K488" s="4"/>
      <c r="L488" s="53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76"/>
      <c r="F489" s="53"/>
      <c r="G489" s="4"/>
      <c r="H489" s="4"/>
      <c r="I489" s="4"/>
      <c r="J489" s="4"/>
      <c r="K489" s="4"/>
      <c r="L489" s="53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76"/>
      <c r="F490" s="53"/>
      <c r="G490" s="4"/>
      <c r="H490" s="4"/>
      <c r="I490" s="4"/>
      <c r="J490" s="4"/>
      <c r="K490" s="4"/>
      <c r="L490" s="53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76"/>
      <c r="F491" s="53"/>
      <c r="G491" s="4"/>
      <c r="H491" s="4"/>
      <c r="I491" s="4"/>
      <c r="J491" s="4"/>
      <c r="K491" s="4"/>
      <c r="L491" s="53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76"/>
      <c r="F492" s="53"/>
      <c r="G492" s="4"/>
      <c r="H492" s="4"/>
      <c r="I492" s="4"/>
      <c r="J492" s="4"/>
      <c r="K492" s="4"/>
      <c r="L492" s="53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76"/>
      <c r="F493" s="53"/>
      <c r="G493" s="4"/>
      <c r="H493" s="4"/>
      <c r="I493" s="4"/>
      <c r="J493" s="4"/>
      <c r="K493" s="4"/>
      <c r="L493" s="53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76"/>
      <c r="F494" s="53"/>
      <c r="G494" s="4"/>
      <c r="H494" s="4"/>
      <c r="I494" s="4"/>
      <c r="J494" s="4"/>
      <c r="K494" s="4"/>
      <c r="L494" s="53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76"/>
      <c r="F495" s="53"/>
      <c r="G495" s="4"/>
      <c r="H495" s="4"/>
      <c r="I495" s="4"/>
      <c r="J495" s="4"/>
      <c r="K495" s="4"/>
      <c r="L495" s="53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76"/>
      <c r="F496" s="53"/>
      <c r="G496" s="4"/>
      <c r="H496" s="4"/>
      <c r="I496" s="4"/>
      <c r="J496" s="4"/>
      <c r="K496" s="4"/>
      <c r="L496" s="53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76"/>
      <c r="F497" s="53"/>
      <c r="G497" s="4"/>
      <c r="H497" s="4"/>
      <c r="I497" s="4"/>
      <c r="J497" s="4"/>
      <c r="K497" s="4"/>
      <c r="L497" s="53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76"/>
      <c r="F498" s="53"/>
      <c r="G498" s="4"/>
      <c r="H498" s="4"/>
      <c r="I498" s="4"/>
      <c r="J498" s="4"/>
      <c r="K498" s="4"/>
      <c r="L498" s="53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76"/>
      <c r="F499" s="53"/>
      <c r="G499" s="4"/>
      <c r="H499" s="4"/>
      <c r="I499" s="4"/>
      <c r="J499" s="4"/>
      <c r="K499" s="4"/>
      <c r="L499" s="53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76"/>
      <c r="F500" s="53"/>
      <c r="G500" s="4"/>
      <c r="H500" s="4"/>
      <c r="I500" s="4"/>
      <c r="J500" s="4"/>
      <c r="K500" s="4"/>
      <c r="L500" s="53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76"/>
      <c r="F501" s="53"/>
      <c r="G501" s="4"/>
      <c r="H501" s="4"/>
      <c r="I501" s="4"/>
      <c r="J501" s="4"/>
      <c r="K501" s="4"/>
      <c r="L501" s="53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76"/>
      <c r="F502" s="53"/>
      <c r="G502" s="4"/>
      <c r="H502" s="4"/>
      <c r="I502" s="4"/>
      <c r="J502" s="4"/>
      <c r="K502" s="4"/>
      <c r="L502" s="53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76"/>
      <c r="F503" s="53"/>
      <c r="G503" s="4"/>
      <c r="H503" s="4"/>
      <c r="I503" s="4"/>
      <c r="J503" s="4"/>
      <c r="K503" s="4"/>
      <c r="L503" s="53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76"/>
      <c r="F504" s="53"/>
      <c r="G504" s="4"/>
      <c r="H504" s="4"/>
      <c r="I504" s="4"/>
      <c r="J504" s="4"/>
      <c r="K504" s="4"/>
      <c r="L504" s="53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76"/>
      <c r="F505" s="53"/>
      <c r="G505" s="4"/>
      <c r="H505" s="4"/>
      <c r="I505" s="4"/>
      <c r="J505" s="4"/>
      <c r="K505" s="4"/>
      <c r="L505" s="53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76"/>
      <c r="F506" s="53"/>
      <c r="G506" s="4"/>
      <c r="H506" s="4"/>
      <c r="I506" s="4"/>
      <c r="J506" s="4"/>
      <c r="K506" s="4"/>
      <c r="L506" s="53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76"/>
      <c r="F507" s="53"/>
      <c r="G507" s="4"/>
      <c r="H507" s="4"/>
      <c r="I507" s="4"/>
      <c r="J507" s="4"/>
      <c r="K507" s="4"/>
      <c r="L507" s="53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76"/>
      <c r="F508" s="53"/>
      <c r="G508" s="4"/>
      <c r="H508" s="4"/>
      <c r="I508" s="4"/>
      <c r="J508" s="4"/>
      <c r="K508" s="4"/>
      <c r="L508" s="53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76"/>
      <c r="F509" s="53"/>
      <c r="G509" s="4"/>
      <c r="H509" s="4"/>
      <c r="I509" s="4"/>
      <c r="J509" s="4"/>
      <c r="K509" s="4"/>
      <c r="L509" s="53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76"/>
      <c r="F510" s="53"/>
      <c r="G510" s="4"/>
      <c r="H510" s="4"/>
      <c r="I510" s="4"/>
      <c r="J510" s="4"/>
      <c r="K510" s="4"/>
      <c r="L510" s="53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76"/>
      <c r="F511" s="53"/>
      <c r="G511" s="4"/>
      <c r="H511" s="4"/>
      <c r="I511" s="4"/>
      <c r="J511" s="4"/>
      <c r="K511" s="4"/>
      <c r="L511" s="53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76"/>
      <c r="F512" s="53"/>
      <c r="G512" s="4"/>
      <c r="H512" s="4"/>
      <c r="I512" s="4"/>
      <c r="J512" s="4"/>
      <c r="K512" s="4"/>
      <c r="L512" s="53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76"/>
      <c r="F513" s="53"/>
      <c r="G513" s="4"/>
      <c r="H513" s="4"/>
      <c r="I513" s="4"/>
      <c r="J513" s="4"/>
      <c r="K513" s="4"/>
      <c r="L513" s="53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76"/>
      <c r="F514" s="53"/>
      <c r="G514" s="4"/>
      <c r="H514" s="4"/>
      <c r="I514" s="4"/>
      <c r="J514" s="4"/>
      <c r="K514" s="4"/>
      <c r="L514" s="53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76"/>
      <c r="F515" s="53"/>
      <c r="G515" s="4"/>
      <c r="H515" s="4"/>
      <c r="I515" s="4"/>
      <c r="J515" s="4"/>
      <c r="K515" s="4"/>
      <c r="L515" s="53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76"/>
      <c r="F516" s="53"/>
      <c r="G516" s="4"/>
      <c r="H516" s="4"/>
      <c r="I516" s="4"/>
      <c r="J516" s="4"/>
      <c r="K516" s="4"/>
      <c r="L516" s="53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76"/>
      <c r="F517" s="53"/>
      <c r="G517" s="4"/>
      <c r="H517" s="4"/>
      <c r="I517" s="4"/>
      <c r="J517" s="4"/>
      <c r="K517" s="4"/>
      <c r="L517" s="53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76"/>
      <c r="F518" s="53"/>
      <c r="G518" s="4"/>
      <c r="H518" s="4"/>
      <c r="I518" s="4"/>
      <c r="J518" s="4"/>
      <c r="K518" s="4"/>
      <c r="L518" s="53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76"/>
      <c r="F519" s="53"/>
      <c r="G519" s="4"/>
      <c r="H519" s="4"/>
      <c r="I519" s="4"/>
      <c r="J519" s="4"/>
      <c r="K519" s="4"/>
      <c r="L519" s="53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76"/>
      <c r="F520" s="53"/>
      <c r="G520" s="4"/>
      <c r="H520" s="4"/>
      <c r="I520" s="4"/>
      <c r="J520" s="4"/>
      <c r="K520" s="4"/>
      <c r="L520" s="53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76"/>
      <c r="F521" s="53"/>
      <c r="G521" s="4"/>
      <c r="H521" s="4"/>
      <c r="I521" s="4"/>
      <c r="J521" s="4"/>
      <c r="K521" s="4"/>
      <c r="L521" s="53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76"/>
      <c r="F522" s="53"/>
      <c r="G522" s="4"/>
      <c r="H522" s="4"/>
      <c r="I522" s="4"/>
      <c r="J522" s="4"/>
      <c r="K522" s="4"/>
      <c r="L522" s="53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76"/>
      <c r="F523" s="53"/>
      <c r="G523" s="4"/>
      <c r="H523" s="4"/>
      <c r="I523" s="4"/>
      <c r="J523" s="4"/>
      <c r="K523" s="4"/>
      <c r="L523" s="53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76"/>
      <c r="F524" s="53"/>
      <c r="G524" s="4"/>
      <c r="H524" s="4"/>
      <c r="I524" s="4"/>
      <c r="J524" s="4"/>
      <c r="K524" s="4"/>
      <c r="L524" s="53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76"/>
      <c r="F525" s="53"/>
      <c r="G525" s="4"/>
      <c r="H525" s="4"/>
      <c r="I525" s="4"/>
      <c r="J525" s="4"/>
      <c r="K525" s="4"/>
      <c r="L525" s="53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76"/>
      <c r="F526" s="53"/>
      <c r="G526" s="4"/>
      <c r="H526" s="4"/>
      <c r="I526" s="4"/>
      <c r="J526" s="4"/>
      <c r="K526" s="4"/>
      <c r="L526" s="53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76"/>
      <c r="F527" s="53"/>
      <c r="G527" s="4"/>
      <c r="H527" s="4"/>
      <c r="I527" s="4"/>
      <c r="J527" s="4"/>
      <c r="K527" s="4"/>
      <c r="L527" s="53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76"/>
      <c r="F528" s="53"/>
      <c r="G528" s="4"/>
      <c r="H528" s="4"/>
      <c r="I528" s="4"/>
      <c r="J528" s="4"/>
      <c r="K528" s="4"/>
      <c r="L528" s="53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76"/>
      <c r="F529" s="53"/>
      <c r="G529" s="4"/>
      <c r="H529" s="4"/>
      <c r="I529" s="4"/>
      <c r="J529" s="4"/>
      <c r="K529" s="4"/>
      <c r="L529" s="53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76"/>
      <c r="F530" s="53"/>
      <c r="G530" s="4"/>
      <c r="H530" s="4"/>
      <c r="I530" s="4"/>
      <c r="J530" s="4"/>
      <c r="K530" s="4"/>
      <c r="L530" s="53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76"/>
      <c r="F531" s="53"/>
      <c r="G531" s="4"/>
      <c r="H531" s="4"/>
      <c r="I531" s="4"/>
      <c r="J531" s="4"/>
      <c r="K531" s="4"/>
      <c r="L531" s="53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76"/>
      <c r="F532" s="53"/>
      <c r="G532" s="4"/>
      <c r="H532" s="4"/>
      <c r="I532" s="4"/>
      <c r="J532" s="4"/>
      <c r="K532" s="4"/>
      <c r="L532" s="53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76"/>
      <c r="F533" s="53"/>
      <c r="G533" s="4"/>
      <c r="H533" s="4"/>
      <c r="I533" s="4"/>
      <c r="J533" s="4"/>
      <c r="K533" s="4"/>
      <c r="L533" s="53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76"/>
      <c r="F534" s="53"/>
      <c r="G534" s="4"/>
      <c r="H534" s="4"/>
      <c r="I534" s="4"/>
      <c r="J534" s="4"/>
      <c r="K534" s="4"/>
      <c r="L534" s="53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76"/>
      <c r="F535" s="53"/>
      <c r="G535" s="4"/>
      <c r="H535" s="4"/>
      <c r="I535" s="4"/>
      <c r="J535" s="4"/>
      <c r="K535" s="4"/>
      <c r="L535" s="53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76"/>
      <c r="F536" s="53"/>
      <c r="G536" s="4"/>
      <c r="H536" s="4"/>
      <c r="I536" s="4"/>
      <c r="J536" s="4"/>
      <c r="K536" s="4"/>
      <c r="L536" s="53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76"/>
      <c r="F537" s="53"/>
      <c r="G537" s="4"/>
      <c r="H537" s="4"/>
      <c r="I537" s="4"/>
      <c r="J537" s="4"/>
      <c r="K537" s="4"/>
      <c r="L537" s="53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76"/>
      <c r="F538" s="53"/>
      <c r="G538" s="4"/>
      <c r="H538" s="4"/>
      <c r="I538" s="4"/>
      <c r="J538" s="4"/>
      <c r="K538" s="4"/>
      <c r="L538" s="53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76"/>
      <c r="F539" s="53"/>
      <c r="G539" s="4"/>
      <c r="H539" s="4"/>
      <c r="I539" s="4"/>
      <c r="J539" s="4"/>
      <c r="K539" s="4"/>
      <c r="L539" s="53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76"/>
      <c r="F540" s="53"/>
      <c r="G540" s="4"/>
      <c r="H540" s="4"/>
      <c r="I540" s="4"/>
      <c r="J540" s="4"/>
      <c r="K540" s="4"/>
      <c r="L540" s="53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76"/>
      <c r="F541" s="53"/>
      <c r="G541" s="4"/>
      <c r="H541" s="4"/>
      <c r="I541" s="4"/>
      <c r="J541" s="4"/>
      <c r="K541" s="4"/>
      <c r="L541" s="53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76"/>
      <c r="F542" s="53"/>
      <c r="G542" s="4"/>
      <c r="H542" s="4"/>
      <c r="I542" s="4"/>
      <c r="J542" s="4"/>
      <c r="K542" s="4"/>
      <c r="L542" s="53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76"/>
      <c r="F543" s="53"/>
      <c r="G543" s="4"/>
      <c r="H543" s="4"/>
      <c r="I543" s="4"/>
      <c r="J543" s="4"/>
      <c r="K543" s="4"/>
      <c r="L543" s="53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76"/>
      <c r="F544" s="53"/>
      <c r="G544" s="4"/>
      <c r="H544" s="4"/>
      <c r="I544" s="4"/>
      <c r="J544" s="4"/>
      <c r="K544" s="4"/>
      <c r="L544" s="53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76"/>
      <c r="F545" s="53"/>
      <c r="G545" s="4"/>
      <c r="H545" s="4"/>
      <c r="I545" s="4"/>
      <c r="J545" s="4"/>
      <c r="K545" s="4"/>
      <c r="L545" s="53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76"/>
      <c r="F546" s="53"/>
      <c r="G546" s="4"/>
      <c r="H546" s="4"/>
      <c r="I546" s="4"/>
      <c r="J546" s="4"/>
      <c r="K546" s="4"/>
      <c r="L546" s="53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76"/>
      <c r="F547" s="53"/>
      <c r="G547" s="4"/>
      <c r="H547" s="4"/>
      <c r="I547" s="4"/>
      <c r="J547" s="4"/>
      <c r="K547" s="4"/>
      <c r="L547" s="53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76"/>
      <c r="F548" s="53"/>
      <c r="G548" s="4"/>
      <c r="H548" s="4"/>
      <c r="I548" s="4"/>
      <c r="J548" s="4"/>
      <c r="K548" s="4"/>
      <c r="L548" s="53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76"/>
      <c r="F549" s="53"/>
      <c r="G549" s="4"/>
      <c r="H549" s="4"/>
      <c r="I549" s="4"/>
      <c r="J549" s="4"/>
      <c r="K549" s="4"/>
      <c r="L549" s="53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76"/>
      <c r="F550" s="53"/>
      <c r="G550" s="4"/>
      <c r="H550" s="4"/>
      <c r="I550" s="4"/>
      <c r="J550" s="4"/>
      <c r="K550" s="4"/>
      <c r="L550" s="53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76"/>
      <c r="F551" s="53"/>
      <c r="G551" s="4"/>
      <c r="H551" s="4"/>
      <c r="I551" s="4"/>
      <c r="J551" s="4"/>
      <c r="K551" s="4"/>
      <c r="L551" s="53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76"/>
      <c r="F552" s="53"/>
      <c r="G552" s="4"/>
      <c r="H552" s="4"/>
      <c r="I552" s="4"/>
      <c r="J552" s="4"/>
      <c r="K552" s="4"/>
      <c r="L552" s="53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76"/>
      <c r="F553" s="53"/>
      <c r="G553" s="4"/>
      <c r="H553" s="4"/>
      <c r="I553" s="4"/>
      <c r="J553" s="4"/>
      <c r="K553" s="4"/>
      <c r="L553" s="53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76"/>
      <c r="F554" s="53"/>
      <c r="G554" s="4"/>
      <c r="H554" s="4"/>
      <c r="I554" s="4"/>
      <c r="J554" s="4"/>
      <c r="K554" s="4"/>
      <c r="L554" s="53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76"/>
      <c r="F555" s="53"/>
      <c r="G555" s="4"/>
      <c r="H555" s="4"/>
      <c r="I555" s="4"/>
      <c r="J555" s="4"/>
      <c r="K555" s="4"/>
      <c r="L555" s="53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76"/>
      <c r="F556" s="53"/>
      <c r="G556" s="4"/>
      <c r="H556" s="4"/>
      <c r="I556" s="4"/>
      <c r="J556" s="4"/>
      <c r="K556" s="4"/>
      <c r="L556" s="53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76"/>
      <c r="F557" s="53"/>
      <c r="G557" s="4"/>
      <c r="H557" s="4"/>
      <c r="I557" s="4"/>
      <c r="J557" s="4"/>
      <c r="K557" s="4"/>
      <c r="L557" s="53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76"/>
      <c r="F558" s="53"/>
      <c r="G558" s="4"/>
      <c r="H558" s="4"/>
      <c r="I558" s="4"/>
      <c r="J558" s="4"/>
      <c r="K558" s="4"/>
      <c r="L558" s="53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76"/>
      <c r="F559" s="53"/>
      <c r="G559" s="4"/>
      <c r="H559" s="4"/>
      <c r="I559" s="4"/>
      <c r="J559" s="4"/>
      <c r="K559" s="4"/>
      <c r="L559" s="53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76"/>
      <c r="F560" s="53"/>
      <c r="G560" s="4"/>
      <c r="H560" s="4"/>
      <c r="I560" s="4"/>
      <c r="J560" s="4"/>
      <c r="K560" s="4"/>
      <c r="L560" s="53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76"/>
      <c r="F561" s="53"/>
      <c r="G561" s="4"/>
      <c r="H561" s="4"/>
      <c r="I561" s="4"/>
      <c r="J561" s="4"/>
      <c r="K561" s="4"/>
      <c r="L561" s="53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76"/>
      <c r="F562" s="53"/>
      <c r="G562" s="4"/>
      <c r="H562" s="4"/>
      <c r="I562" s="4"/>
      <c r="J562" s="4"/>
      <c r="K562" s="4"/>
      <c r="L562" s="53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76"/>
      <c r="F563" s="53"/>
      <c r="G563" s="4"/>
      <c r="H563" s="4"/>
      <c r="I563" s="4"/>
      <c r="J563" s="4"/>
      <c r="K563" s="4"/>
      <c r="L563" s="53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76"/>
      <c r="F564" s="53"/>
      <c r="G564" s="4"/>
      <c r="H564" s="4"/>
      <c r="I564" s="4"/>
      <c r="J564" s="4"/>
      <c r="K564" s="4"/>
      <c r="L564" s="53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76"/>
      <c r="F565" s="53"/>
      <c r="G565" s="4"/>
      <c r="H565" s="4"/>
      <c r="I565" s="4"/>
      <c r="J565" s="4"/>
      <c r="K565" s="4"/>
      <c r="L565" s="53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76"/>
      <c r="F566" s="53"/>
      <c r="G566" s="4"/>
      <c r="H566" s="4"/>
      <c r="I566" s="4"/>
      <c r="J566" s="4"/>
      <c r="K566" s="4"/>
      <c r="L566" s="53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76"/>
      <c r="F567" s="53"/>
      <c r="G567" s="4"/>
      <c r="H567" s="4"/>
      <c r="I567" s="4"/>
      <c r="J567" s="4"/>
      <c r="K567" s="4"/>
      <c r="L567" s="53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76"/>
      <c r="F568" s="53"/>
      <c r="G568" s="4"/>
      <c r="H568" s="4"/>
      <c r="I568" s="4"/>
      <c r="J568" s="4"/>
      <c r="K568" s="4"/>
      <c r="L568" s="53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76"/>
      <c r="F569" s="53"/>
      <c r="G569" s="4"/>
      <c r="H569" s="4"/>
      <c r="I569" s="4"/>
      <c r="J569" s="4"/>
      <c r="K569" s="4"/>
      <c r="L569" s="53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76"/>
      <c r="F570" s="53"/>
      <c r="G570" s="4"/>
      <c r="H570" s="4"/>
      <c r="I570" s="4"/>
      <c r="J570" s="4"/>
      <c r="K570" s="4"/>
      <c r="L570" s="53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76"/>
      <c r="F571" s="53"/>
      <c r="G571" s="4"/>
      <c r="H571" s="4"/>
      <c r="I571" s="4"/>
      <c r="J571" s="4"/>
      <c r="K571" s="4"/>
      <c r="L571" s="53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76"/>
      <c r="F572" s="53"/>
      <c r="G572" s="4"/>
      <c r="H572" s="4"/>
      <c r="I572" s="4"/>
      <c r="J572" s="4"/>
      <c r="K572" s="4"/>
      <c r="L572" s="53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76"/>
      <c r="F573" s="53"/>
      <c r="G573" s="4"/>
      <c r="H573" s="4"/>
      <c r="I573" s="4"/>
      <c r="J573" s="4"/>
      <c r="K573" s="4"/>
      <c r="L573" s="53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76"/>
      <c r="F574" s="53"/>
      <c r="G574" s="4"/>
      <c r="H574" s="4"/>
      <c r="I574" s="4"/>
      <c r="J574" s="4"/>
      <c r="K574" s="4"/>
      <c r="L574" s="53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76"/>
      <c r="F575" s="53"/>
      <c r="G575" s="4"/>
      <c r="H575" s="4"/>
      <c r="I575" s="4"/>
      <c r="J575" s="4"/>
      <c r="K575" s="4"/>
      <c r="L575" s="53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76"/>
      <c r="F576" s="53"/>
      <c r="G576" s="4"/>
      <c r="H576" s="4"/>
      <c r="I576" s="4"/>
      <c r="J576" s="4"/>
      <c r="K576" s="4"/>
      <c r="L576" s="53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76"/>
      <c r="F577" s="53"/>
      <c r="G577" s="4"/>
      <c r="H577" s="4"/>
      <c r="I577" s="4"/>
      <c r="J577" s="4"/>
      <c r="K577" s="4"/>
      <c r="L577" s="53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76"/>
      <c r="F578" s="53"/>
      <c r="G578" s="4"/>
      <c r="H578" s="4"/>
      <c r="I578" s="4"/>
      <c r="J578" s="4"/>
      <c r="K578" s="4"/>
      <c r="L578" s="53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76"/>
      <c r="F579" s="53"/>
      <c r="G579" s="4"/>
      <c r="H579" s="4"/>
      <c r="I579" s="4"/>
      <c r="J579" s="4"/>
      <c r="K579" s="4"/>
      <c r="L579" s="53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76"/>
      <c r="F580" s="53"/>
      <c r="G580" s="4"/>
      <c r="H580" s="4"/>
      <c r="I580" s="4"/>
      <c r="J580" s="4"/>
      <c r="K580" s="4"/>
      <c r="L580" s="53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76"/>
      <c r="F581" s="53"/>
      <c r="G581" s="4"/>
      <c r="H581" s="4"/>
      <c r="I581" s="4"/>
      <c r="J581" s="4"/>
      <c r="K581" s="4"/>
      <c r="L581" s="53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76"/>
      <c r="F582" s="53"/>
      <c r="G582" s="4"/>
      <c r="H582" s="4"/>
      <c r="I582" s="4"/>
      <c r="J582" s="4"/>
      <c r="K582" s="4"/>
      <c r="L582" s="53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76"/>
      <c r="F583" s="53"/>
      <c r="G583" s="4"/>
      <c r="H583" s="4"/>
      <c r="I583" s="4"/>
      <c r="J583" s="4"/>
      <c r="K583" s="4"/>
      <c r="L583" s="53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76"/>
      <c r="F584" s="53"/>
      <c r="G584" s="4"/>
      <c r="H584" s="4"/>
      <c r="I584" s="4"/>
      <c r="J584" s="4"/>
      <c r="K584" s="4"/>
      <c r="L584" s="53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76"/>
      <c r="F585" s="53"/>
      <c r="G585" s="4"/>
      <c r="H585" s="4"/>
      <c r="I585" s="4"/>
      <c r="J585" s="4"/>
      <c r="K585" s="4"/>
      <c r="L585" s="53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76"/>
      <c r="F586" s="53"/>
      <c r="G586" s="4"/>
      <c r="H586" s="4"/>
      <c r="I586" s="4"/>
      <c r="J586" s="4"/>
      <c r="K586" s="4"/>
      <c r="L586" s="53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76"/>
      <c r="F587" s="53"/>
      <c r="G587" s="4"/>
      <c r="H587" s="4"/>
      <c r="I587" s="4"/>
      <c r="J587" s="4"/>
      <c r="K587" s="4"/>
      <c r="L587" s="53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76"/>
      <c r="F588" s="53"/>
      <c r="G588" s="4"/>
      <c r="H588" s="4"/>
      <c r="I588" s="4"/>
      <c r="J588" s="4"/>
      <c r="K588" s="4"/>
      <c r="L588" s="53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76"/>
      <c r="F589" s="53"/>
      <c r="G589" s="4"/>
      <c r="H589" s="4"/>
      <c r="I589" s="4"/>
      <c r="J589" s="4"/>
      <c r="K589" s="4"/>
      <c r="L589" s="53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76"/>
      <c r="F590" s="53"/>
      <c r="G590" s="4"/>
      <c r="H590" s="4"/>
      <c r="I590" s="4"/>
      <c r="J590" s="4"/>
      <c r="K590" s="4"/>
      <c r="L590" s="53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76"/>
      <c r="F591" s="53"/>
      <c r="G591" s="4"/>
      <c r="H591" s="4"/>
      <c r="I591" s="4"/>
      <c r="J591" s="4"/>
      <c r="K591" s="4"/>
      <c r="L591" s="53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76"/>
      <c r="F592" s="53"/>
      <c r="G592" s="4"/>
      <c r="H592" s="4"/>
      <c r="I592" s="4"/>
      <c r="J592" s="4"/>
      <c r="K592" s="4"/>
      <c r="L592" s="53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76"/>
      <c r="F593" s="53"/>
      <c r="G593" s="4"/>
      <c r="H593" s="4"/>
      <c r="I593" s="4"/>
      <c r="J593" s="4"/>
      <c r="K593" s="4"/>
      <c r="L593" s="53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76"/>
      <c r="F594" s="53"/>
      <c r="G594" s="4"/>
      <c r="H594" s="4"/>
      <c r="I594" s="4"/>
      <c r="J594" s="4"/>
      <c r="K594" s="4"/>
      <c r="L594" s="53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76"/>
      <c r="F595" s="53"/>
      <c r="G595" s="4"/>
      <c r="H595" s="4"/>
      <c r="I595" s="4"/>
      <c r="J595" s="4"/>
      <c r="K595" s="4"/>
      <c r="L595" s="53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76"/>
      <c r="F596" s="53"/>
      <c r="G596" s="4"/>
      <c r="H596" s="4"/>
      <c r="I596" s="4"/>
      <c r="J596" s="4"/>
      <c r="K596" s="4"/>
      <c r="L596" s="53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76"/>
      <c r="F597" s="53"/>
      <c r="G597" s="4"/>
      <c r="H597" s="4"/>
      <c r="I597" s="4"/>
      <c r="J597" s="4"/>
      <c r="K597" s="4"/>
      <c r="L597" s="53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76"/>
      <c r="F598" s="53"/>
      <c r="G598" s="4"/>
      <c r="H598" s="4"/>
      <c r="I598" s="4"/>
      <c r="J598" s="4"/>
      <c r="K598" s="4"/>
      <c r="L598" s="53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76"/>
      <c r="F599" s="53"/>
      <c r="G599" s="4"/>
      <c r="H599" s="4"/>
      <c r="I599" s="4"/>
      <c r="J599" s="4"/>
      <c r="K599" s="4"/>
      <c r="L599" s="53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76"/>
      <c r="F600" s="53"/>
      <c r="G600" s="4"/>
      <c r="H600" s="4"/>
      <c r="I600" s="4"/>
      <c r="J600" s="4"/>
      <c r="K600" s="4"/>
      <c r="L600" s="53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76"/>
      <c r="F601" s="53"/>
      <c r="G601" s="4"/>
      <c r="H601" s="4"/>
      <c r="I601" s="4"/>
      <c r="J601" s="4"/>
      <c r="K601" s="4"/>
      <c r="L601" s="53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76"/>
      <c r="F602" s="53"/>
      <c r="G602" s="4"/>
      <c r="H602" s="4"/>
      <c r="I602" s="4"/>
      <c r="J602" s="4"/>
      <c r="K602" s="4"/>
      <c r="L602" s="53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76"/>
      <c r="F603" s="53"/>
      <c r="G603" s="4"/>
      <c r="H603" s="4"/>
      <c r="I603" s="4"/>
      <c r="J603" s="4"/>
      <c r="K603" s="4"/>
      <c r="L603" s="53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76"/>
      <c r="F604" s="53"/>
      <c r="G604" s="4"/>
      <c r="H604" s="4"/>
      <c r="I604" s="4"/>
      <c r="J604" s="4"/>
      <c r="K604" s="4"/>
      <c r="L604" s="53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76"/>
      <c r="F605" s="53"/>
      <c r="G605" s="4"/>
      <c r="H605" s="4"/>
      <c r="I605" s="4"/>
      <c r="J605" s="4"/>
      <c r="K605" s="4"/>
      <c r="L605" s="53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76"/>
      <c r="F606" s="53"/>
      <c r="G606" s="4"/>
      <c r="H606" s="4"/>
      <c r="I606" s="4"/>
      <c r="J606" s="4"/>
      <c r="K606" s="4"/>
      <c r="L606" s="53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76"/>
      <c r="F607" s="53"/>
      <c r="G607" s="4"/>
      <c r="H607" s="4"/>
      <c r="I607" s="4"/>
      <c r="J607" s="4"/>
      <c r="K607" s="4"/>
      <c r="L607" s="53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76"/>
      <c r="F608" s="53"/>
      <c r="G608" s="4"/>
      <c r="H608" s="4"/>
      <c r="I608" s="4"/>
      <c r="J608" s="4"/>
      <c r="K608" s="4"/>
      <c r="L608" s="53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76"/>
      <c r="F609" s="53"/>
      <c r="G609" s="4"/>
      <c r="H609" s="4"/>
      <c r="I609" s="4"/>
      <c r="J609" s="4"/>
      <c r="K609" s="4"/>
      <c r="L609" s="53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76"/>
      <c r="F610" s="53"/>
      <c r="G610" s="4"/>
      <c r="H610" s="4"/>
      <c r="I610" s="4"/>
      <c r="J610" s="4"/>
      <c r="K610" s="4"/>
      <c r="L610" s="53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76"/>
      <c r="F611" s="53"/>
      <c r="G611" s="4"/>
      <c r="H611" s="4"/>
      <c r="I611" s="4"/>
      <c r="J611" s="4"/>
      <c r="K611" s="4"/>
      <c r="L611" s="53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76"/>
      <c r="F612" s="53"/>
      <c r="G612" s="4"/>
      <c r="H612" s="4"/>
      <c r="I612" s="4"/>
      <c r="J612" s="4"/>
      <c r="K612" s="4"/>
      <c r="L612" s="53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76"/>
      <c r="F613" s="53"/>
      <c r="G613" s="4"/>
      <c r="H613" s="4"/>
      <c r="I613" s="4"/>
      <c r="J613" s="4"/>
      <c r="K613" s="4"/>
      <c r="L613" s="53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76"/>
      <c r="F614" s="53"/>
      <c r="G614" s="4"/>
      <c r="H614" s="4"/>
      <c r="I614" s="4"/>
      <c r="J614" s="4"/>
      <c r="K614" s="4"/>
      <c r="L614" s="53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76"/>
      <c r="F615" s="53"/>
      <c r="G615" s="4"/>
      <c r="H615" s="4"/>
      <c r="I615" s="4"/>
      <c r="J615" s="4"/>
      <c r="K615" s="4"/>
      <c r="L615" s="53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76"/>
      <c r="F616" s="53"/>
      <c r="G616" s="4"/>
      <c r="H616" s="4"/>
      <c r="I616" s="4"/>
      <c r="J616" s="4"/>
      <c r="K616" s="4"/>
      <c r="L616" s="53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76"/>
      <c r="F617" s="53"/>
      <c r="G617" s="4"/>
      <c r="H617" s="4"/>
      <c r="I617" s="4"/>
      <c r="J617" s="4"/>
      <c r="K617" s="4"/>
      <c r="L617" s="53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76"/>
      <c r="F618" s="53"/>
      <c r="G618" s="4"/>
      <c r="H618" s="4"/>
      <c r="I618" s="4"/>
      <c r="J618" s="4"/>
      <c r="K618" s="4"/>
      <c r="L618" s="53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76"/>
      <c r="F619" s="53"/>
      <c r="G619" s="4"/>
      <c r="H619" s="4"/>
      <c r="I619" s="4"/>
      <c r="J619" s="4"/>
      <c r="K619" s="4"/>
      <c r="L619" s="53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76"/>
      <c r="F620" s="53"/>
      <c r="G620" s="4"/>
      <c r="H620" s="4"/>
      <c r="I620" s="4"/>
      <c r="J620" s="4"/>
      <c r="K620" s="4"/>
      <c r="L620" s="53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76"/>
      <c r="F621" s="53"/>
      <c r="G621" s="4"/>
      <c r="H621" s="4"/>
      <c r="I621" s="4"/>
      <c r="J621" s="4"/>
      <c r="K621" s="4"/>
      <c r="L621" s="53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76"/>
      <c r="F622" s="53"/>
      <c r="G622" s="4"/>
      <c r="H622" s="4"/>
      <c r="I622" s="4"/>
      <c r="J622" s="4"/>
      <c r="K622" s="4"/>
      <c r="L622" s="53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76"/>
      <c r="F623" s="53"/>
      <c r="G623" s="4"/>
      <c r="H623" s="4"/>
      <c r="I623" s="4"/>
      <c r="J623" s="4"/>
      <c r="K623" s="4"/>
      <c r="L623" s="53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76"/>
      <c r="F624" s="53"/>
      <c r="G624" s="4"/>
      <c r="H624" s="4"/>
      <c r="I624" s="4"/>
      <c r="J624" s="4"/>
      <c r="K624" s="4"/>
      <c r="L624" s="53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76"/>
      <c r="F625" s="53"/>
      <c r="G625" s="4"/>
      <c r="H625" s="4"/>
      <c r="I625" s="4"/>
      <c r="J625" s="4"/>
      <c r="K625" s="4"/>
      <c r="L625" s="53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76"/>
      <c r="F626" s="53"/>
      <c r="G626" s="4"/>
      <c r="H626" s="4"/>
      <c r="I626" s="4"/>
      <c r="J626" s="4"/>
      <c r="K626" s="4"/>
      <c r="L626" s="53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76"/>
      <c r="F627" s="53"/>
      <c r="G627" s="4"/>
      <c r="H627" s="4"/>
      <c r="I627" s="4"/>
      <c r="J627" s="4"/>
      <c r="K627" s="4"/>
      <c r="L627" s="53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76"/>
      <c r="F628" s="53"/>
      <c r="G628" s="4"/>
      <c r="H628" s="4"/>
      <c r="I628" s="4"/>
      <c r="J628" s="4"/>
      <c r="K628" s="4"/>
      <c r="L628" s="53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76"/>
      <c r="F629" s="53"/>
      <c r="G629" s="4"/>
      <c r="H629" s="4"/>
      <c r="I629" s="4"/>
      <c r="J629" s="4"/>
      <c r="K629" s="4"/>
      <c r="L629" s="53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76"/>
      <c r="F630" s="53"/>
      <c r="G630" s="4"/>
      <c r="H630" s="4"/>
      <c r="I630" s="4"/>
      <c r="J630" s="4"/>
      <c r="K630" s="4"/>
      <c r="L630" s="53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76"/>
      <c r="F631" s="53"/>
      <c r="G631" s="4"/>
      <c r="H631" s="4"/>
      <c r="I631" s="4"/>
      <c r="J631" s="4"/>
      <c r="K631" s="4"/>
      <c r="L631" s="53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76"/>
      <c r="F632" s="53"/>
      <c r="G632" s="4"/>
      <c r="H632" s="4"/>
      <c r="I632" s="4"/>
      <c r="J632" s="4"/>
      <c r="K632" s="4"/>
      <c r="L632" s="53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76"/>
      <c r="F633" s="53"/>
      <c r="G633" s="4"/>
      <c r="H633" s="4"/>
      <c r="I633" s="4"/>
      <c r="J633" s="4"/>
      <c r="K633" s="4"/>
      <c r="L633" s="53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76"/>
      <c r="F634" s="53"/>
      <c r="G634" s="4"/>
      <c r="H634" s="4"/>
      <c r="I634" s="4"/>
      <c r="J634" s="4"/>
      <c r="K634" s="4"/>
      <c r="L634" s="53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76"/>
      <c r="F635" s="53"/>
      <c r="G635" s="4"/>
      <c r="H635" s="4"/>
      <c r="I635" s="4"/>
      <c r="J635" s="4"/>
      <c r="K635" s="4"/>
      <c r="L635" s="53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76"/>
      <c r="F636" s="53"/>
      <c r="G636" s="4"/>
      <c r="H636" s="4"/>
      <c r="I636" s="4"/>
      <c r="J636" s="4"/>
      <c r="K636" s="4"/>
      <c r="L636" s="53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76"/>
      <c r="F637" s="53"/>
      <c r="G637" s="4"/>
      <c r="H637" s="4"/>
      <c r="I637" s="4"/>
      <c r="J637" s="4"/>
      <c r="K637" s="4"/>
      <c r="L637" s="53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76"/>
      <c r="F638" s="53"/>
      <c r="G638" s="4"/>
      <c r="H638" s="4"/>
      <c r="I638" s="4"/>
      <c r="J638" s="4"/>
      <c r="K638" s="4"/>
      <c r="L638" s="53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76"/>
      <c r="F639" s="53"/>
      <c r="G639" s="4"/>
      <c r="H639" s="4"/>
      <c r="I639" s="4"/>
      <c r="J639" s="4"/>
      <c r="K639" s="4"/>
      <c r="L639" s="53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76"/>
      <c r="F640" s="53"/>
      <c r="G640" s="4"/>
      <c r="H640" s="4"/>
      <c r="I640" s="4"/>
      <c r="J640" s="4"/>
      <c r="K640" s="4"/>
      <c r="L640" s="53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76"/>
      <c r="F641" s="53"/>
      <c r="G641" s="4"/>
      <c r="H641" s="4"/>
      <c r="I641" s="4"/>
      <c r="J641" s="4"/>
      <c r="K641" s="4"/>
      <c r="L641" s="53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76"/>
      <c r="F642" s="53"/>
      <c r="G642" s="4"/>
      <c r="H642" s="4"/>
      <c r="I642" s="4"/>
      <c r="J642" s="4"/>
      <c r="K642" s="4"/>
      <c r="L642" s="53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76"/>
      <c r="F643" s="53"/>
      <c r="G643" s="4"/>
      <c r="H643" s="4"/>
      <c r="I643" s="4"/>
      <c r="J643" s="4"/>
      <c r="K643" s="4"/>
      <c r="L643" s="53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76"/>
      <c r="F644" s="53"/>
      <c r="G644" s="4"/>
      <c r="H644" s="4"/>
      <c r="I644" s="4"/>
      <c r="J644" s="4"/>
      <c r="K644" s="4"/>
      <c r="L644" s="53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76"/>
      <c r="F645" s="53"/>
      <c r="G645" s="4"/>
      <c r="H645" s="4"/>
      <c r="I645" s="4"/>
      <c r="J645" s="4"/>
      <c r="K645" s="4"/>
      <c r="L645" s="53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76"/>
      <c r="F646" s="53"/>
      <c r="G646" s="4"/>
      <c r="H646" s="4"/>
      <c r="I646" s="4"/>
      <c r="J646" s="4"/>
      <c r="K646" s="4"/>
      <c r="L646" s="53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76"/>
      <c r="F647" s="53"/>
      <c r="G647" s="4"/>
      <c r="H647" s="4"/>
      <c r="I647" s="4"/>
      <c r="J647" s="4"/>
      <c r="K647" s="4"/>
      <c r="L647" s="53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76"/>
      <c r="F648" s="53"/>
      <c r="G648" s="4"/>
      <c r="H648" s="4"/>
      <c r="I648" s="4"/>
      <c r="J648" s="4"/>
      <c r="K648" s="4"/>
      <c r="L648" s="53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76"/>
      <c r="F649" s="53"/>
      <c r="G649" s="4"/>
      <c r="H649" s="4"/>
      <c r="I649" s="4"/>
      <c r="J649" s="4"/>
      <c r="K649" s="4"/>
      <c r="L649" s="53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76"/>
      <c r="F650" s="53"/>
      <c r="G650" s="4"/>
      <c r="H650" s="4"/>
      <c r="I650" s="4"/>
      <c r="J650" s="4"/>
      <c r="K650" s="4"/>
      <c r="L650" s="53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76"/>
      <c r="F651" s="53"/>
      <c r="G651" s="4"/>
      <c r="H651" s="4"/>
      <c r="I651" s="4"/>
      <c r="J651" s="4"/>
      <c r="K651" s="4"/>
      <c r="L651" s="53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76"/>
      <c r="F652" s="53"/>
      <c r="G652" s="4"/>
      <c r="H652" s="4"/>
      <c r="I652" s="4"/>
      <c r="J652" s="4"/>
      <c r="K652" s="4"/>
      <c r="L652" s="53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76"/>
      <c r="F653" s="53"/>
      <c r="G653" s="4"/>
      <c r="H653" s="4"/>
      <c r="I653" s="4"/>
      <c r="J653" s="4"/>
      <c r="K653" s="4"/>
      <c r="L653" s="53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76"/>
      <c r="F654" s="53"/>
      <c r="G654" s="4"/>
      <c r="H654" s="4"/>
      <c r="I654" s="4"/>
      <c r="J654" s="4"/>
      <c r="K654" s="4"/>
      <c r="L654" s="53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76"/>
      <c r="F655" s="53"/>
      <c r="G655" s="4"/>
      <c r="H655" s="4"/>
      <c r="I655" s="4"/>
      <c r="J655" s="4"/>
      <c r="K655" s="4"/>
      <c r="L655" s="53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76"/>
      <c r="F656" s="53"/>
      <c r="G656" s="4"/>
      <c r="H656" s="4"/>
      <c r="I656" s="4"/>
      <c r="J656" s="4"/>
      <c r="K656" s="4"/>
      <c r="L656" s="53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76"/>
      <c r="F657" s="53"/>
      <c r="G657" s="4"/>
      <c r="H657" s="4"/>
      <c r="I657" s="4"/>
      <c r="J657" s="4"/>
      <c r="K657" s="4"/>
      <c r="L657" s="53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76"/>
      <c r="F658" s="53"/>
      <c r="G658" s="4"/>
      <c r="H658" s="4"/>
      <c r="I658" s="4"/>
      <c r="J658" s="4"/>
      <c r="K658" s="4"/>
      <c r="L658" s="53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76"/>
      <c r="F659" s="53"/>
      <c r="G659" s="4"/>
      <c r="H659" s="4"/>
      <c r="I659" s="4"/>
      <c r="J659" s="4"/>
      <c r="K659" s="4"/>
      <c r="L659" s="53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76"/>
      <c r="F660" s="53"/>
      <c r="G660" s="4"/>
      <c r="H660" s="4"/>
      <c r="I660" s="4"/>
      <c r="J660" s="4"/>
      <c r="K660" s="4"/>
      <c r="L660" s="53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76"/>
      <c r="F661" s="53"/>
      <c r="G661" s="4"/>
      <c r="H661" s="4"/>
      <c r="I661" s="4"/>
      <c r="J661" s="4"/>
      <c r="K661" s="4"/>
      <c r="L661" s="53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76"/>
      <c r="F662" s="53"/>
      <c r="G662" s="4"/>
      <c r="H662" s="4"/>
      <c r="I662" s="4"/>
      <c r="J662" s="4"/>
      <c r="K662" s="4"/>
      <c r="L662" s="53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76"/>
      <c r="F663" s="53"/>
      <c r="G663" s="4"/>
      <c r="H663" s="4"/>
      <c r="I663" s="4"/>
      <c r="J663" s="4"/>
      <c r="K663" s="4"/>
      <c r="L663" s="53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76"/>
      <c r="F664" s="53"/>
      <c r="G664" s="4"/>
      <c r="H664" s="4"/>
      <c r="I664" s="4"/>
      <c r="J664" s="4"/>
      <c r="K664" s="4"/>
      <c r="L664" s="53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76"/>
      <c r="F665" s="53"/>
      <c r="G665" s="4"/>
      <c r="H665" s="4"/>
      <c r="I665" s="4"/>
      <c r="J665" s="4"/>
      <c r="K665" s="4"/>
      <c r="L665" s="53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76"/>
      <c r="F666" s="53"/>
      <c r="G666" s="4"/>
      <c r="H666" s="4"/>
      <c r="I666" s="4"/>
      <c r="J666" s="4"/>
      <c r="K666" s="4"/>
      <c r="L666" s="53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76"/>
      <c r="F667" s="53"/>
      <c r="G667" s="4"/>
      <c r="H667" s="4"/>
      <c r="I667" s="4"/>
      <c r="J667" s="4"/>
      <c r="K667" s="4"/>
      <c r="L667" s="53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76"/>
      <c r="F668" s="53"/>
      <c r="G668" s="4"/>
      <c r="H668" s="4"/>
      <c r="I668" s="4"/>
      <c r="J668" s="4"/>
      <c r="K668" s="4"/>
      <c r="L668" s="53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76"/>
      <c r="F669" s="53"/>
      <c r="G669" s="4"/>
      <c r="H669" s="4"/>
      <c r="I669" s="4"/>
      <c r="J669" s="4"/>
      <c r="K669" s="4"/>
      <c r="L669" s="53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76"/>
      <c r="F670" s="53"/>
      <c r="G670" s="4"/>
      <c r="H670" s="4"/>
      <c r="I670" s="4"/>
      <c r="J670" s="4"/>
      <c r="K670" s="4"/>
      <c r="L670" s="53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76"/>
      <c r="F671" s="53"/>
      <c r="G671" s="4"/>
      <c r="H671" s="4"/>
      <c r="I671" s="4"/>
      <c r="J671" s="4"/>
      <c r="K671" s="4"/>
      <c r="L671" s="53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76"/>
      <c r="F672" s="53"/>
      <c r="G672" s="4"/>
      <c r="H672" s="4"/>
      <c r="I672" s="4"/>
      <c r="J672" s="4"/>
      <c r="K672" s="4"/>
      <c r="L672" s="53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76"/>
      <c r="F673" s="53"/>
      <c r="G673" s="4"/>
      <c r="H673" s="4"/>
      <c r="I673" s="4"/>
      <c r="J673" s="4"/>
      <c r="K673" s="4"/>
      <c r="L673" s="53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76"/>
      <c r="F674" s="53"/>
      <c r="G674" s="4"/>
      <c r="H674" s="4"/>
      <c r="I674" s="4"/>
      <c r="J674" s="4"/>
      <c r="K674" s="4"/>
      <c r="L674" s="53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76"/>
      <c r="F675" s="53"/>
      <c r="G675" s="4"/>
      <c r="H675" s="4"/>
      <c r="I675" s="4"/>
      <c r="J675" s="4"/>
      <c r="K675" s="4"/>
      <c r="L675" s="53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76"/>
      <c r="F676" s="53"/>
      <c r="G676" s="4"/>
      <c r="H676" s="4"/>
      <c r="I676" s="4"/>
      <c r="J676" s="4"/>
      <c r="K676" s="4"/>
      <c r="L676" s="53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76"/>
      <c r="F677" s="53"/>
      <c r="G677" s="4"/>
      <c r="H677" s="4"/>
      <c r="I677" s="4"/>
      <c r="J677" s="4"/>
      <c r="K677" s="4"/>
      <c r="L677" s="53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76"/>
      <c r="F678" s="53"/>
      <c r="G678" s="4"/>
      <c r="H678" s="4"/>
      <c r="I678" s="4"/>
      <c r="J678" s="4"/>
      <c r="K678" s="4"/>
      <c r="L678" s="53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76"/>
      <c r="F679" s="53"/>
      <c r="G679" s="4"/>
      <c r="H679" s="4"/>
      <c r="I679" s="4"/>
      <c r="J679" s="4"/>
      <c r="K679" s="4"/>
      <c r="L679" s="53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76"/>
      <c r="F680" s="53"/>
      <c r="G680" s="4"/>
      <c r="H680" s="4"/>
      <c r="I680" s="4"/>
      <c r="J680" s="4"/>
      <c r="K680" s="4"/>
      <c r="L680" s="53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76"/>
      <c r="F681" s="53"/>
      <c r="G681" s="4"/>
      <c r="H681" s="4"/>
      <c r="I681" s="4"/>
      <c r="J681" s="4"/>
      <c r="K681" s="4"/>
      <c r="L681" s="53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76"/>
      <c r="F682" s="53"/>
      <c r="G682" s="4"/>
      <c r="H682" s="4"/>
      <c r="I682" s="4"/>
      <c r="J682" s="4"/>
      <c r="K682" s="4"/>
      <c r="L682" s="53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76"/>
      <c r="F683" s="53"/>
      <c r="G683" s="4"/>
      <c r="H683" s="4"/>
      <c r="I683" s="4"/>
      <c r="J683" s="4"/>
      <c r="K683" s="4"/>
      <c r="L683" s="53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76"/>
      <c r="F684" s="53"/>
      <c r="G684" s="4"/>
      <c r="H684" s="4"/>
      <c r="I684" s="4"/>
      <c r="J684" s="4"/>
      <c r="K684" s="4"/>
      <c r="L684" s="53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76"/>
      <c r="F685" s="53"/>
      <c r="G685" s="4"/>
      <c r="H685" s="4"/>
      <c r="I685" s="4"/>
      <c r="J685" s="4"/>
      <c r="K685" s="4"/>
      <c r="L685" s="53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76"/>
      <c r="F686" s="53"/>
      <c r="G686" s="4"/>
      <c r="H686" s="4"/>
      <c r="I686" s="4"/>
      <c r="J686" s="4"/>
      <c r="K686" s="4"/>
      <c r="L686" s="53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76"/>
      <c r="F687" s="53"/>
      <c r="G687" s="4"/>
      <c r="H687" s="4"/>
      <c r="I687" s="4"/>
      <c r="J687" s="4"/>
      <c r="K687" s="4"/>
      <c r="L687" s="53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76"/>
      <c r="F688" s="53"/>
      <c r="G688" s="4"/>
      <c r="H688" s="4"/>
      <c r="I688" s="4"/>
      <c r="J688" s="4"/>
      <c r="K688" s="4"/>
      <c r="L688" s="53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76"/>
      <c r="F689" s="53"/>
      <c r="G689" s="4"/>
      <c r="H689" s="4"/>
      <c r="I689" s="4"/>
      <c r="J689" s="4"/>
      <c r="K689" s="4"/>
      <c r="L689" s="53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76"/>
      <c r="F690" s="53"/>
      <c r="G690" s="4"/>
      <c r="H690" s="4"/>
      <c r="I690" s="4"/>
      <c r="J690" s="4"/>
      <c r="K690" s="4"/>
      <c r="L690" s="53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76"/>
      <c r="F691" s="53"/>
      <c r="G691" s="4"/>
      <c r="H691" s="4"/>
      <c r="I691" s="4"/>
      <c r="J691" s="4"/>
      <c r="K691" s="4"/>
      <c r="L691" s="53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76"/>
      <c r="F692" s="53"/>
      <c r="G692" s="4"/>
      <c r="H692" s="4"/>
      <c r="I692" s="4"/>
      <c r="J692" s="4"/>
      <c r="K692" s="4"/>
      <c r="L692" s="53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76"/>
      <c r="F693" s="53"/>
      <c r="G693" s="4"/>
      <c r="H693" s="4"/>
      <c r="I693" s="4"/>
      <c r="J693" s="4"/>
      <c r="K693" s="4"/>
      <c r="L693" s="53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76"/>
      <c r="F694" s="53"/>
      <c r="G694" s="4"/>
      <c r="H694" s="4"/>
      <c r="I694" s="4"/>
      <c r="J694" s="4"/>
      <c r="K694" s="4"/>
      <c r="L694" s="53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76"/>
      <c r="F695" s="53"/>
      <c r="G695" s="4"/>
      <c r="H695" s="4"/>
      <c r="I695" s="4"/>
      <c r="J695" s="4"/>
      <c r="K695" s="4"/>
      <c r="L695" s="53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76"/>
      <c r="F696" s="53"/>
      <c r="G696" s="4"/>
      <c r="H696" s="4"/>
      <c r="I696" s="4"/>
      <c r="J696" s="4"/>
      <c r="K696" s="4"/>
      <c r="L696" s="53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76"/>
      <c r="F697" s="53"/>
      <c r="G697" s="4"/>
      <c r="H697" s="4"/>
      <c r="I697" s="4"/>
      <c r="J697" s="4"/>
      <c r="K697" s="4"/>
      <c r="L697" s="53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76"/>
      <c r="F698" s="53"/>
      <c r="G698" s="4"/>
      <c r="H698" s="4"/>
      <c r="I698" s="4"/>
      <c r="J698" s="4"/>
      <c r="K698" s="4"/>
      <c r="L698" s="53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76"/>
      <c r="F699" s="53"/>
      <c r="G699" s="4"/>
      <c r="H699" s="4"/>
      <c r="I699" s="4"/>
      <c r="J699" s="4"/>
      <c r="K699" s="4"/>
      <c r="L699" s="53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76"/>
      <c r="F700" s="53"/>
      <c r="G700" s="4"/>
      <c r="H700" s="4"/>
      <c r="I700" s="4"/>
      <c r="J700" s="4"/>
      <c r="K700" s="4"/>
      <c r="L700" s="53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76"/>
      <c r="F701" s="53"/>
      <c r="G701" s="4"/>
      <c r="H701" s="4"/>
      <c r="I701" s="4"/>
      <c r="J701" s="4"/>
      <c r="K701" s="4"/>
      <c r="L701" s="53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76"/>
      <c r="F702" s="53"/>
      <c r="G702" s="4"/>
      <c r="H702" s="4"/>
      <c r="I702" s="4"/>
      <c r="J702" s="4"/>
      <c r="K702" s="4"/>
      <c r="L702" s="53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76"/>
      <c r="F703" s="53"/>
      <c r="G703" s="4"/>
      <c r="H703" s="4"/>
      <c r="I703" s="4"/>
      <c r="J703" s="4"/>
      <c r="K703" s="4"/>
      <c r="L703" s="53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76"/>
      <c r="F704" s="53"/>
      <c r="G704" s="4"/>
      <c r="H704" s="4"/>
      <c r="I704" s="4"/>
      <c r="J704" s="4"/>
      <c r="K704" s="4"/>
      <c r="L704" s="53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76"/>
      <c r="F705" s="53"/>
      <c r="G705" s="4"/>
      <c r="H705" s="4"/>
      <c r="I705" s="4"/>
      <c r="J705" s="4"/>
      <c r="K705" s="4"/>
      <c r="L705" s="53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76"/>
      <c r="F706" s="53"/>
      <c r="G706" s="4"/>
      <c r="H706" s="4"/>
      <c r="I706" s="4"/>
      <c r="J706" s="4"/>
      <c r="K706" s="4"/>
      <c r="L706" s="53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76"/>
      <c r="F707" s="53"/>
      <c r="G707" s="4"/>
      <c r="H707" s="4"/>
      <c r="I707" s="4"/>
      <c r="J707" s="4"/>
      <c r="K707" s="4"/>
      <c r="L707" s="53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76"/>
      <c r="F708" s="53"/>
      <c r="G708" s="4"/>
      <c r="H708" s="4"/>
      <c r="I708" s="4"/>
      <c r="J708" s="4"/>
      <c r="K708" s="4"/>
      <c r="L708" s="53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76"/>
      <c r="F709" s="53"/>
      <c r="G709" s="4"/>
      <c r="H709" s="4"/>
      <c r="I709" s="4"/>
      <c r="J709" s="4"/>
      <c r="K709" s="4"/>
      <c r="L709" s="53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76"/>
      <c r="F710" s="53"/>
      <c r="G710" s="4"/>
      <c r="H710" s="4"/>
      <c r="I710" s="4"/>
      <c r="J710" s="4"/>
      <c r="K710" s="4"/>
      <c r="L710" s="53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76"/>
      <c r="F711" s="53"/>
      <c r="G711" s="4"/>
      <c r="H711" s="4"/>
      <c r="I711" s="4"/>
      <c r="J711" s="4"/>
      <c r="K711" s="4"/>
      <c r="L711" s="53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76"/>
      <c r="F712" s="53"/>
      <c r="G712" s="4"/>
      <c r="H712" s="4"/>
      <c r="I712" s="4"/>
      <c r="J712" s="4"/>
      <c r="K712" s="4"/>
      <c r="L712" s="53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76"/>
      <c r="F713" s="53"/>
      <c r="G713" s="4"/>
      <c r="H713" s="4"/>
      <c r="I713" s="4"/>
      <c r="J713" s="4"/>
      <c r="K713" s="4"/>
      <c r="L713" s="53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76"/>
      <c r="F714" s="53"/>
      <c r="G714" s="4"/>
      <c r="H714" s="4"/>
      <c r="I714" s="4"/>
      <c r="J714" s="4"/>
      <c r="K714" s="4"/>
      <c r="L714" s="53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76"/>
      <c r="F715" s="53"/>
      <c r="G715" s="4"/>
      <c r="H715" s="4"/>
      <c r="I715" s="4"/>
      <c r="J715" s="4"/>
      <c r="K715" s="4"/>
      <c r="L715" s="53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76"/>
      <c r="F716" s="53"/>
      <c r="G716" s="4"/>
      <c r="H716" s="4"/>
      <c r="I716" s="4"/>
      <c r="J716" s="4"/>
      <c r="K716" s="4"/>
      <c r="L716" s="53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76"/>
      <c r="F717" s="53"/>
      <c r="G717" s="4"/>
      <c r="H717" s="4"/>
      <c r="I717" s="4"/>
      <c r="J717" s="4"/>
      <c r="K717" s="4"/>
      <c r="L717" s="53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76"/>
      <c r="F718" s="53"/>
      <c r="G718" s="4"/>
      <c r="H718" s="4"/>
      <c r="I718" s="4"/>
      <c r="J718" s="4"/>
      <c r="K718" s="4"/>
      <c r="L718" s="53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76"/>
      <c r="F719" s="53"/>
      <c r="G719" s="4"/>
      <c r="H719" s="4"/>
      <c r="I719" s="4"/>
      <c r="J719" s="4"/>
      <c r="K719" s="4"/>
      <c r="L719" s="53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76"/>
      <c r="F720" s="53"/>
      <c r="G720" s="4"/>
      <c r="H720" s="4"/>
      <c r="I720" s="4"/>
      <c r="J720" s="4"/>
      <c r="K720" s="4"/>
      <c r="L720" s="53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76"/>
      <c r="F721" s="53"/>
      <c r="G721" s="4"/>
      <c r="H721" s="4"/>
      <c r="I721" s="4"/>
      <c r="J721" s="4"/>
      <c r="K721" s="4"/>
      <c r="L721" s="53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76"/>
      <c r="F722" s="53"/>
      <c r="G722" s="4"/>
      <c r="H722" s="4"/>
      <c r="I722" s="4"/>
      <c r="J722" s="4"/>
      <c r="K722" s="4"/>
      <c r="L722" s="53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76"/>
      <c r="F723" s="53"/>
      <c r="G723" s="4"/>
      <c r="H723" s="4"/>
      <c r="I723" s="4"/>
      <c r="J723" s="4"/>
      <c r="K723" s="4"/>
      <c r="L723" s="53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76"/>
      <c r="F724" s="53"/>
      <c r="G724" s="4"/>
      <c r="H724" s="4"/>
      <c r="I724" s="4"/>
      <c r="J724" s="4"/>
      <c r="K724" s="4"/>
      <c r="L724" s="53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76"/>
      <c r="F725" s="53"/>
      <c r="G725" s="4"/>
      <c r="H725" s="4"/>
      <c r="I725" s="4"/>
      <c r="J725" s="4"/>
      <c r="K725" s="4"/>
      <c r="L725" s="53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76"/>
      <c r="F726" s="53"/>
      <c r="G726" s="4"/>
      <c r="H726" s="4"/>
      <c r="I726" s="4"/>
      <c r="J726" s="4"/>
      <c r="K726" s="4"/>
      <c r="L726" s="53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76"/>
      <c r="F727" s="53"/>
      <c r="G727" s="4"/>
      <c r="H727" s="4"/>
      <c r="I727" s="4"/>
      <c r="J727" s="4"/>
      <c r="K727" s="4"/>
      <c r="L727" s="53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76"/>
      <c r="F728" s="53"/>
      <c r="G728" s="4"/>
      <c r="H728" s="4"/>
      <c r="I728" s="4"/>
      <c r="J728" s="4"/>
      <c r="K728" s="4"/>
      <c r="L728" s="53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76"/>
      <c r="F729" s="53"/>
      <c r="G729" s="4"/>
      <c r="H729" s="4"/>
      <c r="I729" s="4"/>
      <c r="J729" s="4"/>
      <c r="K729" s="4"/>
      <c r="L729" s="53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76"/>
      <c r="F730" s="53"/>
      <c r="G730" s="4"/>
      <c r="H730" s="4"/>
      <c r="I730" s="4"/>
      <c r="J730" s="4"/>
      <c r="K730" s="4"/>
      <c r="L730" s="53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76"/>
      <c r="F731" s="53"/>
      <c r="G731" s="4"/>
      <c r="H731" s="4"/>
      <c r="I731" s="4"/>
      <c r="J731" s="4"/>
      <c r="K731" s="4"/>
      <c r="L731" s="53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76"/>
      <c r="F732" s="53"/>
      <c r="G732" s="4"/>
      <c r="H732" s="4"/>
      <c r="I732" s="4"/>
      <c r="J732" s="4"/>
      <c r="K732" s="4"/>
      <c r="L732" s="53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76"/>
      <c r="F733" s="53"/>
      <c r="G733" s="4"/>
      <c r="H733" s="4"/>
      <c r="I733" s="4"/>
      <c r="J733" s="4"/>
      <c r="K733" s="4"/>
      <c r="L733" s="53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76"/>
      <c r="F734" s="53"/>
      <c r="G734" s="4"/>
      <c r="H734" s="4"/>
      <c r="I734" s="4"/>
      <c r="J734" s="4"/>
      <c r="K734" s="4"/>
      <c r="L734" s="53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76"/>
      <c r="F735" s="53"/>
      <c r="G735" s="4"/>
      <c r="H735" s="4"/>
      <c r="I735" s="4"/>
      <c r="J735" s="4"/>
      <c r="K735" s="4"/>
      <c r="L735" s="53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76"/>
      <c r="F736" s="53"/>
      <c r="G736" s="4"/>
      <c r="H736" s="4"/>
      <c r="I736" s="4"/>
      <c r="J736" s="4"/>
      <c r="K736" s="4"/>
      <c r="L736" s="53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76"/>
      <c r="F737" s="53"/>
      <c r="G737" s="4"/>
      <c r="H737" s="4"/>
      <c r="I737" s="4"/>
      <c r="J737" s="4"/>
      <c r="K737" s="4"/>
      <c r="L737" s="53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76"/>
      <c r="F738" s="53"/>
      <c r="G738" s="4"/>
      <c r="H738" s="4"/>
      <c r="I738" s="4"/>
      <c r="J738" s="4"/>
      <c r="K738" s="4"/>
      <c r="L738" s="53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76"/>
      <c r="F739" s="53"/>
      <c r="G739" s="4"/>
      <c r="H739" s="4"/>
      <c r="I739" s="4"/>
      <c r="J739" s="4"/>
      <c r="K739" s="4"/>
      <c r="L739" s="53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76"/>
      <c r="F740" s="53"/>
      <c r="G740" s="4"/>
      <c r="H740" s="4"/>
      <c r="I740" s="4"/>
      <c r="J740" s="4"/>
      <c r="K740" s="4"/>
      <c r="L740" s="53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76"/>
      <c r="F741" s="53"/>
      <c r="G741" s="4"/>
      <c r="H741" s="4"/>
      <c r="I741" s="4"/>
      <c r="J741" s="4"/>
      <c r="K741" s="4"/>
      <c r="L741" s="53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76"/>
      <c r="F742" s="53"/>
      <c r="G742" s="4"/>
      <c r="H742" s="4"/>
      <c r="I742" s="4"/>
      <c r="J742" s="4"/>
      <c r="K742" s="4"/>
      <c r="L742" s="53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76"/>
      <c r="F743" s="53"/>
      <c r="G743" s="4"/>
      <c r="H743" s="4"/>
      <c r="I743" s="4"/>
      <c r="J743" s="4"/>
      <c r="K743" s="4"/>
      <c r="L743" s="53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76"/>
      <c r="F744" s="53"/>
      <c r="G744" s="4"/>
      <c r="H744" s="4"/>
      <c r="I744" s="4"/>
      <c r="J744" s="4"/>
      <c r="K744" s="4"/>
      <c r="L744" s="53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76"/>
      <c r="F745" s="53"/>
      <c r="G745" s="4"/>
      <c r="H745" s="4"/>
      <c r="I745" s="4"/>
      <c r="J745" s="4"/>
      <c r="K745" s="4"/>
      <c r="L745" s="53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76"/>
      <c r="F746" s="53"/>
      <c r="G746" s="4"/>
      <c r="H746" s="4"/>
      <c r="I746" s="4"/>
      <c r="J746" s="4"/>
      <c r="K746" s="4"/>
      <c r="L746" s="53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76"/>
      <c r="F747" s="53"/>
      <c r="G747" s="4"/>
      <c r="H747" s="4"/>
      <c r="I747" s="4"/>
      <c r="J747" s="4"/>
      <c r="K747" s="4"/>
      <c r="L747" s="53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76"/>
      <c r="F748" s="53"/>
      <c r="G748" s="4"/>
      <c r="H748" s="4"/>
      <c r="I748" s="4"/>
      <c r="J748" s="4"/>
      <c r="K748" s="4"/>
      <c r="L748" s="53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76"/>
      <c r="F749" s="53"/>
      <c r="G749" s="4"/>
      <c r="H749" s="4"/>
      <c r="I749" s="4"/>
      <c r="J749" s="4"/>
      <c r="K749" s="4"/>
      <c r="L749" s="53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76"/>
      <c r="F750" s="53"/>
      <c r="G750" s="4"/>
      <c r="H750" s="4"/>
      <c r="I750" s="4"/>
      <c r="J750" s="4"/>
      <c r="K750" s="4"/>
      <c r="L750" s="53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76"/>
      <c r="F751" s="53"/>
      <c r="G751" s="4"/>
      <c r="H751" s="4"/>
      <c r="I751" s="4"/>
      <c r="J751" s="4"/>
      <c r="K751" s="4"/>
      <c r="L751" s="53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76"/>
      <c r="F752" s="53"/>
      <c r="G752" s="4"/>
      <c r="H752" s="4"/>
      <c r="I752" s="4"/>
      <c r="J752" s="4"/>
      <c r="K752" s="4"/>
      <c r="L752" s="53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76"/>
      <c r="F753" s="53"/>
      <c r="G753" s="4"/>
      <c r="H753" s="4"/>
      <c r="I753" s="4"/>
      <c r="J753" s="4"/>
      <c r="K753" s="4"/>
      <c r="L753" s="53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76"/>
      <c r="F754" s="53"/>
      <c r="G754" s="4"/>
      <c r="H754" s="4"/>
      <c r="I754" s="4"/>
      <c r="J754" s="4"/>
      <c r="K754" s="4"/>
      <c r="L754" s="53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76"/>
      <c r="F755" s="53"/>
      <c r="G755" s="4"/>
      <c r="H755" s="4"/>
      <c r="I755" s="4"/>
      <c r="J755" s="4"/>
      <c r="K755" s="4"/>
      <c r="L755" s="53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76"/>
      <c r="F756" s="53"/>
      <c r="G756" s="4"/>
      <c r="H756" s="4"/>
      <c r="I756" s="4"/>
      <c r="J756" s="4"/>
      <c r="K756" s="4"/>
      <c r="L756" s="53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76"/>
      <c r="F757" s="53"/>
      <c r="G757" s="4"/>
      <c r="H757" s="4"/>
      <c r="I757" s="4"/>
      <c r="J757" s="4"/>
      <c r="K757" s="4"/>
      <c r="L757" s="53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76"/>
      <c r="F758" s="53"/>
      <c r="G758" s="4"/>
      <c r="H758" s="4"/>
      <c r="I758" s="4"/>
      <c r="J758" s="4"/>
      <c r="K758" s="4"/>
      <c r="L758" s="53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76"/>
      <c r="F759" s="53"/>
      <c r="G759" s="4"/>
      <c r="H759" s="4"/>
      <c r="I759" s="4"/>
      <c r="J759" s="4"/>
      <c r="K759" s="4"/>
      <c r="L759" s="53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76"/>
      <c r="F760" s="53"/>
      <c r="G760" s="4"/>
      <c r="H760" s="4"/>
      <c r="I760" s="4"/>
      <c r="J760" s="4"/>
      <c r="K760" s="4"/>
      <c r="L760" s="53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76"/>
      <c r="F761" s="53"/>
      <c r="G761" s="4"/>
      <c r="H761" s="4"/>
      <c r="I761" s="4"/>
      <c r="J761" s="4"/>
      <c r="K761" s="4"/>
      <c r="L761" s="53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76"/>
      <c r="F762" s="53"/>
      <c r="G762" s="4"/>
      <c r="H762" s="4"/>
      <c r="I762" s="4"/>
      <c r="J762" s="4"/>
      <c r="K762" s="4"/>
      <c r="L762" s="53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76"/>
      <c r="F763" s="53"/>
      <c r="G763" s="4"/>
      <c r="H763" s="4"/>
      <c r="I763" s="4"/>
      <c r="J763" s="4"/>
      <c r="K763" s="4"/>
      <c r="L763" s="53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76"/>
      <c r="F764" s="53"/>
      <c r="G764" s="4"/>
      <c r="H764" s="4"/>
      <c r="I764" s="4"/>
      <c r="J764" s="4"/>
      <c r="K764" s="4"/>
      <c r="L764" s="53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76"/>
      <c r="F765" s="53"/>
      <c r="G765" s="4"/>
      <c r="H765" s="4"/>
      <c r="I765" s="4"/>
      <c r="J765" s="4"/>
      <c r="K765" s="4"/>
      <c r="L765" s="53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76"/>
      <c r="F766" s="53"/>
      <c r="G766" s="4"/>
      <c r="H766" s="4"/>
      <c r="I766" s="4"/>
      <c r="J766" s="4"/>
      <c r="K766" s="4"/>
      <c r="L766" s="53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76"/>
      <c r="F767" s="53"/>
      <c r="G767" s="4"/>
      <c r="H767" s="4"/>
      <c r="I767" s="4"/>
      <c r="J767" s="4"/>
      <c r="K767" s="4"/>
      <c r="L767" s="53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76"/>
      <c r="F768" s="53"/>
      <c r="G768" s="4"/>
      <c r="H768" s="4"/>
      <c r="I768" s="4"/>
      <c r="J768" s="4"/>
      <c r="K768" s="4"/>
      <c r="L768" s="53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76"/>
      <c r="F769" s="53"/>
      <c r="G769" s="4"/>
      <c r="H769" s="4"/>
      <c r="I769" s="4"/>
      <c r="J769" s="4"/>
      <c r="K769" s="4"/>
      <c r="L769" s="53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76"/>
      <c r="F770" s="53"/>
      <c r="G770" s="4"/>
      <c r="H770" s="4"/>
      <c r="I770" s="4"/>
      <c r="J770" s="4"/>
      <c r="K770" s="4"/>
      <c r="L770" s="53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76"/>
      <c r="F771" s="53"/>
      <c r="G771" s="4"/>
      <c r="H771" s="4"/>
      <c r="I771" s="4"/>
      <c r="J771" s="4"/>
      <c r="K771" s="4"/>
      <c r="L771" s="53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76"/>
      <c r="F772" s="53"/>
      <c r="G772" s="4"/>
      <c r="H772" s="4"/>
      <c r="I772" s="4"/>
      <c r="J772" s="4"/>
      <c r="K772" s="4"/>
      <c r="L772" s="53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76"/>
      <c r="F773" s="53"/>
      <c r="G773" s="4"/>
      <c r="H773" s="4"/>
      <c r="I773" s="4"/>
      <c r="J773" s="4"/>
      <c r="K773" s="4"/>
      <c r="L773" s="53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76"/>
      <c r="F774" s="53"/>
      <c r="G774" s="4"/>
      <c r="H774" s="4"/>
      <c r="I774" s="4"/>
      <c r="J774" s="4"/>
      <c r="K774" s="4"/>
      <c r="L774" s="53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76"/>
      <c r="F775" s="53"/>
      <c r="G775" s="4"/>
      <c r="H775" s="4"/>
      <c r="I775" s="4"/>
      <c r="J775" s="4"/>
      <c r="K775" s="4"/>
      <c r="L775" s="53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76"/>
      <c r="F776" s="53"/>
      <c r="G776" s="4"/>
      <c r="H776" s="4"/>
      <c r="I776" s="4"/>
      <c r="J776" s="4"/>
      <c r="K776" s="4"/>
      <c r="L776" s="53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76"/>
      <c r="F777" s="53"/>
      <c r="G777" s="4"/>
      <c r="H777" s="4"/>
      <c r="I777" s="4"/>
      <c r="J777" s="4"/>
      <c r="K777" s="4"/>
      <c r="L777" s="53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76"/>
      <c r="F778" s="53"/>
      <c r="G778" s="4"/>
      <c r="H778" s="4"/>
      <c r="I778" s="4"/>
      <c r="J778" s="4"/>
      <c r="K778" s="4"/>
      <c r="L778" s="53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76"/>
      <c r="F779" s="53"/>
      <c r="G779" s="4"/>
      <c r="H779" s="4"/>
      <c r="I779" s="4"/>
      <c r="J779" s="4"/>
      <c r="K779" s="4"/>
      <c r="L779" s="53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76"/>
      <c r="F780" s="53"/>
      <c r="G780" s="4"/>
      <c r="H780" s="4"/>
      <c r="I780" s="4"/>
      <c r="J780" s="4"/>
      <c r="K780" s="4"/>
      <c r="L780" s="53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76"/>
      <c r="F781" s="53"/>
      <c r="G781" s="4"/>
      <c r="H781" s="4"/>
      <c r="I781" s="4"/>
      <c r="J781" s="4"/>
      <c r="K781" s="4"/>
      <c r="L781" s="53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76"/>
      <c r="F782" s="53"/>
      <c r="G782" s="4"/>
      <c r="H782" s="4"/>
      <c r="I782" s="4"/>
      <c r="J782" s="4"/>
      <c r="K782" s="4"/>
      <c r="L782" s="53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76"/>
      <c r="F783" s="53"/>
      <c r="G783" s="4"/>
      <c r="H783" s="4"/>
      <c r="I783" s="4"/>
      <c r="J783" s="4"/>
      <c r="K783" s="4"/>
      <c r="L783" s="53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76"/>
      <c r="F784" s="53"/>
      <c r="G784" s="4"/>
      <c r="H784" s="4"/>
      <c r="I784" s="4"/>
      <c r="J784" s="4"/>
      <c r="K784" s="4"/>
      <c r="L784" s="53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76"/>
      <c r="F785" s="53"/>
      <c r="G785" s="4"/>
      <c r="H785" s="4"/>
      <c r="I785" s="4"/>
      <c r="J785" s="4"/>
      <c r="K785" s="4"/>
      <c r="L785" s="53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76"/>
      <c r="F786" s="53"/>
      <c r="G786" s="4"/>
      <c r="H786" s="4"/>
      <c r="I786" s="4"/>
      <c r="J786" s="4"/>
      <c r="K786" s="4"/>
      <c r="L786" s="53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76"/>
      <c r="F787" s="53"/>
      <c r="G787" s="4"/>
      <c r="H787" s="4"/>
      <c r="I787" s="4"/>
      <c r="J787" s="4"/>
      <c r="K787" s="4"/>
      <c r="L787" s="53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76"/>
      <c r="F788" s="53"/>
      <c r="G788" s="4"/>
      <c r="H788" s="4"/>
      <c r="I788" s="4"/>
      <c r="J788" s="4"/>
      <c r="K788" s="4"/>
      <c r="L788" s="53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76"/>
      <c r="F789" s="53"/>
      <c r="G789" s="4"/>
      <c r="H789" s="4"/>
      <c r="I789" s="4"/>
      <c r="J789" s="4"/>
      <c r="K789" s="4"/>
      <c r="L789" s="53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76"/>
      <c r="F790" s="53"/>
      <c r="G790" s="4"/>
      <c r="H790" s="4"/>
      <c r="I790" s="4"/>
      <c r="J790" s="4"/>
      <c r="K790" s="4"/>
      <c r="L790" s="53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76"/>
      <c r="F791" s="53"/>
      <c r="G791" s="4"/>
      <c r="H791" s="4"/>
      <c r="I791" s="4"/>
      <c r="J791" s="4"/>
      <c r="K791" s="4"/>
      <c r="L791" s="53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76"/>
      <c r="F792" s="53"/>
      <c r="G792" s="4"/>
      <c r="H792" s="4"/>
      <c r="I792" s="4"/>
      <c r="J792" s="4"/>
      <c r="K792" s="4"/>
      <c r="L792" s="53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76"/>
      <c r="F793" s="53"/>
      <c r="G793" s="4"/>
      <c r="H793" s="4"/>
      <c r="I793" s="4"/>
      <c r="J793" s="4"/>
      <c r="K793" s="4"/>
      <c r="L793" s="53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76"/>
      <c r="F794" s="53"/>
      <c r="G794" s="4"/>
      <c r="H794" s="4"/>
      <c r="I794" s="4"/>
      <c r="J794" s="4"/>
      <c r="K794" s="4"/>
      <c r="L794" s="53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76"/>
      <c r="F795" s="53"/>
      <c r="G795" s="4"/>
      <c r="H795" s="4"/>
      <c r="I795" s="4"/>
      <c r="J795" s="4"/>
      <c r="K795" s="4"/>
      <c r="L795" s="53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76"/>
      <c r="F796" s="53"/>
      <c r="G796" s="4"/>
      <c r="H796" s="4"/>
      <c r="I796" s="4"/>
      <c r="J796" s="4"/>
      <c r="K796" s="4"/>
      <c r="L796" s="53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76"/>
      <c r="F797" s="53"/>
      <c r="G797" s="4"/>
      <c r="H797" s="4"/>
      <c r="I797" s="4"/>
      <c r="J797" s="4"/>
      <c r="K797" s="4"/>
      <c r="L797" s="53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76"/>
      <c r="F798" s="53"/>
      <c r="G798" s="4"/>
      <c r="H798" s="4"/>
      <c r="I798" s="4"/>
      <c r="J798" s="4"/>
      <c r="K798" s="4"/>
      <c r="L798" s="53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76"/>
      <c r="F799" s="53"/>
      <c r="G799" s="4"/>
      <c r="H799" s="4"/>
      <c r="I799" s="4"/>
      <c r="J799" s="4"/>
      <c r="K799" s="4"/>
      <c r="L799" s="53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76"/>
      <c r="F800" s="53"/>
      <c r="G800" s="4"/>
      <c r="H800" s="4"/>
      <c r="I800" s="4"/>
      <c r="J800" s="4"/>
      <c r="K800" s="4"/>
      <c r="L800" s="53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76"/>
      <c r="F801" s="53"/>
      <c r="G801" s="4"/>
      <c r="H801" s="4"/>
      <c r="I801" s="4"/>
      <c r="J801" s="4"/>
      <c r="K801" s="4"/>
      <c r="L801" s="53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76"/>
      <c r="F802" s="53"/>
      <c r="G802" s="4"/>
      <c r="H802" s="4"/>
      <c r="I802" s="4"/>
      <c r="J802" s="4"/>
      <c r="K802" s="4"/>
      <c r="L802" s="53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76"/>
      <c r="F803" s="53"/>
      <c r="G803" s="4"/>
      <c r="H803" s="4"/>
      <c r="I803" s="4"/>
      <c r="J803" s="4"/>
      <c r="K803" s="4"/>
      <c r="L803" s="53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76"/>
      <c r="F804" s="53"/>
      <c r="G804" s="4"/>
      <c r="H804" s="4"/>
      <c r="I804" s="4"/>
      <c r="J804" s="4"/>
      <c r="K804" s="4"/>
      <c r="L804" s="53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76"/>
      <c r="F805" s="53"/>
      <c r="G805" s="4"/>
      <c r="H805" s="4"/>
      <c r="I805" s="4"/>
      <c r="J805" s="4"/>
      <c r="K805" s="4"/>
      <c r="L805" s="53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76"/>
      <c r="F806" s="53"/>
      <c r="G806" s="4"/>
      <c r="H806" s="4"/>
      <c r="I806" s="4"/>
      <c r="J806" s="4"/>
      <c r="K806" s="4"/>
      <c r="L806" s="53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76"/>
      <c r="F807" s="53"/>
      <c r="G807" s="4"/>
      <c r="H807" s="4"/>
      <c r="I807" s="4"/>
      <c r="J807" s="4"/>
      <c r="K807" s="4"/>
      <c r="L807" s="53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76"/>
      <c r="F808" s="53"/>
      <c r="G808" s="4"/>
      <c r="H808" s="4"/>
      <c r="I808" s="4"/>
      <c r="J808" s="4"/>
      <c r="K808" s="4"/>
      <c r="L808" s="53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76"/>
      <c r="F809" s="53"/>
      <c r="G809" s="4"/>
      <c r="H809" s="4"/>
      <c r="I809" s="4"/>
      <c r="J809" s="4"/>
      <c r="K809" s="4"/>
      <c r="L809" s="53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76"/>
      <c r="F810" s="53"/>
      <c r="G810" s="4"/>
      <c r="H810" s="4"/>
      <c r="I810" s="4"/>
      <c r="J810" s="4"/>
      <c r="K810" s="4"/>
      <c r="L810" s="53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76"/>
      <c r="F811" s="53"/>
      <c r="G811" s="4"/>
      <c r="H811" s="4"/>
      <c r="I811" s="4"/>
      <c r="J811" s="4"/>
      <c r="K811" s="4"/>
      <c r="L811" s="53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76"/>
      <c r="F812" s="53"/>
      <c r="G812" s="4"/>
      <c r="H812" s="4"/>
      <c r="I812" s="4"/>
      <c r="J812" s="4"/>
      <c r="K812" s="4"/>
      <c r="L812" s="53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76"/>
      <c r="F813" s="53"/>
      <c r="G813" s="4"/>
      <c r="H813" s="4"/>
      <c r="I813" s="4"/>
      <c r="J813" s="4"/>
      <c r="K813" s="4"/>
      <c r="L813" s="53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76"/>
      <c r="F814" s="53"/>
      <c r="G814" s="4"/>
      <c r="H814" s="4"/>
      <c r="I814" s="4"/>
      <c r="J814" s="4"/>
      <c r="K814" s="4"/>
      <c r="L814" s="53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76"/>
      <c r="F815" s="53"/>
      <c r="G815" s="4"/>
      <c r="H815" s="4"/>
      <c r="I815" s="4"/>
      <c r="J815" s="4"/>
      <c r="K815" s="4"/>
      <c r="L815" s="53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76"/>
      <c r="F816" s="53"/>
      <c r="G816" s="4"/>
      <c r="H816" s="4"/>
      <c r="I816" s="4"/>
      <c r="J816" s="4"/>
      <c r="K816" s="4"/>
      <c r="L816" s="53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76"/>
      <c r="F817" s="53"/>
      <c r="G817" s="4"/>
      <c r="H817" s="4"/>
      <c r="I817" s="4"/>
      <c r="J817" s="4"/>
      <c r="K817" s="4"/>
      <c r="L817" s="53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76"/>
      <c r="F818" s="53"/>
      <c r="G818" s="4"/>
      <c r="H818" s="4"/>
      <c r="I818" s="4"/>
      <c r="J818" s="4"/>
      <c r="K818" s="4"/>
      <c r="L818" s="53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76"/>
      <c r="F819" s="53"/>
      <c r="G819" s="4"/>
      <c r="H819" s="4"/>
      <c r="I819" s="4"/>
      <c r="J819" s="4"/>
      <c r="K819" s="4"/>
      <c r="L819" s="53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76"/>
      <c r="F820" s="53"/>
      <c r="G820" s="4"/>
      <c r="H820" s="4"/>
      <c r="I820" s="4"/>
      <c r="J820" s="4"/>
      <c r="K820" s="4"/>
      <c r="L820" s="53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76"/>
      <c r="F821" s="53"/>
      <c r="G821" s="4"/>
      <c r="H821" s="4"/>
      <c r="I821" s="4"/>
      <c r="J821" s="4"/>
      <c r="K821" s="4"/>
      <c r="L821" s="53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76"/>
      <c r="F822" s="53"/>
      <c r="G822" s="4"/>
      <c r="H822" s="4"/>
      <c r="I822" s="4"/>
      <c r="J822" s="4"/>
      <c r="K822" s="4"/>
      <c r="L822" s="53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76"/>
      <c r="F823" s="53"/>
      <c r="G823" s="4"/>
      <c r="H823" s="4"/>
      <c r="I823" s="4"/>
      <c r="J823" s="4"/>
      <c r="K823" s="4"/>
      <c r="L823" s="53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76"/>
      <c r="F824" s="53"/>
      <c r="G824" s="4"/>
      <c r="H824" s="4"/>
      <c r="I824" s="4"/>
      <c r="J824" s="4"/>
      <c r="K824" s="4"/>
      <c r="L824" s="53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76"/>
      <c r="F825" s="53"/>
      <c r="G825" s="4"/>
      <c r="H825" s="4"/>
      <c r="I825" s="4"/>
      <c r="J825" s="4"/>
      <c r="K825" s="4"/>
      <c r="L825" s="53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76"/>
      <c r="F826" s="53"/>
      <c r="G826" s="4"/>
      <c r="H826" s="4"/>
      <c r="I826" s="4"/>
      <c r="J826" s="4"/>
      <c r="K826" s="4"/>
      <c r="L826" s="53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76"/>
      <c r="F827" s="53"/>
      <c r="G827" s="4"/>
      <c r="H827" s="4"/>
      <c r="I827" s="4"/>
      <c r="J827" s="4"/>
      <c r="K827" s="4"/>
      <c r="L827" s="53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76"/>
      <c r="F828" s="53"/>
      <c r="G828" s="4"/>
      <c r="H828" s="4"/>
      <c r="I828" s="4"/>
      <c r="J828" s="4"/>
      <c r="K828" s="4"/>
      <c r="L828" s="53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76"/>
      <c r="F829" s="53"/>
      <c r="G829" s="4"/>
      <c r="H829" s="4"/>
      <c r="I829" s="4"/>
      <c r="J829" s="4"/>
      <c r="K829" s="4"/>
      <c r="L829" s="53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76"/>
      <c r="F830" s="53"/>
      <c r="G830" s="4"/>
      <c r="H830" s="4"/>
      <c r="I830" s="4"/>
      <c r="J830" s="4"/>
      <c r="K830" s="4"/>
      <c r="L830" s="53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76"/>
      <c r="F831" s="53"/>
      <c r="G831" s="4"/>
      <c r="H831" s="4"/>
      <c r="I831" s="4"/>
      <c r="J831" s="4"/>
      <c r="K831" s="4"/>
      <c r="L831" s="53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76"/>
      <c r="F832" s="53"/>
      <c r="G832" s="4"/>
      <c r="H832" s="4"/>
      <c r="I832" s="4"/>
      <c r="J832" s="4"/>
      <c r="K832" s="4"/>
      <c r="L832" s="53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76"/>
      <c r="F833" s="53"/>
      <c r="G833" s="4"/>
      <c r="H833" s="4"/>
      <c r="I833" s="4"/>
      <c r="J833" s="4"/>
      <c r="K833" s="4"/>
      <c r="L833" s="53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76"/>
      <c r="F834" s="53"/>
      <c r="G834" s="4"/>
      <c r="H834" s="4"/>
      <c r="I834" s="4"/>
      <c r="J834" s="4"/>
      <c r="K834" s="4"/>
      <c r="L834" s="53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76"/>
      <c r="F835" s="53"/>
      <c r="G835" s="4"/>
      <c r="H835" s="4"/>
      <c r="I835" s="4"/>
      <c r="J835" s="4"/>
      <c r="K835" s="4"/>
      <c r="L835" s="53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76"/>
      <c r="F836" s="53"/>
      <c r="G836" s="4"/>
      <c r="H836" s="4"/>
      <c r="I836" s="4"/>
      <c r="J836" s="4"/>
      <c r="K836" s="4"/>
      <c r="L836" s="53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76"/>
      <c r="F837" s="53"/>
      <c r="G837" s="4"/>
      <c r="H837" s="4"/>
      <c r="I837" s="4"/>
      <c r="J837" s="4"/>
      <c r="K837" s="4"/>
      <c r="L837" s="53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76"/>
      <c r="F838" s="53"/>
      <c r="G838" s="4"/>
      <c r="H838" s="4"/>
      <c r="I838" s="4"/>
      <c r="J838" s="4"/>
      <c r="K838" s="4"/>
      <c r="L838" s="53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76"/>
      <c r="F839" s="53"/>
      <c r="G839" s="4"/>
      <c r="H839" s="4"/>
      <c r="I839" s="4"/>
      <c r="J839" s="4"/>
      <c r="K839" s="4"/>
      <c r="L839" s="53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76"/>
      <c r="F840" s="53"/>
      <c r="G840" s="4"/>
      <c r="H840" s="4"/>
      <c r="I840" s="4"/>
      <c r="J840" s="4"/>
      <c r="K840" s="4"/>
      <c r="L840" s="53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76"/>
      <c r="F841" s="53"/>
      <c r="G841" s="4"/>
      <c r="H841" s="4"/>
      <c r="I841" s="4"/>
      <c r="J841" s="4"/>
      <c r="K841" s="4"/>
      <c r="L841" s="53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76"/>
      <c r="F842" s="53"/>
      <c r="G842" s="4"/>
      <c r="H842" s="4"/>
      <c r="I842" s="4"/>
      <c r="J842" s="4"/>
      <c r="K842" s="4"/>
      <c r="L842" s="53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76"/>
      <c r="F843" s="53"/>
      <c r="G843" s="4"/>
      <c r="H843" s="4"/>
      <c r="I843" s="4"/>
      <c r="J843" s="4"/>
      <c r="K843" s="4"/>
      <c r="L843" s="53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76"/>
      <c r="F844" s="53"/>
      <c r="G844" s="4"/>
      <c r="H844" s="4"/>
      <c r="I844" s="4"/>
      <c r="J844" s="4"/>
      <c r="K844" s="4"/>
      <c r="L844" s="53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76"/>
      <c r="F845" s="53"/>
      <c r="G845" s="4"/>
      <c r="H845" s="4"/>
      <c r="I845" s="4"/>
      <c r="J845" s="4"/>
      <c r="K845" s="4"/>
      <c r="L845" s="53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76"/>
      <c r="F846" s="53"/>
      <c r="G846" s="4"/>
      <c r="H846" s="4"/>
      <c r="I846" s="4"/>
      <c r="J846" s="4"/>
      <c r="K846" s="4"/>
      <c r="L846" s="53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76"/>
      <c r="F847" s="53"/>
      <c r="G847" s="4"/>
      <c r="H847" s="4"/>
      <c r="I847" s="4"/>
      <c r="J847" s="4"/>
      <c r="K847" s="4"/>
      <c r="L847" s="53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76"/>
      <c r="F848" s="53"/>
      <c r="G848" s="4"/>
      <c r="H848" s="4"/>
      <c r="I848" s="4"/>
      <c r="J848" s="4"/>
      <c r="K848" s="4"/>
      <c r="L848" s="53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76"/>
      <c r="F849" s="53"/>
      <c r="G849" s="4"/>
      <c r="H849" s="4"/>
      <c r="I849" s="4"/>
      <c r="J849" s="4"/>
      <c r="K849" s="4"/>
      <c r="L849" s="53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76"/>
      <c r="F850" s="53"/>
      <c r="G850" s="4"/>
      <c r="H850" s="4"/>
      <c r="I850" s="4"/>
      <c r="J850" s="4"/>
      <c r="K850" s="4"/>
      <c r="L850" s="53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76"/>
      <c r="F851" s="53"/>
      <c r="G851" s="4"/>
      <c r="H851" s="4"/>
      <c r="I851" s="4"/>
      <c r="J851" s="4"/>
      <c r="K851" s="4"/>
      <c r="L851" s="53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76"/>
      <c r="F852" s="53"/>
      <c r="G852" s="4"/>
      <c r="H852" s="4"/>
      <c r="I852" s="4"/>
      <c r="J852" s="4"/>
      <c r="K852" s="4"/>
      <c r="L852" s="53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76"/>
      <c r="F853" s="53"/>
      <c r="G853" s="4"/>
      <c r="H853" s="4"/>
      <c r="I853" s="4"/>
      <c r="J853" s="4"/>
      <c r="K853" s="4"/>
      <c r="L853" s="53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76"/>
      <c r="F854" s="53"/>
      <c r="G854" s="4"/>
      <c r="H854" s="4"/>
      <c r="I854" s="4"/>
      <c r="J854" s="4"/>
      <c r="K854" s="4"/>
      <c r="L854" s="53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76"/>
      <c r="F855" s="53"/>
      <c r="G855" s="4"/>
      <c r="H855" s="4"/>
      <c r="I855" s="4"/>
      <c r="J855" s="4"/>
      <c r="K855" s="4"/>
      <c r="L855" s="53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76"/>
      <c r="F856" s="53"/>
      <c r="G856" s="4"/>
      <c r="H856" s="4"/>
      <c r="I856" s="4"/>
      <c r="J856" s="4"/>
      <c r="K856" s="4"/>
      <c r="L856" s="53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76"/>
      <c r="F857" s="53"/>
      <c r="G857" s="4"/>
      <c r="H857" s="4"/>
      <c r="I857" s="4"/>
      <c r="J857" s="4"/>
      <c r="K857" s="4"/>
      <c r="L857" s="53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76"/>
      <c r="F858" s="53"/>
      <c r="G858" s="4"/>
      <c r="H858" s="4"/>
      <c r="I858" s="4"/>
      <c r="J858" s="4"/>
      <c r="K858" s="4"/>
      <c r="L858" s="53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76"/>
      <c r="F859" s="53"/>
      <c r="G859" s="4"/>
      <c r="H859" s="4"/>
      <c r="I859" s="4"/>
      <c r="J859" s="4"/>
      <c r="K859" s="4"/>
      <c r="L859" s="53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76"/>
      <c r="F860" s="53"/>
      <c r="G860" s="4"/>
      <c r="H860" s="4"/>
      <c r="I860" s="4"/>
      <c r="J860" s="4"/>
      <c r="K860" s="4"/>
      <c r="L860" s="53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76"/>
      <c r="F861" s="53"/>
      <c r="G861" s="4"/>
      <c r="H861" s="4"/>
      <c r="I861" s="4"/>
      <c r="J861" s="4"/>
      <c r="K861" s="4"/>
      <c r="L861" s="53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76"/>
      <c r="F862" s="53"/>
      <c r="G862" s="4"/>
      <c r="H862" s="4"/>
      <c r="I862" s="4"/>
      <c r="J862" s="4"/>
      <c r="K862" s="4"/>
      <c r="L862" s="53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76"/>
      <c r="F863" s="53"/>
      <c r="G863" s="4"/>
      <c r="H863" s="4"/>
      <c r="I863" s="4"/>
      <c r="J863" s="4"/>
      <c r="K863" s="4"/>
      <c r="L863" s="53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76"/>
      <c r="F864" s="53"/>
      <c r="G864" s="4"/>
      <c r="H864" s="4"/>
      <c r="I864" s="4"/>
      <c r="J864" s="4"/>
      <c r="K864" s="4"/>
      <c r="L864" s="53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76"/>
      <c r="F865" s="53"/>
      <c r="G865" s="4"/>
      <c r="H865" s="4"/>
      <c r="I865" s="4"/>
      <c r="J865" s="4"/>
      <c r="K865" s="4"/>
      <c r="L865" s="53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76"/>
      <c r="F866" s="53"/>
      <c r="G866" s="4"/>
      <c r="H866" s="4"/>
      <c r="I866" s="4"/>
      <c r="J866" s="4"/>
      <c r="K866" s="4"/>
      <c r="L866" s="53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76"/>
      <c r="F867" s="53"/>
      <c r="G867" s="4"/>
      <c r="H867" s="4"/>
      <c r="I867" s="4"/>
      <c r="J867" s="4"/>
      <c r="K867" s="4"/>
      <c r="L867" s="53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76"/>
      <c r="F868" s="53"/>
      <c r="G868" s="4"/>
      <c r="H868" s="4"/>
      <c r="I868" s="4"/>
      <c r="J868" s="4"/>
      <c r="K868" s="4"/>
      <c r="L868" s="53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76"/>
      <c r="F869" s="53"/>
      <c r="G869" s="4"/>
      <c r="H869" s="4"/>
      <c r="I869" s="4"/>
      <c r="J869" s="4"/>
      <c r="K869" s="4"/>
      <c r="L869" s="53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76"/>
      <c r="F870" s="53"/>
      <c r="G870" s="4"/>
      <c r="H870" s="4"/>
      <c r="I870" s="4"/>
      <c r="J870" s="4"/>
      <c r="K870" s="4"/>
      <c r="L870" s="53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76"/>
      <c r="F871" s="53"/>
      <c r="G871" s="4"/>
      <c r="H871" s="4"/>
      <c r="I871" s="4"/>
      <c r="J871" s="4"/>
      <c r="K871" s="4"/>
      <c r="L871" s="53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76"/>
      <c r="F872" s="53"/>
      <c r="G872" s="4"/>
      <c r="H872" s="4"/>
      <c r="I872" s="4"/>
      <c r="J872" s="4"/>
      <c r="K872" s="4"/>
      <c r="L872" s="53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76"/>
      <c r="F873" s="53"/>
      <c r="G873" s="4"/>
      <c r="H873" s="4"/>
      <c r="I873" s="4"/>
      <c r="J873" s="4"/>
      <c r="K873" s="4"/>
      <c r="L873" s="53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76"/>
      <c r="F874" s="53"/>
      <c r="G874" s="4"/>
      <c r="H874" s="4"/>
      <c r="I874" s="4"/>
      <c r="J874" s="4"/>
      <c r="K874" s="4"/>
      <c r="L874" s="53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76"/>
      <c r="F875" s="53"/>
      <c r="G875" s="4"/>
      <c r="H875" s="4"/>
      <c r="I875" s="4"/>
      <c r="J875" s="4"/>
      <c r="K875" s="4"/>
      <c r="L875" s="53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76"/>
      <c r="F876" s="53"/>
      <c r="G876" s="4"/>
      <c r="H876" s="4"/>
      <c r="I876" s="4"/>
      <c r="J876" s="4"/>
      <c r="K876" s="4"/>
      <c r="L876" s="53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76"/>
      <c r="F877" s="53"/>
      <c r="G877" s="4"/>
      <c r="H877" s="4"/>
      <c r="I877" s="4"/>
      <c r="J877" s="4"/>
      <c r="K877" s="4"/>
      <c r="L877" s="53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76"/>
      <c r="F878" s="53"/>
      <c r="G878" s="4"/>
      <c r="H878" s="4"/>
      <c r="I878" s="4"/>
      <c r="J878" s="4"/>
      <c r="K878" s="4"/>
      <c r="L878" s="53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76"/>
      <c r="F879" s="53"/>
      <c r="G879" s="4"/>
      <c r="H879" s="4"/>
      <c r="I879" s="4"/>
      <c r="J879" s="4"/>
      <c r="K879" s="4"/>
      <c r="L879" s="53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76"/>
      <c r="F880" s="53"/>
      <c r="G880" s="4"/>
      <c r="H880" s="4"/>
      <c r="I880" s="4"/>
      <c r="J880" s="4"/>
      <c r="K880" s="4"/>
      <c r="L880" s="53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76"/>
      <c r="F881" s="53"/>
      <c r="G881" s="4"/>
      <c r="H881" s="4"/>
      <c r="I881" s="4"/>
      <c r="J881" s="4"/>
      <c r="K881" s="4"/>
      <c r="L881" s="53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76"/>
      <c r="F882" s="53"/>
      <c r="G882" s="4"/>
      <c r="H882" s="4"/>
      <c r="I882" s="4"/>
      <c r="J882" s="4"/>
      <c r="K882" s="4"/>
      <c r="L882" s="53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76"/>
      <c r="F883" s="53"/>
      <c r="G883" s="4"/>
      <c r="H883" s="4"/>
      <c r="I883" s="4"/>
      <c r="J883" s="4"/>
      <c r="K883" s="4"/>
      <c r="L883" s="53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76"/>
      <c r="F884" s="53"/>
      <c r="G884" s="4"/>
      <c r="H884" s="4"/>
      <c r="I884" s="4"/>
      <c r="J884" s="4"/>
      <c r="K884" s="4"/>
      <c r="L884" s="53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76"/>
      <c r="F885" s="53"/>
      <c r="G885" s="4"/>
      <c r="H885" s="4"/>
      <c r="I885" s="4"/>
      <c r="J885" s="4"/>
      <c r="K885" s="4"/>
      <c r="L885" s="53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76"/>
      <c r="F886" s="53"/>
      <c r="G886" s="4"/>
      <c r="H886" s="4"/>
      <c r="I886" s="4"/>
      <c r="J886" s="4"/>
      <c r="K886" s="4"/>
      <c r="L886" s="53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76"/>
      <c r="F887" s="53"/>
      <c r="G887" s="4"/>
      <c r="H887" s="4"/>
      <c r="I887" s="4"/>
      <c r="J887" s="4"/>
      <c r="K887" s="4"/>
      <c r="L887" s="53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76"/>
      <c r="F888" s="53"/>
      <c r="G888" s="4"/>
      <c r="H888" s="4"/>
      <c r="I888" s="4"/>
      <c r="J888" s="4"/>
      <c r="K888" s="4"/>
      <c r="L888" s="53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76"/>
      <c r="F889" s="53"/>
      <c r="G889" s="4"/>
      <c r="H889" s="4"/>
      <c r="I889" s="4"/>
      <c r="J889" s="4"/>
      <c r="K889" s="4"/>
      <c r="L889" s="53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76"/>
      <c r="F890" s="53"/>
      <c r="G890" s="4"/>
      <c r="H890" s="4"/>
      <c r="I890" s="4"/>
      <c r="J890" s="4"/>
      <c r="K890" s="4"/>
      <c r="L890" s="53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76"/>
      <c r="F891" s="53"/>
      <c r="G891" s="4"/>
      <c r="H891" s="4"/>
      <c r="I891" s="4"/>
      <c r="J891" s="4"/>
      <c r="K891" s="4"/>
      <c r="L891" s="53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76"/>
      <c r="F892" s="53"/>
      <c r="G892" s="4"/>
      <c r="H892" s="4"/>
      <c r="I892" s="4"/>
      <c r="J892" s="4"/>
      <c r="K892" s="4"/>
      <c r="L892" s="53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76"/>
      <c r="F893" s="53"/>
      <c r="G893" s="4"/>
      <c r="H893" s="4"/>
      <c r="I893" s="4"/>
      <c r="J893" s="4"/>
      <c r="K893" s="4"/>
      <c r="L893" s="53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76"/>
      <c r="F894" s="53"/>
      <c r="G894" s="4"/>
      <c r="H894" s="4"/>
      <c r="I894" s="4"/>
      <c r="J894" s="4"/>
      <c r="K894" s="4"/>
      <c r="L894" s="53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76"/>
      <c r="F895" s="53"/>
      <c r="G895" s="4"/>
      <c r="H895" s="4"/>
      <c r="I895" s="4"/>
      <c r="J895" s="4"/>
      <c r="K895" s="4"/>
      <c r="L895" s="53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76"/>
      <c r="F896" s="53"/>
      <c r="G896" s="4"/>
      <c r="H896" s="4"/>
      <c r="I896" s="4"/>
      <c r="J896" s="4"/>
      <c r="K896" s="4"/>
      <c r="L896" s="53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76"/>
      <c r="F897" s="53"/>
      <c r="G897" s="4"/>
      <c r="H897" s="4"/>
      <c r="I897" s="4"/>
      <c r="J897" s="4"/>
      <c r="K897" s="4"/>
      <c r="L897" s="53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76"/>
      <c r="F898" s="53"/>
      <c r="G898" s="4"/>
      <c r="H898" s="4"/>
      <c r="I898" s="4"/>
      <c r="J898" s="4"/>
      <c r="K898" s="4"/>
      <c r="L898" s="53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76"/>
      <c r="F899" s="53"/>
      <c r="G899" s="4"/>
      <c r="H899" s="4"/>
      <c r="I899" s="4"/>
      <c r="J899" s="4"/>
      <c r="K899" s="4"/>
      <c r="L899" s="53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76"/>
      <c r="F900" s="53"/>
      <c r="G900" s="4"/>
      <c r="H900" s="4"/>
      <c r="I900" s="4"/>
      <c r="J900" s="4"/>
      <c r="K900" s="4"/>
      <c r="L900" s="53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76"/>
      <c r="F901" s="53"/>
      <c r="G901" s="4"/>
      <c r="H901" s="4"/>
      <c r="I901" s="4"/>
      <c r="J901" s="4"/>
      <c r="K901" s="4"/>
      <c r="L901" s="53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76"/>
      <c r="F902" s="53"/>
      <c r="G902" s="4"/>
      <c r="H902" s="4"/>
      <c r="I902" s="4"/>
      <c r="J902" s="4"/>
      <c r="K902" s="4"/>
      <c r="L902" s="53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76"/>
      <c r="F903" s="53"/>
      <c r="G903" s="4"/>
      <c r="H903" s="4"/>
      <c r="I903" s="4"/>
      <c r="J903" s="4"/>
      <c r="K903" s="4"/>
      <c r="L903" s="53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76"/>
      <c r="F904" s="53"/>
      <c r="G904" s="4"/>
      <c r="H904" s="4"/>
      <c r="I904" s="4"/>
      <c r="J904" s="4"/>
      <c r="K904" s="4"/>
      <c r="L904" s="53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76"/>
      <c r="F905" s="53"/>
      <c r="G905" s="4"/>
      <c r="H905" s="4"/>
      <c r="I905" s="4"/>
      <c r="J905" s="4"/>
      <c r="K905" s="4"/>
      <c r="L905" s="53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76"/>
      <c r="F906" s="53"/>
      <c r="G906" s="4"/>
      <c r="H906" s="4"/>
      <c r="I906" s="4"/>
      <c r="J906" s="4"/>
      <c r="K906" s="4"/>
      <c r="L906" s="53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76"/>
      <c r="F907" s="53"/>
      <c r="G907" s="4"/>
      <c r="H907" s="4"/>
      <c r="I907" s="4"/>
      <c r="J907" s="4"/>
      <c r="K907" s="4"/>
      <c r="L907" s="53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76"/>
      <c r="F908" s="53"/>
      <c r="G908" s="4"/>
      <c r="H908" s="4"/>
      <c r="I908" s="4"/>
      <c r="J908" s="4"/>
      <c r="K908" s="4"/>
      <c r="L908" s="53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76"/>
      <c r="F909" s="53"/>
      <c r="G909" s="4"/>
      <c r="H909" s="4"/>
      <c r="I909" s="4"/>
      <c r="J909" s="4"/>
      <c r="K909" s="4"/>
      <c r="L909" s="53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76"/>
      <c r="F910" s="53"/>
      <c r="G910" s="4"/>
      <c r="H910" s="4"/>
      <c r="I910" s="4"/>
      <c r="J910" s="4"/>
      <c r="K910" s="4"/>
      <c r="L910" s="53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76"/>
      <c r="F911" s="53"/>
      <c r="G911" s="4"/>
      <c r="H911" s="4"/>
      <c r="I911" s="4"/>
      <c r="J911" s="4"/>
      <c r="K911" s="4"/>
      <c r="L911" s="53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76"/>
      <c r="F912" s="53"/>
      <c r="G912" s="4"/>
      <c r="H912" s="4"/>
      <c r="I912" s="4"/>
      <c r="J912" s="4"/>
      <c r="K912" s="4"/>
      <c r="L912" s="53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76"/>
      <c r="F913" s="53"/>
      <c r="G913" s="4"/>
      <c r="H913" s="4"/>
      <c r="I913" s="4"/>
      <c r="J913" s="4"/>
      <c r="K913" s="4"/>
      <c r="L913" s="53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76"/>
      <c r="F914" s="53"/>
      <c r="G914" s="4"/>
      <c r="H914" s="4"/>
      <c r="I914" s="4"/>
      <c r="J914" s="4"/>
      <c r="K914" s="4"/>
      <c r="L914" s="53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76"/>
      <c r="F915" s="53"/>
      <c r="G915" s="4"/>
      <c r="H915" s="4"/>
      <c r="I915" s="4"/>
      <c r="J915" s="4"/>
      <c r="K915" s="4"/>
      <c r="L915" s="53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76"/>
      <c r="F916" s="53"/>
      <c r="G916" s="4"/>
      <c r="H916" s="4"/>
      <c r="I916" s="4"/>
      <c r="J916" s="4"/>
      <c r="K916" s="4"/>
      <c r="L916" s="53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76"/>
      <c r="F917" s="53"/>
      <c r="G917" s="4"/>
      <c r="H917" s="4"/>
      <c r="I917" s="4"/>
      <c r="J917" s="4"/>
      <c r="K917" s="4"/>
      <c r="L917" s="53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76"/>
      <c r="F918" s="53"/>
      <c r="G918" s="4"/>
      <c r="H918" s="4"/>
      <c r="I918" s="4"/>
      <c r="J918" s="4"/>
      <c r="K918" s="4"/>
      <c r="L918" s="53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76"/>
      <c r="F919" s="53"/>
      <c r="G919" s="4"/>
      <c r="H919" s="4"/>
      <c r="I919" s="4"/>
      <c r="J919" s="4"/>
      <c r="K919" s="4"/>
      <c r="L919" s="53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76"/>
      <c r="F920" s="53"/>
      <c r="G920" s="4"/>
      <c r="H920" s="4"/>
      <c r="I920" s="4"/>
      <c r="J920" s="4"/>
      <c r="K920" s="4"/>
      <c r="L920" s="53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76"/>
      <c r="F921" s="53"/>
      <c r="G921" s="4"/>
      <c r="H921" s="4"/>
      <c r="I921" s="4"/>
      <c r="J921" s="4"/>
      <c r="K921" s="4"/>
      <c r="L921" s="53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76"/>
      <c r="F922" s="53"/>
      <c r="G922" s="4"/>
      <c r="H922" s="4"/>
      <c r="I922" s="4"/>
      <c r="J922" s="4"/>
      <c r="K922" s="4"/>
      <c r="L922" s="53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76"/>
      <c r="F923" s="53"/>
      <c r="G923" s="4"/>
      <c r="H923" s="4"/>
      <c r="I923" s="4"/>
      <c r="J923" s="4"/>
      <c r="K923" s="4"/>
      <c r="L923" s="53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76"/>
      <c r="F924" s="53"/>
      <c r="G924" s="4"/>
      <c r="H924" s="4"/>
      <c r="I924" s="4"/>
      <c r="J924" s="4"/>
      <c r="K924" s="4"/>
      <c r="L924" s="53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76"/>
      <c r="F925" s="53"/>
      <c r="G925" s="4"/>
      <c r="H925" s="4"/>
      <c r="I925" s="4"/>
      <c r="J925" s="4"/>
      <c r="K925" s="4"/>
      <c r="L925" s="53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76"/>
      <c r="F926" s="53"/>
      <c r="G926" s="4"/>
      <c r="H926" s="4"/>
      <c r="I926" s="4"/>
      <c r="J926" s="4"/>
      <c r="K926" s="4"/>
      <c r="L926" s="53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76"/>
      <c r="F927" s="53"/>
      <c r="G927" s="4"/>
      <c r="H927" s="4"/>
      <c r="I927" s="4"/>
      <c r="J927" s="4"/>
      <c r="K927" s="4"/>
      <c r="L927" s="53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76"/>
      <c r="F928" s="53"/>
      <c r="G928" s="4"/>
      <c r="H928" s="4"/>
      <c r="I928" s="4"/>
      <c r="J928" s="4"/>
      <c r="K928" s="4"/>
      <c r="L928" s="53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76"/>
      <c r="F929" s="53"/>
      <c r="G929" s="4"/>
      <c r="H929" s="4"/>
      <c r="I929" s="4"/>
      <c r="J929" s="4"/>
      <c r="K929" s="4"/>
      <c r="L929" s="53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76"/>
      <c r="F930" s="53"/>
      <c r="G930" s="4"/>
      <c r="H930" s="4"/>
      <c r="I930" s="4"/>
      <c r="J930" s="4"/>
      <c r="K930" s="4"/>
      <c r="L930" s="53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76"/>
      <c r="F931" s="53"/>
      <c r="G931" s="4"/>
      <c r="H931" s="4"/>
      <c r="I931" s="4"/>
      <c r="J931" s="4"/>
      <c r="K931" s="4"/>
      <c r="L931" s="53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76"/>
      <c r="F932" s="53"/>
      <c r="G932" s="4"/>
      <c r="H932" s="4"/>
      <c r="I932" s="4"/>
      <c r="J932" s="4"/>
      <c r="K932" s="4"/>
      <c r="L932" s="53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76"/>
      <c r="F933" s="53"/>
      <c r="G933" s="4"/>
      <c r="H933" s="4"/>
      <c r="I933" s="4"/>
      <c r="J933" s="4"/>
      <c r="K933" s="4"/>
      <c r="L933" s="53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76"/>
      <c r="F934" s="53"/>
      <c r="G934" s="4"/>
      <c r="H934" s="4"/>
      <c r="I934" s="4"/>
      <c r="J934" s="4"/>
      <c r="K934" s="4"/>
      <c r="L934" s="53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76"/>
      <c r="F935" s="53"/>
      <c r="G935" s="4"/>
      <c r="H935" s="4"/>
      <c r="I935" s="4"/>
      <c r="J935" s="4"/>
      <c r="K935" s="4"/>
      <c r="L935" s="53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76"/>
      <c r="F936" s="53"/>
      <c r="G936" s="4"/>
      <c r="H936" s="4"/>
      <c r="I936" s="4"/>
      <c r="J936" s="4"/>
      <c r="K936" s="4"/>
      <c r="L936" s="53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76"/>
      <c r="F937" s="53"/>
      <c r="G937" s="4"/>
      <c r="H937" s="4"/>
      <c r="I937" s="4"/>
      <c r="J937" s="4"/>
      <c r="K937" s="4"/>
      <c r="L937" s="53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76"/>
      <c r="F938" s="53"/>
      <c r="G938" s="4"/>
      <c r="H938" s="4"/>
      <c r="I938" s="4"/>
      <c r="J938" s="4"/>
      <c r="K938" s="4"/>
      <c r="L938" s="53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76"/>
      <c r="F939" s="53"/>
      <c r="G939" s="4"/>
      <c r="H939" s="4"/>
      <c r="I939" s="4"/>
      <c r="J939" s="4"/>
      <c r="K939" s="4"/>
      <c r="L939" s="53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76"/>
      <c r="F940" s="53"/>
      <c r="G940" s="4"/>
      <c r="H940" s="4"/>
      <c r="I940" s="4"/>
      <c r="J940" s="4"/>
      <c r="K940" s="4"/>
      <c r="L940" s="53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76"/>
      <c r="F941" s="53"/>
      <c r="G941" s="4"/>
      <c r="H941" s="4"/>
      <c r="I941" s="4"/>
      <c r="J941" s="4"/>
      <c r="K941" s="4"/>
      <c r="L941" s="53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76"/>
      <c r="F942" s="53"/>
      <c r="G942" s="4"/>
      <c r="H942" s="4"/>
      <c r="I942" s="4"/>
      <c r="J942" s="4"/>
      <c r="K942" s="4"/>
      <c r="L942" s="53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76"/>
      <c r="F943" s="53"/>
      <c r="G943" s="4"/>
      <c r="H943" s="4"/>
      <c r="I943" s="4"/>
      <c r="J943" s="4"/>
      <c r="K943" s="4"/>
      <c r="L943" s="53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76"/>
      <c r="F944" s="53"/>
      <c r="G944" s="4"/>
      <c r="H944" s="4"/>
      <c r="I944" s="4"/>
      <c r="J944" s="4"/>
      <c r="K944" s="4"/>
      <c r="L944" s="53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76"/>
      <c r="F945" s="53"/>
      <c r="G945" s="4"/>
      <c r="H945" s="4"/>
      <c r="I945" s="4"/>
      <c r="J945" s="4"/>
      <c r="K945" s="4"/>
      <c r="L945" s="53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76"/>
      <c r="F946" s="53"/>
      <c r="G946" s="4"/>
      <c r="H946" s="4"/>
      <c r="I946" s="4"/>
      <c r="J946" s="4"/>
      <c r="K946" s="4"/>
      <c r="L946" s="53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76"/>
      <c r="F947" s="53"/>
      <c r="G947" s="4"/>
      <c r="H947" s="4"/>
      <c r="I947" s="4"/>
      <c r="J947" s="4"/>
      <c r="K947" s="4"/>
      <c r="L947" s="53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76"/>
      <c r="F948" s="53"/>
      <c r="G948" s="4"/>
      <c r="H948" s="4"/>
      <c r="I948" s="4"/>
      <c r="J948" s="4"/>
      <c r="K948" s="4"/>
      <c r="L948" s="53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76"/>
      <c r="F949" s="53"/>
      <c r="G949" s="4"/>
      <c r="H949" s="4"/>
      <c r="I949" s="4"/>
      <c r="J949" s="4"/>
      <c r="K949" s="4"/>
      <c r="L949" s="53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76"/>
      <c r="F950" s="53"/>
      <c r="G950" s="4"/>
      <c r="H950" s="4"/>
      <c r="I950" s="4"/>
      <c r="J950" s="4"/>
      <c r="K950" s="4"/>
      <c r="L950" s="53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76"/>
      <c r="F951" s="53"/>
      <c r="G951" s="4"/>
      <c r="H951" s="4"/>
      <c r="I951" s="4"/>
      <c r="J951" s="4"/>
      <c r="K951" s="4"/>
      <c r="L951" s="53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76"/>
      <c r="F952" s="53"/>
      <c r="G952" s="4"/>
      <c r="H952" s="4"/>
      <c r="I952" s="4"/>
      <c r="J952" s="4"/>
      <c r="K952" s="4"/>
      <c r="L952" s="53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76"/>
      <c r="F953" s="53"/>
      <c r="G953" s="4"/>
      <c r="H953" s="4"/>
      <c r="I953" s="4"/>
      <c r="J953" s="4"/>
      <c r="K953" s="4"/>
      <c r="L953" s="53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76"/>
      <c r="F954" s="53"/>
      <c r="G954" s="4"/>
      <c r="H954" s="4"/>
      <c r="I954" s="4"/>
      <c r="J954" s="4"/>
      <c r="K954" s="4"/>
      <c r="L954" s="53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76"/>
      <c r="F955" s="53"/>
      <c r="G955" s="4"/>
      <c r="H955" s="4"/>
      <c r="I955" s="4"/>
      <c r="J955" s="4"/>
      <c r="K955" s="4"/>
      <c r="L955" s="53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76"/>
      <c r="F956" s="53"/>
      <c r="G956" s="4"/>
      <c r="H956" s="4"/>
      <c r="I956" s="4"/>
      <c r="J956" s="4"/>
      <c r="K956" s="4"/>
      <c r="L956" s="53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76"/>
      <c r="F957" s="53"/>
      <c r="G957" s="4"/>
      <c r="H957" s="4"/>
      <c r="I957" s="4"/>
      <c r="J957" s="4"/>
      <c r="K957" s="4"/>
      <c r="L957" s="53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76"/>
      <c r="F958" s="53"/>
      <c r="G958" s="4"/>
      <c r="H958" s="4"/>
      <c r="I958" s="4"/>
      <c r="J958" s="4"/>
      <c r="K958" s="4"/>
      <c r="L958" s="53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76"/>
      <c r="F959" s="53"/>
      <c r="G959" s="4"/>
      <c r="H959" s="4"/>
      <c r="I959" s="4"/>
      <c r="J959" s="4"/>
      <c r="K959" s="4"/>
      <c r="L959" s="53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76"/>
      <c r="F960" s="53"/>
      <c r="G960" s="4"/>
      <c r="H960" s="4"/>
      <c r="I960" s="4"/>
      <c r="J960" s="4"/>
      <c r="K960" s="4"/>
      <c r="L960" s="53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76"/>
      <c r="F961" s="53"/>
      <c r="G961" s="4"/>
      <c r="H961" s="4"/>
      <c r="I961" s="4"/>
      <c r="J961" s="4"/>
      <c r="K961" s="4"/>
      <c r="L961" s="53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76"/>
      <c r="F962" s="53"/>
      <c r="G962" s="4"/>
      <c r="H962" s="4"/>
      <c r="I962" s="4"/>
      <c r="J962" s="4"/>
      <c r="K962" s="4"/>
      <c r="L962" s="53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76"/>
      <c r="F963" s="53"/>
      <c r="G963" s="4"/>
      <c r="H963" s="4"/>
      <c r="I963" s="4"/>
      <c r="J963" s="4"/>
      <c r="K963" s="4"/>
      <c r="L963" s="53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76"/>
      <c r="F964" s="53"/>
      <c r="G964" s="4"/>
      <c r="H964" s="4"/>
      <c r="I964" s="4"/>
      <c r="J964" s="4"/>
      <c r="K964" s="4"/>
      <c r="L964" s="53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76"/>
      <c r="F965" s="53"/>
      <c r="G965" s="4"/>
      <c r="H965" s="4"/>
      <c r="I965" s="4"/>
      <c r="J965" s="4"/>
      <c r="K965" s="4"/>
      <c r="L965" s="53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76"/>
      <c r="F966" s="53"/>
      <c r="G966" s="4"/>
      <c r="H966" s="4"/>
      <c r="I966" s="4"/>
      <c r="J966" s="4"/>
      <c r="K966" s="4"/>
      <c r="L966" s="53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76"/>
      <c r="F967" s="53"/>
      <c r="G967" s="4"/>
      <c r="H967" s="4"/>
      <c r="I967" s="4"/>
      <c r="J967" s="4"/>
      <c r="K967" s="4"/>
      <c r="L967" s="53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76"/>
      <c r="F968" s="53"/>
      <c r="G968" s="4"/>
      <c r="H968" s="4"/>
      <c r="I968" s="4"/>
      <c r="J968" s="4"/>
      <c r="K968" s="4"/>
      <c r="L968" s="53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76"/>
      <c r="F969" s="53"/>
      <c r="G969" s="4"/>
      <c r="H969" s="4"/>
      <c r="I969" s="4"/>
      <c r="J969" s="4"/>
      <c r="K969" s="4"/>
      <c r="L969" s="53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76"/>
      <c r="F970" s="53"/>
      <c r="G970" s="4"/>
      <c r="H970" s="4"/>
      <c r="I970" s="4"/>
      <c r="J970" s="4"/>
      <c r="K970" s="4"/>
      <c r="L970" s="53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76"/>
      <c r="F971" s="53"/>
      <c r="G971" s="4"/>
      <c r="H971" s="4"/>
      <c r="I971" s="4"/>
      <c r="J971" s="4"/>
      <c r="K971" s="4"/>
      <c r="L971" s="53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76"/>
      <c r="F972" s="53"/>
      <c r="G972" s="4"/>
      <c r="H972" s="4"/>
      <c r="I972" s="4"/>
      <c r="J972" s="4"/>
      <c r="K972" s="4"/>
      <c r="L972" s="53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76"/>
      <c r="F973" s="53"/>
      <c r="G973" s="4"/>
      <c r="H973" s="4"/>
      <c r="I973" s="4"/>
      <c r="J973" s="4"/>
      <c r="K973" s="4"/>
      <c r="L973" s="53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76"/>
      <c r="F974" s="53"/>
      <c r="G974" s="4"/>
      <c r="H974" s="4"/>
      <c r="I974" s="4"/>
      <c r="J974" s="4"/>
      <c r="K974" s="4"/>
      <c r="L974" s="53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76"/>
      <c r="F975" s="53"/>
      <c r="G975" s="4"/>
      <c r="H975" s="4"/>
      <c r="I975" s="4"/>
      <c r="J975" s="4"/>
      <c r="K975" s="4"/>
      <c r="L975" s="53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76"/>
      <c r="F976" s="53"/>
      <c r="G976" s="4"/>
      <c r="H976" s="4"/>
      <c r="I976" s="4"/>
      <c r="J976" s="4"/>
      <c r="K976" s="4"/>
      <c r="L976" s="53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76"/>
      <c r="F977" s="53"/>
      <c r="G977" s="4"/>
      <c r="H977" s="4"/>
      <c r="I977" s="4"/>
      <c r="J977" s="4"/>
      <c r="K977" s="4"/>
      <c r="L977" s="53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76"/>
      <c r="F978" s="53"/>
      <c r="G978" s="4"/>
      <c r="H978" s="4"/>
      <c r="I978" s="4"/>
      <c r="J978" s="4"/>
      <c r="K978" s="4"/>
      <c r="L978" s="53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76"/>
      <c r="F979" s="53"/>
      <c r="G979" s="4"/>
      <c r="H979" s="4"/>
      <c r="I979" s="4"/>
      <c r="J979" s="4"/>
      <c r="K979" s="4"/>
      <c r="L979" s="53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76"/>
      <c r="F980" s="53"/>
      <c r="G980" s="4"/>
      <c r="H980" s="4"/>
      <c r="I980" s="4"/>
      <c r="J980" s="4"/>
      <c r="K980" s="4"/>
      <c r="L980" s="53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76"/>
      <c r="F981" s="53"/>
      <c r="G981" s="4"/>
      <c r="H981" s="4"/>
      <c r="I981" s="4"/>
      <c r="J981" s="4"/>
      <c r="K981" s="4"/>
      <c r="L981" s="53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76"/>
      <c r="F982" s="53"/>
      <c r="G982" s="4"/>
      <c r="H982" s="4"/>
      <c r="I982" s="4"/>
      <c r="J982" s="4"/>
      <c r="K982" s="4"/>
      <c r="L982" s="53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76"/>
      <c r="F983" s="53"/>
      <c r="G983" s="4"/>
      <c r="H983" s="4"/>
      <c r="I983" s="4"/>
      <c r="J983" s="4"/>
      <c r="K983" s="4"/>
      <c r="L983" s="53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76"/>
      <c r="F984" s="53"/>
      <c r="G984" s="4"/>
      <c r="H984" s="4"/>
      <c r="I984" s="4"/>
      <c r="J984" s="4"/>
      <c r="K984" s="4"/>
      <c r="L984" s="53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76"/>
      <c r="F985" s="53"/>
      <c r="G985" s="4"/>
      <c r="H985" s="4"/>
      <c r="I985" s="4"/>
      <c r="J985" s="4"/>
      <c r="K985" s="4"/>
      <c r="L985" s="53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76"/>
      <c r="F986" s="53"/>
      <c r="G986" s="4"/>
      <c r="H986" s="4"/>
      <c r="I986" s="4"/>
      <c r="J986" s="4"/>
      <c r="K986" s="4"/>
      <c r="L986" s="53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76"/>
      <c r="F987" s="53"/>
      <c r="G987" s="4"/>
      <c r="H987" s="4"/>
      <c r="I987" s="4"/>
      <c r="J987" s="4"/>
      <c r="K987" s="4"/>
      <c r="L987" s="53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76"/>
      <c r="F988" s="53"/>
      <c r="G988" s="4"/>
      <c r="H988" s="4"/>
      <c r="I988" s="4"/>
      <c r="J988" s="4"/>
      <c r="K988" s="4"/>
      <c r="L988" s="53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76"/>
      <c r="F989" s="53"/>
      <c r="G989" s="4"/>
      <c r="H989" s="4"/>
      <c r="I989" s="4"/>
      <c r="J989" s="4"/>
      <c r="K989" s="4"/>
      <c r="L989" s="53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76"/>
      <c r="F990" s="53"/>
      <c r="G990" s="4"/>
      <c r="H990" s="4"/>
      <c r="I990" s="4"/>
      <c r="J990" s="4"/>
      <c r="K990" s="4"/>
      <c r="L990" s="53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76"/>
      <c r="F991" s="53"/>
      <c r="G991" s="4"/>
      <c r="H991" s="4"/>
      <c r="I991" s="4"/>
      <c r="J991" s="4"/>
      <c r="K991" s="4"/>
      <c r="L991" s="53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76"/>
      <c r="F992" s="53"/>
      <c r="G992" s="4"/>
      <c r="H992" s="4"/>
      <c r="I992" s="4"/>
      <c r="J992" s="4"/>
      <c r="K992" s="4"/>
      <c r="L992" s="53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76"/>
      <c r="F993" s="53"/>
      <c r="G993" s="4"/>
      <c r="H993" s="4"/>
      <c r="I993" s="4"/>
      <c r="J993" s="4"/>
      <c r="K993" s="4"/>
      <c r="L993" s="53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76"/>
      <c r="F994" s="53"/>
      <c r="G994" s="4"/>
      <c r="H994" s="4"/>
      <c r="I994" s="4"/>
      <c r="J994" s="4"/>
      <c r="K994" s="4"/>
      <c r="L994" s="53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76"/>
      <c r="F995" s="53"/>
      <c r="G995" s="4"/>
      <c r="H995" s="4"/>
      <c r="I995" s="4"/>
      <c r="J995" s="4"/>
      <c r="K995" s="4"/>
      <c r="L995" s="53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76"/>
      <c r="F996" s="53"/>
      <c r="G996" s="4"/>
      <c r="H996" s="4"/>
      <c r="I996" s="4"/>
      <c r="J996" s="4"/>
      <c r="K996" s="4"/>
      <c r="L996" s="53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76"/>
      <c r="F997" s="53"/>
      <c r="G997" s="4"/>
      <c r="H997" s="4"/>
      <c r="I997" s="4"/>
      <c r="J997" s="4"/>
      <c r="K997" s="4"/>
      <c r="L997" s="53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76"/>
      <c r="F998" s="53"/>
      <c r="G998" s="4"/>
      <c r="H998" s="4"/>
      <c r="I998" s="4"/>
      <c r="J998" s="4"/>
      <c r="K998" s="4"/>
      <c r="L998" s="53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76"/>
      <c r="F999" s="53"/>
      <c r="G999" s="4"/>
      <c r="H999" s="4"/>
      <c r="I999" s="4"/>
      <c r="J999" s="4"/>
      <c r="K999" s="4"/>
      <c r="L999" s="53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76"/>
      <c r="F1000" s="53"/>
      <c r="G1000" s="4"/>
      <c r="H1000" s="4"/>
      <c r="I1000" s="4"/>
      <c r="J1000" s="4"/>
      <c r="K1000" s="4"/>
      <c r="L1000" s="53"/>
      <c r="P1000" s="4"/>
      <c r="Q1000" s="4"/>
      <c r="R1000" s="4"/>
      <c r="S1000" s="4"/>
      <c r="T1000" s="4"/>
      <c r="U1000" s="4"/>
      <c r="V1000" s="4"/>
    </row>
  </sheetData>
  <mergeCells count="2">
    <mergeCell ref="A1:H1"/>
    <mergeCell ref="A2:H2"/>
  </mergeCells>
  <conditionalFormatting sqref="D5:D25 D28:D39">
    <cfRule type="containsBlanks" dxfId="0" priority="1">
      <formula>LEN(TRIM(D5))=0</formula>
    </cfRule>
  </conditionalFormatting>
  <conditionalFormatting sqref="F5:F25 F28:F39">
    <cfRule type="cellIs" dxfId="1" priority="2" operator="equal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11.13"/>
    <col customWidth="1" min="3" max="3" width="14.5"/>
    <col customWidth="1" min="4" max="4" width="8.63"/>
    <col customWidth="1" min="5" max="5" width="14.63"/>
    <col customWidth="1" min="6" max="6" width="7.5"/>
    <col customWidth="1" min="7" max="7" width="5.13"/>
    <col customWidth="1" min="8" max="8" width="12.75"/>
    <col customWidth="1" min="10" max="10" width="8.63"/>
    <col customWidth="1" min="11" max="11" width="14.63"/>
    <col customWidth="1" min="12" max="12" width="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P1" s="4"/>
      <c r="Q1" s="4"/>
      <c r="R1" s="4"/>
      <c r="S1" s="4"/>
      <c r="T1" s="4"/>
      <c r="U1" s="4"/>
      <c r="V1" s="4"/>
    </row>
    <row r="2">
      <c r="A2" s="5" t="s">
        <v>60</v>
      </c>
      <c r="P2" s="4"/>
      <c r="Q2" s="4"/>
      <c r="R2" s="4"/>
      <c r="S2" s="4"/>
      <c r="T2" s="4"/>
      <c r="U2" s="4"/>
      <c r="V2" s="4"/>
    </row>
    <row r="3">
      <c r="A3" s="8" t="s">
        <v>4</v>
      </c>
      <c r="B3" s="10"/>
      <c r="C3" s="10"/>
      <c r="D3" s="10"/>
      <c r="E3" s="10"/>
      <c r="F3" s="10"/>
      <c r="G3" s="10"/>
      <c r="H3" s="13"/>
      <c r="P3" s="4"/>
      <c r="Q3" s="4"/>
      <c r="R3" s="4"/>
      <c r="S3" s="4"/>
      <c r="T3" s="4"/>
      <c r="U3" s="4"/>
      <c r="V3" s="4"/>
    </row>
    <row r="4">
      <c r="A4" s="15" t="s">
        <v>6</v>
      </c>
      <c r="B4" s="17" t="s">
        <v>7</v>
      </c>
      <c r="C4" s="19" t="s">
        <v>8</v>
      </c>
      <c r="D4" s="21" t="s">
        <v>9</v>
      </c>
      <c r="E4" s="23" t="s">
        <v>10</v>
      </c>
      <c r="F4" s="24" t="s">
        <v>11</v>
      </c>
      <c r="H4" s="26" t="s">
        <v>12</v>
      </c>
      <c r="P4" s="4"/>
      <c r="Q4" s="4"/>
      <c r="R4" s="4"/>
      <c r="S4" s="4"/>
      <c r="T4" s="4"/>
      <c r="U4" s="4"/>
      <c r="V4" s="4"/>
    </row>
    <row r="5">
      <c r="A5" s="29" t="s">
        <v>13</v>
      </c>
      <c r="B5" s="30" t="s">
        <v>14</v>
      </c>
      <c r="C5" s="32">
        <v>46233.99930555555</v>
      </c>
      <c r="D5" s="33" t="s">
        <v>15</v>
      </c>
      <c r="E5" s="32">
        <f t="shared" ref="E5:E25" si="1">IF(D5&lt;&gt;"",IF(E5="",NOW(),E5),"")</f>
        <v>46233.26135</v>
      </c>
      <c r="F5" s="37">
        <f t="shared" ref="F5:F25" si="2">if(D5 = "", 0,IF(E5&lt;C5,0.5,0))</f>
        <v>0.5</v>
      </c>
      <c r="H5" s="38">
        <f t="shared" ref="H5:H25" si="3">if(D5 &lt;&gt; "", ABS(E5-C5), "0")</f>
        <v>0.7379561227</v>
      </c>
      <c r="P5" s="4"/>
      <c r="Q5" s="4"/>
      <c r="R5" s="4"/>
      <c r="S5" s="4"/>
      <c r="T5" s="4"/>
      <c r="U5" s="4"/>
      <c r="V5" s="4"/>
    </row>
    <row r="6">
      <c r="A6" s="39" t="s">
        <v>16</v>
      </c>
      <c r="B6" s="30" t="s">
        <v>14</v>
      </c>
      <c r="C6" s="32">
        <v>46233.99930555555</v>
      </c>
      <c r="D6" s="33" t="s">
        <v>15</v>
      </c>
      <c r="E6" s="32">
        <f t="shared" si="1"/>
        <v>46233.26142</v>
      </c>
      <c r="F6" s="37">
        <f t="shared" si="2"/>
        <v>0.5</v>
      </c>
      <c r="H6" s="38">
        <f t="shared" si="3"/>
        <v>0.737883206</v>
      </c>
      <c r="P6" s="4"/>
      <c r="Q6" s="4"/>
      <c r="R6" s="4"/>
      <c r="S6" s="4"/>
      <c r="T6" s="4"/>
      <c r="U6" s="4"/>
      <c r="V6" s="4"/>
    </row>
    <row r="7">
      <c r="A7" s="39" t="s">
        <v>17</v>
      </c>
      <c r="B7" s="30" t="s">
        <v>18</v>
      </c>
      <c r="C7" s="32">
        <v>46205.99930555555</v>
      </c>
      <c r="D7" s="33" t="s">
        <v>15</v>
      </c>
      <c r="E7" s="32">
        <f t="shared" si="1"/>
        <v>46205.28508</v>
      </c>
      <c r="F7" s="37">
        <f t="shared" si="2"/>
        <v>0.5</v>
      </c>
      <c r="H7" s="38">
        <f t="shared" si="3"/>
        <v>0.7142209259</v>
      </c>
      <c r="P7" s="4"/>
      <c r="Q7" s="4"/>
      <c r="R7" s="4"/>
      <c r="S7" s="4"/>
      <c r="T7" s="4"/>
      <c r="U7" s="4"/>
      <c r="V7" s="4"/>
    </row>
    <row r="8">
      <c r="A8" s="39" t="s">
        <v>19</v>
      </c>
      <c r="B8" s="30" t="s">
        <v>20</v>
      </c>
      <c r="C8" s="32">
        <v>46205.99930555555</v>
      </c>
      <c r="D8" s="33" t="s">
        <v>21</v>
      </c>
      <c r="E8" s="32">
        <f t="shared" si="1"/>
        <v>46205.0204</v>
      </c>
      <c r="F8" s="37">
        <f t="shared" si="2"/>
        <v>0.5</v>
      </c>
      <c r="H8" s="38">
        <f t="shared" si="3"/>
        <v>0.9789032639</v>
      </c>
      <c r="P8" s="4"/>
      <c r="Q8" s="4"/>
      <c r="R8" s="4"/>
      <c r="S8" s="4"/>
      <c r="T8" s="4"/>
      <c r="U8" s="4"/>
      <c r="V8" s="4"/>
    </row>
    <row r="9">
      <c r="A9" s="39" t="s">
        <v>22</v>
      </c>
      <c r="B9" s="30" t="s">
        <v>23</v>
      </c>
      <c r="C9" s="32">
        <v>46206.99930555555</v>
      </c>
      <c r="D9" s="33" t="s">
        <v>21</v>
      </c>
      <c r="E9" s="32">
        <f t="shared" si="1"/>
        <v>46204.32802</v>
      </c>
      <c r="F9" s="37">
        <f t="shared" si="2"/>
        <v>0.5</v>
      </c>
      <c r="H9" s="38">
        <f t="shared" si="3"/>
        <v>2.671288553</v>
      </c>
      <c r="J9" s="86">
        <v>0.0</v>
      </c>
      <c r="P9" s="4"/>
      <c r="Q9" s="4"/>
      <c r="R9" s="4"/>
      <c r="S9" s="4"/>
      <c r="T9" s="4"/>
      <c r="U9" s="4"/>
      <c r="V9" s="4"/>
    </row>
    <row r="10">
      <c r="A10" s="39" t="s">
        <v>24</v>
      </c>
      <c r="B10" s="30" t="s">
        <v>23</v>
      </c>
      <c r="C10" s="32">
        <v>46206.99930555555</v>
      </c>
      <c r="D10" s="33" t="s">
        <v>21</v>
      </c>
      <c r="E10" s="32">
        <f t="shared" si="1"/>
        <v>46204.32803</v>
      </c>
      <c r="F10" s="37">
        <f t="shared" si="2"/>
        <v>0.5</v>
      </c>
      <c r="H10" s="38">
        <f t="shared" si="3"/>
        <v>2.671278657</v>
      </c>
      <c r="J10" s="86">
        <v>100.0</v>
      </c>
      <c r="P10" s="4"/>
      <c r="Q10" s="4"/>
      <c r="R10" s="4"/>
      <c r="S10" s="4"/>
      <c r="T10" s="4"/>
      <c r="U10" s="4"/>
      <c r="V10" s="4"/>
    </row>
    <row r="11">
      <c r="A11" s="39" t="s">
        <v>25</v>
      </c>
      <c r="B11" s="30" t="s">
        <v>14</v>
      </c>
      <c r="C11" s="32">
        <v>46211.99930555555</v>
      </c>
      <c r="D11" s="33" t="s">
        <v>15</v>
      </c>
      <c r="E11" s="32">
        <f t="shared" si="1"/>
        <v>46210.31674</v>
      </c>
      <c r="F11" s="37">
        <f t="shared" si="2"/>
        <v>0.5</v>
      </c>
      <c r="H11" s="38">
        <f t="shared" si="3"/>
        <v>1.682568785</v>
      </c>
      <c r="J11" s="86">
        <v>100.0</v>
      </c>
      <c r="P11" s="4"/>
      <c r="Q11" s="4"/>
      <c r="R11" s="4"/>
      <c r="S11" s="4"/>
      <c r="T11" s="4"/>
      <c r="U11" s="4"/>
      <c r="V11" s="4"/>
    </row>
    <row r="12">
      <c r="A12" s="49" t="s">
        <v>26</v>
      </c>
      <c r="B12" s="30" t="s">
        <v>14</v>
      </c>
      <c r="C12" s="32">
        <v>46211.99930555555</v>
      </c>
      <c r="D12" s="33" t="s">
        <v>15</v>
      </c>
      <c r="E12" s="32">
        <f t="shared" si="1"/>
        <v>46210.31677</v>
      </c>
      <c r="F12" s="37">
        <f t="shared" si="2"/>
        <v>0.5</v>
      </c>
      <c r="H12" s="38">
        <f t="shared" si="3"/>
        <v>1.682539271</v>
      </c>
      <c r="P12" s="4"/>
      <c r="Q12" s="4"/>
      <c r="R12" s="4"/>
      <c r="S12" s="4"/>
      <c r="T12" s="4"/>
      <c r="U12" s="4"/>
      <c r="V12" s="4"/>
    </row>
    <row r="13">
      <c r="A13" s="49" t="s">
        <v>27</v>
      </c>
      <c r="B13" s="30" t="s">
        <v>23</v>
      </c>
      <c r="C13" s="32">
        <v>46213.99930555555</v>
      </c>
      <c r="D13" s="33" t="s">
        <v>21</v>
      </c>
      <c r="E13" s="32">
        <f t="shared" si="1"/>
        <v>46217.46602</v>
      </c>
      <c r="F13" s="37">
        <f t="shared" si="2"/>
        <v>0</v>
      </c>
      <c r="H13" s="38">
        <f t="shared" si="3"/>
        <v>3.466715613</v>
      </c>
      <c r="P13" s="4"/>
      <c r="Q13" s="4"/>
      <c r="R13" s="4"/>
      <c r="S13" s="4"/>
      <c r="T13" s="4"/>
      <c r="U13" s="4"/>
      <c r="V13" s="4"/>
    </row>
    <row r="14">
      <c r="A14" s="49" t="s">
        <v>29</v>
      </c>
      <c r="B14" s="30" t="s">
        <v>30</v>
      </c>
      <c r="C14" s="32">
        <v>46213.99930555555</v>
      </c>
      <c r="D14" s="33" t="s">
        <v>21</v>
      </c>
      <c r="E14" s="32">
        <f t="shared" si="1"/>
        <v>46212.58095</v>
      </c>
      <c r="F14" s="37">
        <f t="shared" si="2"/>
        <v>0.5</v>
      </c>
      <c r="H14" s="38">
        <f t="shared" si="3"/>
        <v>1.418360012</v>
      </c>
      <c r="P14" s="4"/>
      <c r="Q14" s="4"/>
      <c r="R14" s="4"/>
      <c r="S14" s="4"/>
      <c r="T14" s="4"/>
      <c r="U14" s="4"/>
      <c r="V14" s="4"/>
    </row>
    <row r="15">
      <c r="A15" s="49" t="s">
        <v>32</v>
      </c>
      <c r="B15" s="30" t="s">
        <v>20</v>
      </c>
      <c r="C15" s="32">
        <v>46213.99930555555</v>
      </c>
      <c r="D15" s="33" t="s">
        <v>21</v>
      </c>
      <c r="E15" s="32">
        <f t="shared" si="1"/>
        <v>46213.06736</v>
      </c>
      <c r="F15" s="37">
        <f t="shared" si="2"/>
        <v>0.5</v>
      </c>
      <c r="H15" s="38">
        <f t="shared" si="3"/>
        <v>0.9319415972</v>
      </c>
      <c r="P15" s="4"/>
      <c r="Q15" s="4"/>
      <c r="R15" s="4"/>
      <c r="S15" s="4"/>
      <c r="T15" s="4"/>
      <c r="U15" s="4"/>
      <c r="V15" s="4"/>
    </row>
    <row r="16">
      <c r="A16" s="49" t="s">
        <v>33</v>
      </c>
      <c r="B16" s="30" t="s">
        <v>20</v>
      </c>
      <c r="C16" s="32">
        <v>46218.99930555555</v>
      </c>
      <c r="D16" s="33" t="s">
        <v>21</v>
      </c>
      <c r="E16" s="32">
        <f t="shared" si="1"/>
        <v>46217.54031</v>
      </c>
      <c r="F16" s="37">
        <f t="shared" si="2"/>
        <v>0.5</v>
      </c>
      <c r="H16" s="38">
        <f t="shared" si="3"/>
        <v>1.45899662</v>
      </c>
      <c r="P16" s="4"/>
      <c r="Q16" s="4"/>
      <c r="R16" s="4"/>
      <c r="S16" s="4"/>
      <c r="T16" s="4"/>
      <c r="U16" s="4"/>
      <c r="V16" s="4"/>
    </row>
    <row r="17">
      <c r="A17" s="49" t="s">
        <v>34</v>
      </c>
      <c r="B17" s="30" t="s">
        <v>30</v>
      </c>
      <c r="C17" s="32">
        <v>46218.99930555555</v>
      </c>
      <c r="D17" s="33" t="s">
        <v>21</v>
      </c>
      <c r="E17" s="32">
        <f t="shared" si="1"/>
        <v>46217.50185</v>
      </c>
      <c r="F17" s="37">
        <f t="shared" si="2"/>
        <v>0.5</v>
      </c>
      <c r="G17" s="4"/>
      <c r="H17" s="38">
        <f t="shared" si="3"/>
        <v>1.497453542</v>
      </c>
      <c r="I17" s="4"/>
      <c r="J17" s="4"/>
      <c r="K17" s="4"/>
      <c r="L17" s="53"/>
      <c r="P17" s="4"/>
      <c r="Q17" s="4"/>
      <c r="R17" s="4"/>
      <c r="S17" s="4"/>
      <c r="T17" s="4"/>
      <c r="U17" s="4"/>
      <c r="V17" s="4"/>
    </row>
    <row r="18">
      <c r="A18" s="49" t="s">
        <v>35</v>
      </c>
      <c r="B18" s="30" t="s">
        <v>14</v>
      </c>
      <c r="C18" s="32">
        <v>46220.99930555555</v>
      </c>
      <c r="D18" s="33" t="s">
        <v>15</v>
      </c>
      <c r="E18" s="32">
        <f t="shared" si="1"/>
        <v>46220.14369</v>
      </c>
      <c r="F18" s="37">
        <f t="shared" si="2"/>
        <v>0.5</v>
      </c>
      <c r="G18" s="4"/>
      <c r="H18" s="38">
        <f t="shared" si="3"/>
        <v>0.8556159954</v>
      </c>
      <c r="I18" s="4"/>
      <c r="J18" s="4"/>
      <c r="K18" s="4"/>
      <c r="L18" s="53"/>
      <c r="P18" s="4"/>
      <c r="Q18" s="4"/>
      <c r="R18" s="4"/>
      <c r="S18" s="4"/>
      <c r="T18" s="4"/>
      <c r="U18" s="4"/>
      <c r="V18" s="4"/>
    </row>
    <row r="19">
      <c r="A19" s="49" t="s">
        <v>36</v>
      </c>
      <c r="B19" s="30" t="s">
        <v>37</v>
      </c>
      <c r="C19" s="32">
        <v>46220.99930555555</v>
      </c>
      <c r="D19" s="33" t="s">
        <v>61</v>
      </c>
      <c r="E19" s="32">
        <f t="shared" si="1"/>
        <v>46220.15618</v>
      </c>
      <c r="F19" s="37">
        <f t="shared" si="2"/>
        <v>0.5</v>
      </c>
      <c r="G19" s="4"/>
      <c r="H19" s="38">
        <f t="shared" si="3"/>
        <v>0.8431303935</v>
      </c>
      <c r="I19" s="4"/>
      <c r="J19" s="4"/>
      <c r="K19" s="4"/>
      <c r="L19" s="53"/>
      <c r="P19" s="4"/>
      <c r="Q19" s="4"/>
      <c r="R19" s="4"/>
      <c r="S19" s="4"/>
      <c r="T19" s="4"/>
      <c r="U19" s="4"/>
      <c r="V19" s="4"/>
    </row>
    <row r="20">
      <c r="A20" s="49" t="s">
        <v>38</v>
      </c>
      <c r="B20" s="30" t="s">
        <v>30</v>
      </c>
      <c r="C20" s="32">
        <v>46224.99930555555</v>
      </c>
      <c r="D20" s="33" t="s">
        <v>21</v>
      </c>
      <c r="E20" s="32">
        <f t="shared" si="1"/>
        <v>46227.52637</v>
      </c>
      <c r="F20" s="37">
        <f t="shared" si="2"/>
        <v>0</v>
      </c>
      <c r="G20" s="4"/>
      <c r="H20" s="38">
        <f t="shared" si="3"/>
        <v>2.527066123</v>
      </c>
      <c r="I20" s="4"/>
      <c r="J20" s="4"/>
      <c r="K20" s="4"/>
      <c r="L20" s="53"/>
      <c r="P20" s="4"/>
      <c r="Q20" s="4"/>
      <c r="R20" s="4"/>
      <c r="S20" s="4"/>
      <c r="T20" s="4"/>
      <c r="U20" s="4"/>
      <c r="V20" s="4"/>
    </row>
    <row r="21">
      <c r="A21" s="49" t="s">
        <v>39</v>
      </c>
      <c r="B21" s="30" t="s">
        <v>18</v>
      </c>
      <c r="C21" s="32">
        <v>46224.99930555555</v>
      </c>
      <c r="D21" s="33" t="s">
        <v>15</v>
      </c>
      <c r="E21" s="32">
        <f t="shared" si="1"/>
        <v>46223.5627</v>
      </c>
      <c r="F21" s="37">
        <f t="shared" si="2"/>
        <v>0.5</v>
      </c>
      <c r="G21" s="4"/>
      <c r="H21" s="38">
        <f t="shared" si="3"/>
        <v>1.436608785</v>
      </c>
      <c r="I21" s="4"/>
      <c r="J21" s="4"/>
      <c r="K21" s="4"/>
      <c r="L21" s="53"/>
      <c r="P21" s="4"/>
      <c r="Q21" s="4"/>
      <c r="R21" s="4"/>
      <c r="S21" s="4"/>
      <c r="T21" s="4"/>
      <c r="U21" s="4"/>
      <c r="V21" s="4"/>
    </row>
    <row r="22">
      <c r="A22" s="49" t="s">
        <v>40</v>
      </c>
      <c r="B22" s="30" t="s">
        <v>37</v>
      </c>
      <c r="C22" s="32">
        <v>46226.99930555555</v>
      </c>
      <c r="D22" s="33" t="s">
        <v>61</v>
      </c>
      <c r="E22" s="32">
        <f t="shared" si="1"/>
        <v>46226.25762</v>
      </c>
      <c r="F22" s="37">
        <f t="shared" si="2"/>
        <v>0.5</v>
      </c>
      <c r="G22" s="4"/>
      <c r="H22" s="38">
        <f t="shared" si="3"/>
        <v>0.741688044</v>
      </c>
      <c r="I22" s="4"/>
      <c r="J22" s="70"/>
      <c r="K22" s="4"/>
      <c r="L22" s="53"/>
      <c r="P22" s="4"/>
      <c r="Q22" s="4"/>
      <c r="R22" s="4"/>
      <c r="S22" s="4"/>
      <c r="T22" s="4"/>
      <c r="U22" s="4"/>
      <c r="V22" s="4"/>
    </row>
    <row r="23">
      <c r="A23" s="49" t="s">
        <v>41</v>
      </c>
      <c r="B23" s="30" t="s">
        <v>18</v>
      </c>
      <c r="C23" s="32">
        <v>46226.99930555555</v>
      </c>
      <c r="D23" s="33" t="s">
        <v>15</v>
      </c>
      <c r="E23" s="32">
        <f t="shared" si="1"/>
        <v>46225.57651</v>
      </c>
      <c r="F23" s="37">
        <f t="shared" si="2"/>
        <v>0.5</v>
      </c>
      <c r="G23" s="4"/>
      <c r="H23" s="38">
        <f t="shared" si="3"/>
        <v>1.422793727</v>
      </c>
      <c r="I23" s="4"/>
      <c r="J23" s="70">
        <v>100.0</v>
      </c>
      <c r="K23" s="4"/>
      <c r="L23" s="53"/>
      <c r="P23" s="4"/>
      <c r="Q23" s="4"/>
      <c r="R23" s="4"/>
      <c r="S23" s="4"/>
      <c r="T23" s="4"/>
      <c r="U23" s="4"/>
      <c r="V23" s="4"/>
    </row>
    <row r="24">
      <c r="A24" s="49" t="s">
        <v>42</v>
      </c>
      <c r="B24" s="30" t="s">
        <v>23</v>
      </c>
      <c r="C24" s="32">
        <v>46227.99930555555</v>
      </c>
      <c r="D24" s="33" t="s">
        <v>21</v>
      </c>
      <c r="E24" s="32">
        <f t="shared" si="1"/>
        <v>46232.11065</v>
      </c>
      <c r="F24" s="37">
        <f t="shared" si="2"/>
        <v>0</v>
      </c>
      <c r="G24" s="4"/>
      <c r="H24" s="38">
        <f t="shared" si="3"/>
        <v>4.111345243</v>
      </c>
      <c r="I24" s="4"/>
      <c r="J24" s="70">
        <v>100.0</v>
      </c>
      <c r="K24" s="4"/>
      <c r="L24" s="53"/>
      <c r="P24" s="4"/>
      <c r="Q24" s="4"/>
      <c r="R24" s="4"/>
      <c r="S24" s="4"/>
      <c r="T24" s="4"/>
      <c r="U24" s="4"/>
      <c r="V24" s="4"/>
    </row>
    <row r="25">
      <c r="A25" s="55" t="s">
        <v>43</v>
      </c>
      <c r="B25" s="30" t="s">
        <v>37</v>
      </c>
      <c r="C25" s="32">
        <v>46227.99930555555</v>
      </c>
      <c r="D25" s="56" t="s">
        <v>21</v>
      </c>
      <c r="E25" s="32">
        <f t="shared" si="1"/>
        <v>46227.35365</v>
      </c>
      <c r="F25" s="57">
        <f t="shared" si="2"/>
        <v>0.5</v>
      </c>
      <c r="G25" s="4"/>
      <c r="H25" s="58">
        <f t="shared" si="3"/>
        <v>0.6456514005</v>
      </c>
      <c r="I25" s="4"/>
      <c r="J25" s="70">
        <v>0.0</v>
      </c>
      <c r="K25" s="4"/>
      <c r="L25" s="53"/>
      <c r="P25" s="4"/>
      <c r="Q25" s="4"/>
      <c r="R25" s="4"/>
      <c r="S25" s="4"/>
      <c r="T25" s="4"/>
      <c r="U25" s="4"/>
      <c r="V25" s="4"/>
    </row>
    <row r="26">
      <c r="A26" s="87" t="s">
        <v>44</v>
      </c>
      <c r="B26" s="60"/>
      <c r="C26" s="87"/>
      <c r="D26" s="87"/>
      <c r="E26" s="87"/>
      <c r="F26" s="87"/>
      <c r="G26" s="87"/>
      <c r="H26" s="87"/>
      <c r="I26" s="4"/>
      <c r="J26" s="4"/>
      <c r="K26" s="4"/>
      <c r="L26" s="53"/>
      <c r="P26" s="4"/>
      <c r="Q26" s="4"/>
      <c r="R26" s="4"/>
      <c r="S26" s="4"/>
      <c r="T26" s="4"/>
      <c r="U26" s="4"/>
      <c r="V26" s="4"/>
    </row>
    <row r="27">
      <c r="A27" s="63" t="s">
        <v>6</v>
      </c>
      <c r="B27" s="17" t="s">
        <v>7</v>
      </c>
      <c r="C27" s="64" t="s">
        <v>8</v>
      </c>
      <c r="D27" s="65" t="s">
        <v>9</v>
      </c>
      <c r="E27" s="27" t="s">
        <v>10</v>
      </c>
      <c r="F27" s="28" t="s">
        <v>11</v>
      </c>
      <c r="G27" s="4"/>
      <c r="H27" s="26" t="s">
        <v>12</v>
      </c>
      <c r="K27" s="4"/>
      <c r="L27" s="53"/>
      <c r="P27" s="4"/>
      <c r="Q27" s="4"/>
      <c r="R27" s="4"/>
      <c r="S27" s="4"/>
      <c r="T27" s="4"/>
      <c r="U27" s="4"/>
      <c r="V27" s="4"/>
    </row>
    <row r="28">
      <c r="A28" s="29" t="s">
        <v>45</v>
      </c>
      <c r="B28" s="30" t="s">
        <v>20</v>
      </c>
      <c r="C28" s="32">
        <v>46233.99930555555</v>
      </c>
      <c r="D28" s="33" t="s">
        <v>21</v>
      </c>
      <c r="E28" s="32">
        <f t="shared" ref="E28:E39" si="4">IF(D28&lt;&gt;"",IF(E28="",NOW(),E28),"")</f>
        <v>46232.32884</v>
      </c>
      <c r="F28" s="37">
        <f t="shared" ref="F28:F39" si="5">if(D28 = "", 0,IF(E28&lt;C28,0.5,0))</f>
        <v>0.5</v>
      </c>
      <c r="G28" s="4"/>
      <c r="H28" s="38">
        <f t="shared" ref="H28:H39" si="6">if(D28 &lt;&gt; "", ABS(E28-C28), "0")</f>
        <v>1.670461667</v>
      </c>
      <c r="K28" s="4"/>
      <c r="L28" s="53"/>
      <c r="P28" s="4"/>
      <c r="Q28" s="4"/>
      <c r="R28" s="4"/>
      <c r="S28" s="4"/>
      <c r="T28" s="4"/>
      <c r="U28" s="4"/>
      <c r="V28" s="4"/>
    </row>
    <row r="29">
      <c r="A29" s="68" t="s">
        <v>46</v>
      </c>
      <c r="B29" s="30" t="s">
        <v>20</v>
      </c>
      <c r="C29" s="32">
        <v>46233.99930555555</v>
      </c>
      <c r="D29" s="33" t="s">
        <v>21</v>
      </c>
      <c r="E29" s="32">
        <f t="shared" si="4"/>
        <v>46232.32889</v>
      </c>
      <c r="F29" s="37">
        <f t="shared" si="5"/>
        <v>0.5</v>
      </c>
      <c r="G29" s="4"/>
      <c r="H29" s="38">
        <f t="shared" si="6"/>
        <v>1.670420428</v>
      </c>
      <c r="K29" s="4"/>
      <c r="L29" s="53"/>
      <c r="P29" s="4"/>
      <c r="Q29" s="4"/>
      <c r="R29" s="4"/>
      <c r="S29" s="4"/>
      <c r="T29" s="4"/>
      <c r="U29" s="4"/>
      <c r="V29" s="4"/>
    </row>
    <row r="30">
      <c r="A30" s="68" t="s">
        <v>47</v>
      </c>
      <c r="B30" s="30" t="s">
        <v>23</v>
      </c>
      <c r="C30" s="32">
        <v>46205.99930555555</v>
      </c>
      <c r="D30" s="33" t="s">
        <v>21</v>
      </c>
      <c r="E30" s="32">
        <f t="shared" si="4"/>
        <v>46204.23195</v>
      </c>
      <c r="F30" s="37">
        <f t="shared" si="5"/>
        <v>0.5</v>
      </c>
      <c r="G30" s="4"/>
      <c r="H30" s="38">
        <f t="shared" si="6"/>
        <v>1.767352303</v>
      </c>
      <c r="K30" s="4"/>
      <c r="L30" s="53"/>
      <c r="P30" s="4"/>
      <c r="Q30" s="4"/>
      <c r="R30" s="4"/>
      <c r="S30" s="4"/>
      <c r="T30" s="4"/>
      <c r="U30" s="4"/>
      <c r="V30" s="4"/>
    </row>
    <row r="31">
      <c r="A31" s="68" t="s">
        <v>48</v>
      </c>
      <c r="B31" s="30" t="s">
        <v>14</v>
      </c>
      <c r="C31" s="32">
        <v>46206.99930555555</v>
      </c>
      <c r="D31" s="33" t="s">
        <v>15</v>
      </c>
      <c r="E31" s="32">
        <f t="shared" si="4"/>
        <v>46208.94455</v>
      </c>
      <c r="F31" s="37">
        <f t="shared" si="5"/>
        <v>0</v>
      </c>
      <c r="G31" s="4"/>
      <c r="H31" s="38">
        <f t="shared" si="6"/>
        <v>1.945240139</v>
      </c>
      <c r="K31" s="4"/>
      <c r="L31" s="53"/>
      <c r="P31" s="4"/>
      <c r="Q31" s="4"/>
      <c r="R31" s="4"/>
      <c r="S31" s="4"/>
      <c r="T31" s="4"/>
      <c r="U31" s="4"/>
      <c r="V31" s="4"/>
    </row>
    <row r="32">
      <c r="A32" s="69" t="s">
        <v>50</v>
      </c>
      <c r="B32" s="30" t="s">
        <v>23</v>
      </c>
      <c r="C32" s="32">
        <v>46211.99930555555</v>
      </c>
      <c r="D32" s="33" t="s">
        <v>21</v>
      </c>
      <c r="E32" s="32">
        <f t="shared" si="4"/>
        <v>46210.50046</v>
      </c>
      <c r="F32" s="37">
        <f t="shared" si="5"/>
        <v>0.5</v>
      </c>
      <c r="G32" s="4"/>
      <c r="H32" s="38">
        <f t="shared" si="6"/>
        <v>1.498849942</v>
      </c>
      <c r="K32" s="4"/>
      <c r="L32" s="53"/>
      <c r="P32" s="4"/>
      <c r="Q32" s="4"/>
      <c r="R32" s="4"/>
      <c r="S32" s="4"/>
      <c r="T32" s="4"/>
      <c r="U32" s="4"/>
      <c r="V32" s="4"/>
    </row>
    <row r="33">
      <c r="A33" s="69" t="s">
        <v>51</v>
      </c>
      <c r="B33" s="30" t="s">
        <v>20</v>
      </c>
      <c r="C33" s="32">
        <v>46213.99930555555</v>
      </c>
      <c r="D33" s="33" t="s">
        <v>21</v>
      </c>
      <c r="E33" s="32">
        <f t="shared" si="4"/>
        <v>46213.06722</v>
      </c>
      <c r="F33" s="37">
        <f t="shared" si="5"/>
        <v>0.5</v>
      </c>
      <c r="G33" s="4"/>
      <c r="H33" s="38">
        <f t="shared" si="6"/>
        <v>0.9320814005</v>
      </c>
      <c r="K33" s="4"/>
      <c r="L33" s="53"/>
      <c r="P33" s="4"/>
      <c r="Q33" s="4"/>
      <c r="R33" s="4"/>
      <c r="S33" s="4"/>
      <c r="T33" s="4"/>
      <c r="U33" s="4"/>
      <c r="V33" s="4"/>
    </row>
    <row r="34">
      <c r="A34" s="69" t="s">
        <v>52</v>
      </c>
      <c r="B34" s="30" t="s">
        <v>14</v>
      </c>
      <c r="C34" s="32">
        <v>46218.99930555555</v>
      </c>
      <c r="D34" s="33" t="s">
        <v>15</v>
      </c>
      <c r="E34" s="32">
        <f t="shared" si="4"/>
        <v>46218.03316</v>
      </c>
      <c r="F34" s="37">
        <f t="shared" si="5"/>
        <v>0.5</v>
      </c>
      <c r="G34" s="4"/>
      <c r="H34" s="38">
        <f t="shared" si="6"/>
        <v>0.966148044</v>
      </c>
      <c r="I34" s="4"/>
      <c r="J34" s="4"/>
      <c r="K34" s="4"/>
      <c r="L34" s="53"/>
      <c r="P34" s="4"/>
      <c r="Q34" s="4"/>
      <c r="R34" s="4"/>
      <c r="S34" s="4"/>
      <c r="T34" s="4"/>
      <c r="U34" s="4"/>
      <c r="V34" s="4"/>
    </row>
    <row r="35">
      <c r="A35" s="69" t="s">
        <v>53</v>
      </c>
      <c r="B35" s="30" t="s">
        <v>20</v>
      </c>
      <c r="C35" s="32">
        <v>46220.99930555555</v>
      </c>
      <c r="D35" s="33" t="s">
        <v>21</v>
      </c>
      <c r="E35" s="32">
        <f t="shared" si="4"/>
        <v>46231.09997</v>
      </c>
      <c r="F35" s="37">
        <f t="shared" si="5"/>
        <v>0</v>
      </c>
      <c r="G35" s="4"/>
      <c r="H35" s="38">
        <f t="shared" si="6"/>
        <v>10.100663</v>
      </c>
      <c r="I35" s="70"/>
      <c r="J35" s="70"/>
      <c r="K35" s="4"/>
      <c r="L35" s="71"/>
      <c r="P35" s="4"/>
      <c r="Q35" s="4"/>
      <c r="R35" s="4"/>
      <c r="S35" s="4"/>
      <c r="T35" s="4"/>
      <c r="U35" s="4"/>
      <c r="V35" s="4"/>
    </row>
    <row r="36">
      <c r="A36" s="69" t="s">
        <v>54</v>
      </c>
      <c r="B36" s="30" t="s">
        <v>55</v>
      </c>
      <c r="C36" s="32">
        <v>46224.99930555555</v>
      </c>
      <c r="D36" s="33" t="s">
        <v>21</v>
      </c>
      <c r="E36" s="32">
        <f t="shared" si="4"/>
        <v>46225.38346</v>
      </c>
      <c r="F36" s="37">
        <f t="shared" si="5"/>
        <v>0</v>
      </c>
      <c r="G36" s="4"/>
      <c r="H36" s="38">
        <f t="shared" si="6"/>
        <v>0.3841565972</v>
      </c>
      <c r="J36" s="70"/>
      <c r="K36" s="70"/>
      <c r="L36" s="72"/>
      <c r="P36" s="4"/>
      <c r="Q36" s="4"/>
      <c r="R36" s="4"/>
      <c r="S36" s="4"/>
      <c r="T36" s="4"/>
      <c r="U36" s="4"/>
      <c r="V36" s="4"/>
    </row>
    <row r="37">
      <c r="A37" s="69" t="s">
        <v>56</v>
      </c>
      <c r="B37" s="30" t="s">
        <v>55</v>
      </c>
      <c r="C37" s="32">
        <v>46226.99930555555</v>
      </c>
      <c r="D37" s="33" t="s">
        <v>21</v>
      </c>
      <c r="E37" s="32">
        <f t="shared" si="4"/>
        <v>46230.04091</v>
      </c>
      <c r="F37" s="37">
        <f t="shared" si="5"/>
        <v>0</v>
      </c>
      <c r="G37" s="4"/>
      <c r="H37" s="38">
        <f t="shared" si="6"/>
        <v>3.0416014</v>
      </c>
      <c r="J37" s="70"/>
      <c r="K37" s="70"/>
      <c r="L37" s="72"/>
      <c r="P37" s="4"/>
      <c r="Q37" s="4"/>
      <c r="R37" s="4"/>
      <c r="S37" s="4"/>
      <c r="T37" s="4"/>
      <c r="U37" s="4"/>
      <c r="V37" s="4"/>
    </row>
    <row r="38">
      <c r="A38" s="69" t="s">
        <v>57</v>
      </c>
      <c r="B38" s="30" t="s">
        <v>55</v>
      </c>
      <c r="C38" s="32">
        <v>46227.99930555555</v>
      </c>
      <c r="D38" s="33" t="s">
        <v>21</v>
      </c>
      <c r="E38" s="32">
        <f t="shared" si="4"/>
        <v>46230.04094</v>
      </c>
      <c r="F38" s="37">
        <f t="shared" si="5"/>
        <v>0</v>
      </c>
      <c r="G38" s="4"/>
      <c r="H38" s="38">
        <f t="shared" si="6"/>
        <v>2.041631979</v>
      </c>
      <c r="J38" s="70"/>
      <c r="K38" s="70"/>
      <c r="L38" s="72"/>
      <c r="P38" s="4"/>
      <c r="Q38" s="4"/>
      <c r="R38" s="4"/>
      <c r="S38" s="4"/>
      <c r="T38" s="4"/>
      <c r="U38" s="4"/>
      <c r="V38" s="4"/>
    </row>
    <row r="39">
      <c r="A39" s="69" t="s">
        <v>58</v>
      </c>
      <c r="B39" s="30" t="s">
        <v>37</v>
      </c>
      <c r="C39" s="32">
        <v>46227.99930555555</v>
      </c>
      <c r="D39" s="33"/>
      <c r="E39" s="32" t="str">
        <f t="shared" si="4"/>
        <v/>
      </c>
      <c r="F39" s="37">
        <f t="shared" si="5"/>
        <v>0</v>
      </c>
      <c r="G39" s="4"/>
      <c r="H39" s="38" t="str">
        <f t="shared" si="6"/>
        <v>0</v>
      </c>
      <c r="J39" s="70"/>
      <c r="K39" s="70"/>
      <c r="L39" s="72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76"/>
      <c r="F40" s="53"/>
      <c r="G40" s="4"/>
      <c r="H40" s="4"/>
      <c r="J40" s="70"/>
      <c r="K40" s="70"/>
      <c r="L40" s="72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76"/>
      <c r="F41" s="53"/>
      <c r="G41" s="4"/>
      <c r="H41" s="4"/>
      <c r="J41" s="70"/>
      <c r="K41" s="70"/>
      <c r="L41" s="72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76"/>
      <c r="F42" s="53"/>
      <c r="G42" s="4"/>
      <c r="H42" s="4"/>
      <c r="I42" s="4"/>
      <c r="J42" s="4"/>
      <c r="K42" s="4"/>
      <c r="L42" s="53"/>
      <c r="P42" s="4"/>
      <c r="Q42" s="4"/>
      <c r="R42" s="4"/>
      <c r="S42" s="4"/>
      <c r="T42" s="4"/>
      <c r="U42" s="4"/>
      <c r="V42" s="4"/>
    </row>
    <row r="43">
      <c r="C43" s="4"/>
      <c r="D43" s="4"/>
      <c r="E43" s="76"/>
      <c r="F43" s="53"/>
      <c r="G43" s="4"/>
      <c r="H43" s="4"/>
      <c r="I43" s="4"/>
      <c r="J43" s="4"/>
      <c r="K43" s="4"/>
      <c r="L43" s="53"/>
      <c r="P43" s="4"/>
      <c r="Q43" s="4"/>
      <c r="R43" s="4"/>
      <c r="S43" s="4"/>
      <c r="T43" s="4"/>
      <c r="U43" s="4"/>
      <c r="V43" s="4"/>
    </row>
    <row r="44">
      <c r="C44" s="4"/>
      <c r="D44" s="4"/>
      <c r="E44" s="76"/>
      <c r="F44" s="53"/>
      <c r="G44" s="4"/>
      <c r="H44" s="4"/>
      <c r="I44" s="4"/>
      <c r="J44" s="4"/>
      <c r="K44" s="4"/>
      <c r="L44" s="53"/>
      <c r="P44" s="4"/>
      <c r="Q44" s="4"/>
      <c r="R44" s="4"/>
      <c r="S44" s="4"/>
      <c r="T44" s="4"/>
      <c r="U44" s="4"/>
      <c r="V44" s="4"/>
    </row>
    <row r="45">
      <c r="C45" s="4"/>
      <c r="D45" s="4"/>
      <c r="E45" s="76"/>
      <c r="F45" s="53"/>
      <c r="G45" s="4"/>
      <c r="H45" s="4"/>
      <c r="I45" s="4"/>
      <c r="J45" s="4"/>
      <c r="K45" s="4"/>
      <c r="L45" s="53"/>
      <c r="P45" s="4"/>
      <c r="Q45" s="4"/>
      <c r="R45" s="4"/>
      <c r="S45" s="4"/>
      <c r="T45" s="4"/>
      <c r="U45" s="4"/>
      <c r="V45" s="4"/>
    </row>
    <row r="46">
      <c r="C46" s="4"/>
      <c r="D46" s="4"/>
      <c r="E46" s="76"/>
      <c r="F46" s="53"/>
      <c r="G46" s="4"/>
      <c r="H46" s="4"/>
      <c r="I46" s="4"/>
      <c r="J46" s="4"/>
      <c r="K46" s="4"/>
      <c r="L46" s="53"/>
      <c r="P46" s="4"/>
      <c r="Q46" s="4"/>
      <c r="R46" s="4"/>
      <c r="S46" s="4"/>
      <c r="T46" s="4"/>
      <c r="U46" s="4"/>
      <c r="V46" s="4"/>
    </row>
    <row r="47">
      <c r="C47" s="4"/>
      <c r="D47" s="4"/>
      <c r="E47" s="76"/>
      <c r="F47" s="53"/>
      <c r="G47" s="4"/>
      <c r="H47" s="4"/>
      <c r="I47" s="4"/>
      <c r="J47" s="4"/>
      <c r="K47" s="4"/>
      <c r="L47" s="53"/>
      <c r="P47" s="4"/>
      <c r="Q47" s="4"/>
      <c r="R47" s="4"/>
      <c r="S47" s="4"/>
      <c r="T47" s="4"/>
      <c r="U47" s="4"/>
      <c r="V47" s="4"/>
    </row>
    <row r="48">
      <c r="C48" s="4"/>
      <c r="D48" s="4"/>
      <c r="E48" s="76"/>
      <c r="F48" s="53"/>
      <c r="G48" s="4"/>
      <c r="H48" s="4"/>
      <c r="I48" s="4"/>
      <c r="J48" s="4"/>
      <c r="K48" s="4"/>
      <c r="L48" s="53"/>
      <c r="P48" s="4"/>
      <c r="Q48" s="4"/>
      <c r="R48" s="4"/>
      <c r="S48" s="4"/>
      <c r="T48" s="4"/>
      <c r="U48" s="4"/>
      <c r="V48" s="4"/>
    </row>
    <row r="49">
      <c r="C49" s="4"/>
      <c r="D49" s="4"/>
      <c r="E49" s="76"/>
      <c r="F49" s="53"/>
      <c r="G49" s="4"/>
      <c r="H49" s="4"/>
      <c r="I49" s="4"/>
      <c r="J49" s="4"/>
      <c r="K49" s="4"/>
      <c r="L49" s="53"/>
      <c r="P49" s="4"/>
      <c r="Q49" s="4"/>
      <c r="R49" s="4"/>
      <c r="S49" s="4"/>
      <c r="T49" s="4"/>
      <c r="U49" s="4"/>
      <c r="V49" s="4"/>
    </row>
    <row r="50">
      <c r="C50" s="4"/>
      <c r="D50" s="4"/>
      <c r="E50" s="76"/>
      <c r="F50" s="53"/>
      <c r="G50" s="4"/>
      <c r="H50" s="4"/>
      <c r="I50" s="4"/>
      <c r="J50" s="4"/>
      <c r="K50" s="4"/>
      <c r="L50" s="53"/>
      <c r="P50" s="4"/>
      <c r="Q50" s="4"/>
      <c r="R50" s="4"/>
      <c r="S50" s="4"/>
      <c r="T50" s="4"/>
      <c r="U50" s="4"/>
      <c r="V50" s="4"/>
    </row>
    <row r="51">
      <c r="C51" s="4"/>
      <c r="D51" s="4"/>
      <c r="E51" s="76"/>
      <c r="F51" s="53"/>
      <c r="G51" s="4"/>
      <c r="H51" s="4"/>
      <c r="I51" s="4"/>
      <c r="J51" s="4"/>
      <c r="K51" s="4"/>
      <c r="L51" s="53"/>
      <c r="P51" s="4"/>
      <c r="Q51" s="4"/>
      <c r="R51" s="4"/>
      <c r="S51" s="4"/>
      <c r="T51" s="4"/>
      <c r="U51" s="4"/>
      <c r="V51" s="4"/>
    </row>
    <row r="52">
      <c r="C52" s="4"/>
      <c r="D52" s="4"/>
      <c r="E52" s="76"/>
      <c r="F52" s="53"/>
      <c r="G52" s="4"/>
      <c r="H52" s="4"/>
      <c r="I52" s="4"/>
      <c r="J52" s="4"/>
      <c r="K52" s="4"/>
      <c r="L52" s="53"/>
      <c r="P52" s="4"/>
      <c r="Q52" s="4"/>
      <c r="R52" s="4"/>
      <c r="S52" s="4"/>
      <c r="T52" s="4"/>
      <c r="U52" s="4"/>
      <c r="V52" s="4"/>
    </row>
    <row r="53">
      <c r="C53" s="4"/>
      <c r="D53" s="4"/>
      <c r="E53" s="76"/>
      <c r="F53" s="53"/>
      <c r="G53" s="4"/>
      <c r="H53" s="4"/>
      <c r="I53" s="4"/>
      <c r="J53" s="4"/>
      <c r="K53" s="4"/>
      <c r="L53" s="53"/>
      <c r="P53" s="4"/>
      <c r="Q53" s="4"/>
      <c r="R53" s="4"/>
      <c r="S53" s="4"/>
      <c r="T53" s="4"/>
      <c r="U53" s="4"/>
      <c r="V53" s="4"/>
    </row>
    <row r="54">
      <c r="C54" s="4"/>
      <c r="D54" s="4"/>
      <c r="E54" s="76"/>
      <c r="F54" s="53"/>
      <c r="G54" s="4"/>
      <c r="H54" s="4"/>
      <c r="I54" s="4"/>
      <c r="J54" s="4"/>
      <c r="K54" s="4"/>
      <c r="L54" s="53"/>
      <c r="P54" s="4"/>
      <c r="Q54" s="4"/>
      <c r="R54" s="4"/>
      <c r="S54" s="4"/>
      <c r="T54" s="4"/>
      <c r="U54" s="4"/>
      <c r="V54" s="4"/>
    </row>
    <row r="55">
      <c r="C55" s="4"/>
      <c r="D55" s="4"/>
      <c r="E55" s="76"/>
      <c r="F55" s="53"/>
      <c r="G55" s="4"/>
      <c r="H55" s="4"/>
      <c r="I55" s="4"/>
      <c r="J55" s="4"/>
      <c r="K55" s="4"/>
      <c r="L55" s="53"/>
      <c r="P55" s="4"/>
      <c r="Q55" s="4"/>
      <c r="R55" s="4"/>
      <c r="S55" s="4"/>
      <c r="T55" s="4"/>
      <c r="U55" s="4"/>
      <c r="V55" s="4"/>
    </row>
    <row r="56">
      <c r="C56" s="4"/>
      <c r="D56" s="4"/>
      <c r="E56" s="76"/>
      <c r="F56" s="53"/>
      <c r="G56" s="4"/>
      <c r="H56" s="4"/>
      <c r="I56" s="4"/>
      <c r="J56" s="4"/>
      <c r="K56" s="4"/>
      <c r="L56" s="53"/>
      <c r="P56" s="4"/>
      <c r="Q56" s="4"/>
      <c r="R56" s="4"/>
      <c r="S56" s="4"/>
      <c r="T56" s="4"/>
      <c r="U56" s="4"/>
      <c r="V56" s="4"/>
    </row>
    <row r="57">
      <c r="C57" s="4"/>
      <c r="D57" s="4"/>
      <c r="E57" s="76"/>
      <c r="F57" s="53"/>
      <c r="G57" s="4"/>
      <c r="H57" s="4"/>
      <c r="I57" s="4"/>
      <c r="J57" s="4"/>
      <c r="K57" s="4"/>
      <c r="L57" s="53"/>
      <c r="P57" s="4"/>
      <c r="Q57" s="4"/>
      <c r="R57" s="4"/>
      <c r="S57" s="4"/>
      <c r="T57" s="4"/>
      <c r="U57" s="4"/>
      <c r="V57" s="4"/>
    </row>
    <row r="58">
      <c r="C58" s="4"/>
      <c r="D58" s="4"/>
      <c r="E58" s="76"/>
      <c r="F58" s="53"/>
      <c r="G58" s="4"/>
      <c r="H58" s="4"/>
      <c r="I58" s="4"/>
      <c r="J58" s="4"/>
      <c r="K58" s="4"/>
      <c r="L58" s="53"/>
      <c r="P58" s="4"/>
      <c r="Q58" s="4"/>
      <c r="R58" s="4"/>
      <c r="S58" s="4"/>
      <c r="T58" s="4"/>
      <c r="U58" s="4"/>
      <c r="V58" s="4"/>
    </row>
    <row r="59">
      <c r="C59" s="4"/>
      <c r="D59" s="4"/>
      <c r="E59" s="76"/>
      <c r="F59" s="53"/>
      <c r="G59" s="4"/>
      <c r="H59" s="4"/>
      <c r="I59" s="4"/>
      <c r="J59" s="4"/>
      <c r="K59" s="4"/>
      <c r="L59" s="53"/>
      <c r="P59" s="4"/>
      <c r="Q59" s="4"/>
      <c r="R59" s="4"/>
      <c r="S59" s="4"/>
      <c r="T59" s="4"/>
      <c r="U59" s="4"/>
      <c r="V59" s="4"/>
    </row>
    <row r="60">
      <c r="C60" s="4"/>
      <c r="D60" s="4"/>
      <c r="E60" s="76"/>
      <c r="F60" s="53"/>
      <c r="G60" s="4"/>
      <c r="H60" s="4"/>
      <c r="I60" s="4"/>
      <c r="J60" s="4"/>
      <c r="K60" s="4"/>
      <c r="L60" s="53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76"/>
      <c r="F61" s="53"/>
      <c r="G61" s="4"/>
      <c r="H61" s="4"/>
      <c r="I61" s="4"/>
      <c r="J61" s="4"/>
      <c r="K61" s="4"/>
      <c r="L61" s="53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76"/>
      <c r="F62" s="53"/>
      <c r="G62" s="4"/>
      <c r="H62" s="4"/>
      <c r="I62" s="4"/>
      <c r="J62" s="4"/>
      <c r="K62" s="4"/>
      <c r="L62" s="53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76"/>
      <c r="F63" s="53"/>
      <c r="G63" s="4"/>
      <c r="H63" s="4"/>
      <c r="I63" s="4"/>
      <c r="J63" s="4"/>
      <c r="K63" s="4"/>
      <c r="L63" s="53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76"/>
      <c r="F64" s="53"/>
      <c r="G64" s="4"/>
      <c r="H64" s="4"/>
      <c r="I64" s="4"/>
      <c r="J64" s="4"/>
      <c r="K64" s="4"/>
      <c r="L64" s="53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76"/>
      <c r="F65" s="53"/>
      <c r="G65" s="4"/>
      <c r="H65" s="4"/>
      <c r="I65" s="4"/>
      <c r="J65" s="4"/>
      <c r="K65" s="4"/>
      <c r="L65" s="53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76"/>
      <c r="F66" s="53"/>
      <c r="G66" s="4"/>
      <c r="H66" s="4"/>
      <c r="I66" s="4"/>
      <c r="J66" s="4"/>
      <c r="K66" s="4"/>
      <c r="L66" s="53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76"/>
      <c r="F67" s="53"/>
      <c r="G67" s="4"/>
      <c r="H67" s="4"/>
      <c r="I67" s="4"/>
      <c r="J67" s="4"/>
      <c r="K67" s="4"/>
      <c r="L67" s="53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76"/>
      <c r="F68" s="53"/>
      <c r="G68" s="4"/>
      <c r="H68" s="4"/>
      <c r="I68" s="4"/>
      <c r="J68" s="4"/>
      <c r="K68" s="4"/>
      <c r="L68" s="53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76"/>
      <c r="F69" s="53"/>
      <c r="G69" s="4"/>
      <c r="H69" s="4"/>
      <c r="I69" s="4"/>
      <c r="J69" s="4"/>
      <c r="K69" s="4"/>
      <c r="L69" s="53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76"/>
      <c r="F70" s="53"/>
      <c r="G70" s="4"/>
      <c r="H70" s="4"/>
      <c r="I70" s="4"/>
      <c r="J70" s="4"/>
      <c r="K70" s="4"/>
      <c r="L70" s="53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76"/>
      <c r="F71" s="53"/>
      <c r="G71" s="4"/>
      <c r="H71" s="4"/>
      <c r="I71" s="4"/>
      <c r="J71" s="4"/>
      <c r="K71" s="4"/>
      <c r="L71" s="53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76"/>
      <c r="F72" s="53"/>
      <c r="G72" s="4"/>
      <c r="H72" s="4"/>
      <c r="I72" s="4"/>
      <c r="J72" s="4"/>
      <c r="K72" s="4"/>
      <c r="L72" s="53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76"/>
      <c r="F73" s="53"/>
      <c r="G73" s="4"/>
      <c r="H73" s="4"/>
      <c r="I73" s="4"/>
      <c r="J73" s="4"/>
      <c r="K73" s="4"/>
      <c r="L73" s="53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76"/>
      <c r="F74" s="53"/>
      <c r="G74" s="4"/>
      <c r="H74" s="4"/>
      <c r="I74" s="4"/>
      <c r="J74" s="4"/>
      <c r="K74" s="4"/>
      <c r="L74" s="53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76"/>
      <c r="F75" s="53"/>
      <c r="G75" s="4"/>
      <c r="H75" s="4"/>
      <c r="I75" s="4"/>
      <c r="J75" s="4"/>
      <c r="K75" s="4"/>
      <c r="L75" s="53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76"/>
      <c r="F76" s="53"/>
      <c r="G76" s="4"/>
      <c r="H76" s="4"/>
      <c r="I76" s="4"/>
      <c r="J76" s="4"/>
      <c r="K76" s="4"/>
      <c r="L76" s="53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76"/>
      <c r="F77" s="53"/>
      <c r="G77" s="4"/>
      <c r="H77" s="4"/>
      <c r="I77" s="4"/>
      <c r="J77" s="4"/>
      <c r="K77" s="4"/>
      <c r="L77" s="53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76"/>
      <c r="F78" s="53"/>
      <c r="G78" s="4"/>
      <c r="H78" s="4"/>
      <c r="I78" s="4"/>
      <c r="J78" s="4"/>
      <c r="K78" s="4"/>
      <c r="L78" s="53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76"/>
      <c r="F79" s="53"/>
      <c r="G79" s="4"/>
      <c r="H79" s="4"/>
      <c r="I79" s="4"/>
      <c r="J79" s="4"/>
      <c r="K79" s="4"/>
      <c r="L79" s="53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76"/>
      <c r="F80" s="53"/>
      <c r="G80" s="4"/>
      <c r="H80" s="4"/>
      <c r="I80" s="4"/>
      <c r="J80" s="4"/>
      <c r="K80" s="4"/>
      <c r="L80" s="53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76"/>
      <c r="F81" s="53"/>
      <c r="G81" s="4"/>
      <c r="H81" s="4"/>
      <c r="I81" s="4"/>
      <c r="J81" s="4"/>
      <c r="K81" s="4"/>
      <c r="L81" s="53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76"/>
      <c r="F82" s="53"/>
      <c r="G82" s="4"/>
      <c r="H82" s="4"/>
      <c r="I82" s="4"/>
      <c r="J82" s="4"/>
      <c r="K82" s="4"/>
      <c r="L82" s="53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76"/>
      <c r="F83" s="53"/>
      <c r="G83" s="4"/>
      <c r="H83" s="4"/>
      <c r="I83" s="4"/>
      <c r="J83" s="4"/>
      <c r="K83" s="4"/>
      <c r="L83" s="53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76"/>
      <c r="F84" s="53"/>
      <c r="G84" s="4"/>
      <c r="H84" s="4"/>
      <c r="I84" s="4"/>
      <c r="J84" s="4"/>
      <c r="K84" s="4"/>
      <c r="L84" s="53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76"/>
      <c r="F85" s="53"/>
      <c r="G85" s="4"/>
      <c r="H85" s="4"/>
      <c r="I85" s="4"/>
      <c r="J85" s="4"/>
      <c r="K85" s="4"/>
      <c r="L85" s="53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76"/>
      <c r="F86" s="53"/>
      <c r="G86" s="4"/>
      <c r="H86" s="4"/>
      <c r="I86" s="4"/>
      <c r="J86" s="4"/>
      <c r="K86" s="4"/>
      <c r="L86" s="53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76"/>
      <c r="F87" s="53"/>
      <c r="G87" s="4"/>
      <c r="H87" s="4"/>
      <c r="I87" s="4"/>
      <c r="J87" s="4"/>
      <c r="K87" s="4"/>
      <c r="L87" s="53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76"/>
      <c r="F88" s="53"/>
      <c r="G88" s="4"/>
      <c r="H88" s="4"/>
      <c r="I88" s="4"/>
      <c r="J88" s="4"/>
      <c r="K88" s="4"/>
      <c r="L88" s="53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76"/>
      <c r="F89" s="53"/>
      <c r="G89" s="4"/>
      <c r="H89" s="4"/>
      <c r="I89" s="4"/>
      <c r="J89" s="4"/>
      <c r="K89" s="4"/>
      <c r="L89" s="53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76"/>
      <c r="F90" s="53"/>
      <c r="G90" s="4"/>
      <c r="H90" s="4"/>
      <c r="I90" s="4"/>
      <c r="J90" s="4"/>
      <c r="K90" s="4"/>
      <c r="L90" s="53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76"/>
      <c r="F91" s="53"/>
      <c r="G91" s="4"/>
      <c r="H91" s="4"/>
      <c r="I91" s="4"/>
      <c r="J91" s="4"/>
      <c r="K91" s="4"/>
      <c r="L91" s="53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76"/>
      <c r="F92" s="53"/>
      <c r="G92" s="4"/>
      <c r="H92" s="4"/>
      <c r="I92" s="4"/>
      <c r="J92" s="4"/>
      <c r="K92" s="4"/>
      <c r="L92" s="53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76"/>
      <c r="F93" s="53"/>
      <c r="G93" s="4"/>
      <c r="H93" s="4"/>
      <c r="I93" s="4"/>
      <c r="J93" s="4"/>
      <c r="K93" s="4"/>
      <c r="L93" s="53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76"/>
      <c r="F94" s="53"/>
      <c r="G94" s="4"/>
      <c r="H94" s="4"/>
      <c r="I94" s="4"/>
      <c r="J94" s="4"/>
      <c r="K94" s="4"/>
      <c r="L94" s="53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76"/>
      <c r="F95" s="53"/>
      <c r="G95" s="4"/>
      <c r="H95" s="4"/>
      <c r="I95" s="4"/>
      <c r="J95" s="4"/>
      <c r="K95" s="4"/>
      <c r="L95" s="53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76"/>
      <c r="F96" s="53"/>
      <c r="G96" s="4"/>
      <c r="H96" s="4"/>
      <c r="I96" s="4"/>
      <c r="J96" s="4"/>
      <c r="K96" s="4"/>
      <c r="L96" s="53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76"/>
      <c r="F97" s="53"/>
      <c r="G97" s="4"/>
      <c r="H97" s="4"/>
      <c r="I97" s="4"/>
      <c r="J97" s="4"/>
      <c r="K97" s="4"/>
      <c r="L97" s="53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76"/>
      <c r="F98" s="53"/>
      <c r="G98" s="4"/>
      <c r="H98" s="4"/>
      <c r="I98" s="4"/>
      <c r="J98" s="4"/>
      <c r="K98" s="4"/>
      <c r="L98" s="53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76"/>
      <c r="F99" s="53"/>
      <c r="G99" s="4"/>
      <c r="H99" s="4"/>
      <c r="I99" s="4"/>
      <c r="J99" s="4"/>
      <c r="K99" s="4"/>
      <c r="L99" s="53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76"/>
      <c r="F100" s="53"/>
      <c r="G100" s="4"/>
      <c r="H100" s="4"/>
      <c r="I100" s="4"/>
      <c r="J100" s="4"/>
      <c r="K100" s="4"/>
      <c r="L100" s="53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76"/>
      <c r="F101" s="53"/>
      <c r="G101" s="4"/>
      <c r="H101" s="4"/>
      <c r="I101" s="4"/>
      <c r="J101" s="4"/>
      <c r="K101" s="4"/>
      <c r="L101" s="53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76"/>
      <c r="F102" s="53"/>
      <c r="G102" s="4"/>
      <c r="H102" s="4"/>
      <c r="I102" s="4"/>
      <c r="J102" s="4"/>
      <c r="K102" s="4"/>
      <c r="L102" s="53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76"/>
      <c r="F103" s="53"/>
      <c r="G103" s="4"/>
      <c r="H103" s="4"/>
      <c r="I103" s="4"/>
      <c r="J103" s="4"/>
      <c r="K103" s="4"/>
      <c r="L103" s="53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76"/>
      <c r="F104" s="53"/>
      <c r="G104" s="4"/>
      <c r="H104" s="4"/>
      <c r="I104" s="4"/>
      <c r="J104" s="4"/>
      <c r="K104" s="4"/>
      <c r="L104" s="53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76"/>
      <c r="F105" s="53"/>
      <c r="G105" s="4"/>
      <c r="H105" s="4"/>
      <c r="I105" s="4"/>
      <c r="J105" s="4"/>
      <c r="K105" s="4"/>
      <c r="L105" s="53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76"/>
      <c r="F106" s="53"/>
      <c r="G106" s="4"/>
      <c r="H106" s="4"/>
      <c r="I106" s="4"/>
      <c r="J106" s="4"/>
      <c r="K106" s="4"/>
      <c r="L106" s="53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76"/>
      <c r="F107" s="53"/>
      <c r="G107" s="4"/>
      <c r="H107" s="4"/>
      <c r="I107" s="4"/>
      <c r="J107" s="4"/>
      <c r="K107" s="4"/>
      <c r="L107" s="53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76"/>
      <c r="F108" s="53"/>
      <c r="G108" s="4"/>
      <c r="H108" s="4"/>
      <c r="I108" s="4"/>
      <c r="J108" s="4"/>
      <c r="K108" s="4"/>
      <c r="L108" s="53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76"/>
      <c r="F109" s="53"/>
      <c r="G109" s="4"/>
      <c r="H109" s="4"/>
      <c r="I109" s="4"/>
      <c r="J109" s="4"/>
      <c r="K109" s="4"/>
      <c r="L109" s="53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76"/>
      <c r="F110" s="53"/>
      <c r="G110" s="4"/>
      <c r="H110" s="4"/>
      <c r="I110" s="4"/>
      <c r="J110" s="4"/>
      <c r="K110" s="4"/>
      <c r="L110" s="53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76"/>
      <c r="F111" s="53"/>
      <c r="G111" s="4"/>
      <c r="H111" s="4"/>
      <c r="I111" s="4"/>
      <c r="J111" s="4"/>
      <c r="K111" s="4"/>
      <c r="L111" s="53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76"/>
      <c r="F112" s="53"/>
      <c r="G112" s="4"/>
      <c r="H112" s="4"/>
      <c r="I112" s="4"/>
      <c r="J112" s="4"/>
      <c r="K112" s="4"/>
      <c r="L112" s="53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76"/>
      <c r="F113" s="53"/>
      <c r="G113" s="4"/>
      <c r="H113" s="4"/>
      <c r="I113" s="4"/>
      <c r="J113" s="4"/>
      <c r="K113" s="4"/>
      <c r="L113" s="53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76"/>
      <c r="F114" s="53"/>
      <c r="G114" s="4"/>
      <c r="H114" s="4"/>
      <c r="I114" s="4"/>
      <c r="J114" s="4"/>
      <c r="K114" s="4"/>
      <c r="L114" s="53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76"/>
      <c r="F115" s="53"/>
      <c r="G115" s="4"/>
      <c r="H115" s="4"/>
      <c r="I115" s="4"/>
      <c r="J115" s="4"/>
      <c r="K115" s="4"/>
      <c r="L115" s="53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76"/>
      <c r="F116" s="53"/>
      <c r="G116" s="4"/>
      <c r="H116" s="4"/>
      <c r="I116" s="4"/>
      <c r="J116" s="4"/>
      <c r="K116" s="4"/>
      <c r="L116" s="53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76"/>
      <c r="F117" s="53"/>
      <c r="G117" s="4"/>
      <c r="H117" s="4"/>
      <c r="I117" s="4"/>
      <c r="J117" s="4"/>
      <c r="K117" s="4"/>
      <c r="L117" s="53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76"/>
      <c r="F118" s="53"/>
      <c r="G118" s="4"/>
      <c r="H118" s="4"/>
      <c r="I118" s="4"/>
      <c r="J118" s="4"/>
      <c r="K118" s="4"/>
      <c r="L118" s="53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76"/>
      <c r="F119" s="53"/>
      <c r="G119" s="4"/>
      <c r="H119" s="4"/>
      <c r="I119" s="4"/>
      <c r="J119" s="4"/>
      <c r="K119" s="4"/>
      <c r="L119" s="53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76"/>
      <c r="F120" s="53"/>
      <c r="G120" s="4"/>
      <c r="H120" s="4"/>
      <c r="I120" s="4"/>
      <c r="J120" s="4"/>
      <c r="K120" s="4"/>
      <c r="L120" s="53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76"/>
      <c r="F121" s="53"/>
      <c r="G121" s="4"/>
      <c r="H121" s="4"/>
      <c r="I121" s="4"/>
      <c r="J121" s="4"/>
      <c r="K121" s="4"/>
      <c r="L121" s="53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76"/>
      <c r="F122" s="53"/>
      <c r="G122" s="4"/>
      <c r="H122" s="4"/>
      <c r="I122" s="4"/>
      <c r="J122" s="4"/>
      <c r="K122" s="4"/>
      <c r="L122" s="53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76"/>
      <c r="F123" s="53"/>
      <c r="G123" s="4"/>
      <c r="H123" s="4"/>
      <c r="I123" s="4"/>
      <c r="J123" s="4"/>
      <c r="K123" s="4"/>
      <c r="L123" s="53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76"/>
      <c r="F124" s="53"/>
      <c r="G124" s="4"/>
      <c r="H124" s="4"/>
      <c r="I124" s="4"/>
      <c r="J124" s="4"/>
      <c r="K124" s="4"/>
      <c r="L124" s="53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76"/>
      <c r="F125" s="53"/>
      <c r="G125" s="4"/>
      <c r="H125" s="4"/>
      <c r="I125" s="4"/>
      <c r="J125" s="4"/>
      <c r="K125" s="4"/>
      <c r="L125" s="53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76"/>
      <c r="F126" s="53"/>
      <c r="G126" s="4"/>
      <c r="H126" s="4"/>
      <c r="I126" s="4"/>
      <c r="J126" s="4"/>
      <c r="K126" s="4"/>
      <c r="L126" s="53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76"/>
      <c r="F127" s="53"/>
      <c r="G127" s="4"/>
      <c r="H127" s="4"/>
      <c r="I127" s="4"/>
      <c r="J127" s="4"/>
      <c r="K127" s="4"/>
      <c r="L127" s="53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76"/>
      <c r="F128" s="53"/>
      <c r="G128" s="4"/>
      <c r="H128" s="4"/>
      <c r="I128" s="4"/>
      <c r="J128" s="4"/>
      <c r="K128" s="4"/>
      <c r="L128" s="53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76"/>
      <c r="F129" s="53"/>
      <c r="G129" s="4"/>
      <c r="H129" s="4"/>
      <c r="I129" s="4"/>
      <c r="J129" s="4"/>
      <c r="K129" s="4"/>
      <c r="L129" s="53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76"/>
      <c r="F130" s="53"/>
      <c r="G130" s="4"/>
      <c r="H130" s="4"/>
      <c r="I130" s="4"/>
      <c r="J130" s="4"/>
      <c r="K130" s="4"/>
      <c r="L130" s="53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76"/>
      <c r="F131" s="53"/>
      <c r="G131" s="4"/>
      <c r="H131" s="4"/>
      <c r="I131" s="4"/>
      <c r="J131" s="4"/>
      <c r="K131" s="4"/>
      <c r="L131" s="53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76"/>
      <c r="F132" s="53"/>
      <c r="G132" s="4"/>
      <c r="H132" s="4"/>
      <c r="I132" s="4"/>
      <c r="J132" s="4"/>
      <c r="K132" s="4"/>
      <c r="L132" s="53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76"/>
      <c r="F133" s="53"/>
      <c r="G133" s="4"/>
      <c r="H133" s="4"/>
      <c r="I133" s="4"/>
      <c r="J133" s="4"/>
      <c r="K133" s="4"/>
      <c r="L133" s="53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76"/>
      <c r="F134" s="53"/>
      <c r="G134" s="4"/>
      <c r="H134" s="4"/>
      <c r="I134" s="4"/>
      <c r="J134" s="4"/>
      <c r="K134" s="4"/>
      <c r="L134" s="53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76"/>
      <c r="F135" s="53"/>
      <c r="G135" s="4"/>
      <c r="H135" s="4"/>
      <c r="I135" s="4"/>
      <c r="J135" s="4"/>
      <c r="K135" s="4"/>
      <c r="L135" s="53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76"/>
      <c r="F136" s="53"/>
      <c r="G136" s="4"/>
      <c r="H136" s="4"/>
      <c r="I136" s="4"/>
      <c r="J136" s="4"/>
      <c r="K136" s="4"/>
      <c r="L136" s="53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76"/>
      <c r="F137" s="53"/>
      <c r="G137" s="4"/>
      <c r="H137" s="4"/>
      <c r="I137" s="4"/>
      <c r="J137" s="4"/>
      <c r="K137" s="4"/>
      <c r="L137" s="53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76"/>
      <c r="F138" s="53"/>
      <c r="G138" s="4"/>
      <c r="H138" s="4"/>
      <c r="I138" s="4"/>
      <c r="J138" s="4"/>
      <c r="K138" s="4"/>
      <c r="L138" s="53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76"/>
      <c r="F139" s="53"/>
      <c r="G139" s="4"/>
      <c r="H139" s="4"/>
      <c r="I139" s="4"/>
      <c r="J139" s="4"/>
      <c r="K139" s="4"/>
      <c r="L139" s="53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76"/>
      <c r="F140" s="53"/>
      <c r="G140" s="4"/>
      <c r="H140" s="4"/>
      <c r="I140" s="4"/>
      <c r="J140" s="4"/>
      <c r="K140" s="4"/>
      <c r="L140" s="53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76"/>
      <c r="F141" s="53"/>
      <c r="G141" s="4"/>
      <c r="H141" s="4"/>
      <c r="I141" s="4"/>
      <c r="J141" s="4"/>
      <c r="K141" s="4"/>
      <c r="L141" s="53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76"/>
      <c r="F142" s="53"/>
      <c r="G142" s="4"/>
      <c r="H142" s="4"/>
      <c r="I142" s="4"/>
      <c r="J142" s="4"/>
      <c r="K142" s="4"/>
      <c r="L142" s="53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76"/>
      <c r="F143" s="53"/>
      <c r="G143" s="4"/>
      <c r="H143" s="4"/>
      <c r="I143" s="4"/>
      <c r="J143" s="4"/>
      <c r="K143" s="4"/>
      <c r="L143" s="53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76"/>
      <c r="F144" s="53"/>
      <c r="G144" s="4"/>
      <c r="H144" s="4"/>
      <c r="I144" s="4"/>
      <c r="J144" s="4"/>
      <c r="K144" s="4"/>
      <c r="L144" s="53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76"/>
      <c r="F145" s="53"/>
      <c r="G145" s="4"/>
      <c r="H145" s="4"/>
      <c r="I145" s="4"/>
      <c r="J145" s="4"/>
      <c r="K145" s="4"/>
      <c r="L145" s="53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76"/>
      <c r="F146" s="53"/>
      <c r="G146" s="4"/>
      <c r="H146" s="4"/>
      <c r="I146" s="4"/>
      <c r="J146" s="4"/>
      <c r="K146" s="4"/>
      <c r="L146" s="53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76"/>
      <c r="F147" s="53"/>
      <c r="G147" s="4"/>
      <c r="H147" s="4"/>
      <c r="I147" s="4"/>
      <c r="J147" s="4"/>
      <c r="K147" s="4"/>
      <c r="L147" s="53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76"/>
      <c r="F148" s="53"/>
      <c r="G148" s="4"/>
      <c r="H148" s="4"/>
      <c r="I148" s="4"/>
      <c r="J148" s="4"/>
      <c r="K148" s="4"/>
      <c r="L148" s="53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76"/>
      <c r="F149" s="53"/>
      <c r="G149" s="4"/>
      <c r="H149" s="4"/>
      <c r="I149" s="4"/>
      <c r="J149" s="4"/>
      <c r="K149" s="4"/>
      <c r="L149" s="53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76"/>
      <c r="F150" s="53"/>
      <c r="G150" s="4"/>
      <c r="H150" s="4"/>
      <c r="I150" s="4"/>
      <c r="J150" s="4"/>
      <c r="K150" s="4"/>
      <c r="L150" s="53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76"/>
      <c r="F151" s="53"/>
      <c r="G151" s="4"/>
      <c r="H151" s="4"/>
      <c r="I151" s="4"/>
      <c r="J151" s="4"/>
      <c r="K151" s="4"/>
      <c r="L151" s="53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76"/>
      <c r="F152" s="53"/>
      <c r="G152" s="4"/>
      <c r="H152" s="4"/>
      <c r="I152" s="4"/>
      <c r="J152" s="4"/>
      <c r="K152" s="4"/>
      <c r="L152" s="53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76"/>
      <c r="F153" s="53"/>
      <c r="G153" s="4"/>
      <c r="H153" s="4"/>
      <c r="I153" s="4"/>
      <c r="J153" s="4"/>
      <c r="K153" s="4"/>
      <c r="L153" s="53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76"/>
      <c r="F154" s="53"/>
      <c r="G154" s="4"/>
      <c r="H154" s="4"/>
      <c r="I154" s="4"/>
      <c r="J154" s="4"/>
      <c r="K154" s="4"/>
      <c r="L154" s="53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76"/>
      <c r="F155" s="53"/>
      <c r="G155" s="4"/>
      <c r="H155" s="4"/>
      <c r="I155" s="4"/>
      <c r="J155" s="4"/>
      <c r="K155" s="4"/>
      <c r="L155" s="53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76"/>
      <c r="F156" s="53"/>
      <c r="G156" s="4"/>
      <c r="H156" s="4"/>
      <c r="I156" s="4"/>
      <c r="J156" s="4"/>
      <c r="K156" s="4"/>
      <c r="L156" s="53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76"/>
      <c r="F157" s="53"/>
      <c r="G157" s="4"/>
      <c r="H157" s="4"/>
      <c r="I157" s="4"/>
      <c r="J157" s="4"/>
      <c r="K157" s="4"/>
      <c r="L157" s="53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76"/>
      <c r="F158" s="53"/>
      <c r="G158" s="4"/>
      <c r="H158" s="4"/>
      <c r="I158" s="4"/>
      <c r="J158" s="4"/>
      <c r="K158" s="4"/>
      <c r="L158" s="53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76"/>
      <c r="F159" s="53"/>
      <c r="G159" s="4"/>
      <c r="H159" s="4"/>
      <c r="I159" s="4"/>
      <c r="J159" s="4"/>
      <c r="K159" s="4"/>
      <c r="L159" s="53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76"/>
      <c r="F160" s="53"/>
      <c r="G160" s="4"/>
      <c r="H160" s="4"/>
      <c r="I160" s="4"/>
      <c r="J160" s="4"/>
      <c r="K160" s="4"/>
      <c r="L160" s="53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76"/>
      <c r="F161" s="53"/>
      <c r="G161" s="4"/>
      <c r="H161" s="4"/>
      <c r="I161" s="4"/>
      <c r="J161" s="4"/>
      <c r="K161" s="4"/>
      <c r="L161" s="53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76"/>
      <c r="F162" s="53"/>
      <c r="G162" s="4"/>
      <c r="H162" s="4"/>
      <c r="I162" s="4"/>
      <c r="J162" s="4"/>
      <c r="K162" s="4"/>
      <c r="L162" s="53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76"/>
      <c r="F163" s="53"/>
      <c r="G163" s="4"/>
      <c r="H163" s="4"/>
      <c r="I163" s="4"/>
      <c r="J163" s="4"/>
      <c r="K163" s="4"/>
      <c r="L163" s="53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76"/>
      <c r="F164" s="53"/>
      <c r="G164" s="4"/>
      <c r="H164" s="4"/>
      <c r="I164" s="4"/>
      <c r="J164" s="4"/>
      <c r="K164" s="4"/>
      <c r="L164" s="53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76"/>
      <c r="F165" s="53"/>
      <c r="G165" s="4"/>
      <c r="H165" s="4"/>
      <c r="I165" s="4"/>
      <c r="J165" s="4"/>
      <c r="K165" s="4"/>
      <c r="L165" s="53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76"/>
      <c r="F166" s="53"/>
      <c r="G166" s="4"/>
      <c r="H166" s="4"/>
      <c r="I166" s="4"/>
      <c r="J166" s="4"/>
      <c r="K166" s="4"/>
      <c r="L166" s="53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76"/>
      <c r="F167" s="53"/>
      <c r="G167" s="4"/>
      <c r="H167" s="4"/>
      <c r="I167" s="4"/>
      <c r="J167" s="4"/>
      <c r="K167" s="4"/>
      <c r="L167" s="53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76"/>
      <c r="F168" s="53"/>
      <c r="G168" s="4"/>
      <c r="H168" s="4"/>
      <c r="I168" s="4"/>
      <c r="J168" s="4"/>
      <c r="K168" s="4"/>
      <c r="L168" s="53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76"/>
      <c r="F169" s="53"/>
      <c r="G169" s="4"/>
      <c r="H169" s="4"/>
      <c r="I169" s="4"/>
      <c r="J169" s="4"/>
      <c r="K169" s="4"/>
      <c r="L169" s="53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76"/>
      <c r="F170" s="53"/>
      <c r="G170" s="4"/>
      <c r="H170" s="4"/>
      <c r="I170" s="4"/>
      <c r="J170" s="4"/>
      <c r="K170" s="4"/>
      <c r="L170" s="53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76"/>
      <c r="F171" s="53"/>
      <c r="G171" s="4"/>
      <c r="H171" s="4"/>
      <c r="I171" s="4"/>
      <c r="J171" s="4"/>
      <c r="K171" s="4"/>
      <c r="L171" s="53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76"/>
      <c r="F172" s="53"/>
      <c r="G172" s="4"/>
      <c r="H172" s="4"/>
      <c r="I172" s="4"/>
      <c r="J172" s="4"/>
      <c r="K172" s="4"/>
      <c r="L172" s="53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76"/>
      <c r="F173" s="53"/>
      <c r="G173" s="4"/>
      <c r="H173" s="4"/>
      <c r="I173" s="4"/>
      <c r="J173" s="4"/>
      <c r="K173" s="4"/>
      <c r="L173" s="53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76"/>
      <c r="F174" s="53"/>
      <c r="G174" s="4"/>
      <c r="H174" s="4"/>
      <c r="I174" s="4"/>
      <c r="J174" s="4"/>
      <c r="K174" s="4"/>
      <c r="L174" s="53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76"/>
      <c r="F175" s="53"/>
      <c r="G175" s="4"/>
      <c r="H175" s="4"/>
      <c r="I175" s="4"/>
      <c r="J175" s="4"/>
      <c r="K175" s="4"/>
      <c r="L175" s="53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76"/>
      <c r="F176" s="53"/>
      <c r="G176" s="4"/>
      <c r="H176" s="4"/>
      <c r="I176" s="4"/>
      <c r="J176" s="4"/>
      <c r="K176" s="4"/>
      <c r="L176" s="53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76"/>
      <c r="F177" s="53"/>
      <c r="G177" s="4"/>
      <c r="H177" s="4"/>
      <c r="I177" s="4"/>
      <c r="J177" s="4"/>
      <c r="K177" s="4"/>
      <c r="L177" s="53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76"/>
      <c r="F178" s="53"/>
      <c r="G178" s="4"/>
      <c r="H178" s="4"/>
      <c r="I178" s="4"/>
      <c r="J178" s="4"/>
      <c r="K178" s="4"/>
      <c r="L178" s="53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76"/>
      <c r="F179" s="53"/>
      <c r="G179" s="4"/>
      <c r="H179" s="4"/>
      <c r="I179" s="4"/>
      <c r="J179" s="4"/>
      <c r="K179" s="4"/>
      <c r="L179" s="53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76"/>
      <c r="F180" s="53"/>
      <c r="G180" s="4"/>
      <c r="H180" s="4"/>
      <c r="I180" s="4"/>
      <c r="J180" s="4"/>
      <c r="K180" s="4"/>
      <c r="L180" s="53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76"/>
      <c r="F181" s="53"/>
      <c r="G181" s="4"/>
      <c r="H181" s="4"/>
      <c r="I181" s="4"/>
      <c r="J181" s="4"/>
      <c r="K181" s="4"/>
      <c r="L181" s="53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76"/>
      <c r="F182" s="53"/>
      <c r="G182" s="4"/>
      <c r="H182" s="4"/>
      <c r="I182" s="4"/>
      <c r="J182" s="4"/>
      <c r="K182" s="4"/>
      <c r="L182" s="53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76"/>
      <c r="F183" s="53"/>
      <c r="G183" s="4"/>
      <c r="H183" s="4"/>
      <c r="I183" s="4"/>
      <c r="J183" s="4"/>
      <c r="K183" s="4"/>
      <c r="L183" s="53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76"/>
      <c r="F184" s="53"/>
      <c r="G184" s="4"/>
      <c r="H184" s="4"/>
      <c r="I184" s="4"/>
      <c r="J184" s="4"/>
      <c r="K184" s="4"/>
      <c r="L184" s="53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76"/>
      <c r="F185" s="53"/>
      <c r="G185" s="4"/>
      <c r="H185" s="4"/>
      <c r="I185" s="4"/>
      <c r="J185" s="4"/>
      <c r="K185" s="4"/>
      <c r="L185" s="53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76"/>
      <c r="F186" s="53"/>
      <c r="G186" s="4"/>
      <c r="H186" s="4"/>
      <c r="I186" s="4"/>
      <c r="J186" s="4"/>
      <c r="K186" s="4"/>
      <c r="L186" s="53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76"/>
      <c r="F187" s="53"/>
      <c r="G187" s="4"/>
      <c r="H187" s="4"/>
      <c r="I187" s="4"/>
      <c r="J187" s="4"/>
      <c r="K187" s="4"/>
      <c r="L187" s="53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76"/>
      <c r="F188" s="53"/>
      <c r="G188" s="4"/>
      <c r="H188" s="4"/>
      <c r="I188" s="4"/>
      <c r="J188" s="4"/>
      <c r="K188" s="4"/>
      <c r="L188" s="53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76"/>
      <c r="F189" s="53"/>
      <c r="G189" s="4"/>
      <c r="H189" s="4"/>
      <c r="I189" s="4"/>
      <c r="J189" s="4"/>
      <c r="K189" s="4"/>
      <c r="L189" s="53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76"/>
      <c r="F190" s="53"/>
      <c r="G190" s="4"/>
      <c r="H190" s="4"/>
      <c r="I190" s="4"/>
      <c r="J190" s="4"/>
      <c r="K190" s="4"/>
      <c r="L190" s="53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76"/>
      <c r="F191" s="53"/>
      <c r="G191" s="4"/>
      <c r="H191" s="4"/>
      <c r="I191" s="4"/>
      <c r="J191" s="4"/>
      <c r="K191" s="4"/>
      <c r="L191" s="53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76"/>
      <c r="F192" s="53"/>
      <c r="G192" s="4"/>
      <c r="H192" s="4"/>
      <c r="I192" s="4"/>
      <c r="J192" s="4"/>
      <c r="K192" s="4"/>
      <c r="L192" s="53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76"/>
      <c r="F193" s="53"/>
      <c r="G193" s="4"/>
      <c r="H193" s="4"/>
      <c r="I193" s="4"/>
      <c r="J193" s="4"/>
      <c r="K193" s="4"/>
      <c r="L193" s="53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76"/>
      <c r="F194" s="53"/>
      <c r="G194" s="4"/>
      <c r="H194" s="4"/>
      <c r="I194" s="4"/>
      <c r="J194" s="4"/>
      <c r="K194" s="4"/>
      <c r="L194" s="53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76"/>
      <c r="F195" s="53"/>
      <c r="G195" s="4"/>
      <c r="H195" s="4"/>
      <c r="I195" s="4"/>
      <c r="J195" s="4"/>
      <c r="K195" s="4"/>
      <c r="L195" s="53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76"/>
      <c r="F196" s="53"/>
      <c r="G196" s="4"/>
      <c r="H196" s="4"/>
      <c r="I196" s="4"/>
      <c r="J196" s="4"/>
      <c r="K196" s="4"/>
      <c r="L196" s="53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76"/>
      <c r="F197" s="53"/>
      <c r="G197" s="4"/>
      <c r="H197" s="4"/>
      <c r="I197" s="4"/>
      <c r="J197" s="4"/>
      <c r="K197" s="4"/>
      <c r="L197" s="53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76"/>
      <c r="F198" s="53"/>
      <c r="G198" s="4"/>
      <c r="H198" s="4"/>
      <c r="I198" s="4"/>
      <c r="J198" s="4"/>
      <c r="K198" s="4"/>
      <c r="L198" s="53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76"/>
      <c r="F199" s="53"/>
      <c r="G199" s="4"/>
      <c r="H199" s="4"/>
      <c r="I199" s="4"/>
      <c r="J199" s="4"/>
      <c r="K199" s="4"/>
      <c r="L199" s="53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76"/>
      <c r="F200" s="53"/>
      <c r="G200" s="4"/>
      <c r="H200" s="4"/>
      <c r="I200" s="4"/>
      <c r="J200" s="4"/>
      <c r="K200" s="4"/>
      <c r="L200" s="53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76"/>
      <c r="F201" s="53"/>
      <c r="G201" s="4"/>
      <c r="H201" s="4"/>
      <c r="I201" s="4"/>
      <c r="J201" s="4"/>
      <c r="K201" s="4"/>
      <c r="L201" s="53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76"/>
      <c r="F202" s="53"/>
      <c r="G202" s="4"/>
      <c r="H202" s="4"/>
      <c r="I202" s="4"/>
      <c r="J202" s="4"/>
      <c r="K202" s="4"/>
      <c r="L202" s="53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76"/>
      <c r="F203" s="53"/>
      <c r="G203" s="4"/>
      <c r="H203" s="4"/>
      <c r="I203" s="4"/>
      <c r="J203" s="4"/>
      <c r="K203" s="4"/>
      <c r="L203" s="53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76"/>
      <c r="F204" s="53"/>
      <c r="G204" s="4"/>
      <c r="H204" s="4"/>
      <c r="I204" s="4"/>
      <c r="J204" s="4"/>
      <c r="K204" s="4"/>
      <c r="L204" s="53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76"/>
      <c r="F205" s="53"/>
      <c r="G205" s="4"/>
      <c r="H205" s="4"/>
      <c r="I205" s="4"/>
      <c r="J205" s="4"/>
      <c r="K205" s="4"/>
      <c r="L205" s="53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76"/>
      <c r="F206" s="53"/>
      <c r="G206" s="4"/>
      <c r="H206" s="4"/>
      <c r="I206" s="4"/>
      <c r="J206" s="4"/>
      <c r="K206" s="4"/>
      <c r="L206" s="53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76"/>
      <c r="F207" s="53"/>
      <c r="G207" s="4"/>
      <c r="H207" s="4"/>
      <c r="I207" s="4"/>
      <c r="J207" s="4"/>
      <c r="K207" s="4"/>
      <c r="L207" s="53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76"/>
      <c r="F208" s="53"/>
      <c r="G208" s="4"/>
      <c r="H208" s="4"/>
      <c r="I208" s="4"/>
      <c r="J208" s="4"/>
      <c r="K208" s="4"/>
      <c r="L208" s="53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76"/>
      <c r="F209" s="53"/>
      <c r="G209" s="4"/>
      <c r="H209" s="4"/>
      <c r="I209" s="4"/>
      <c r="J209" s="4"/>
      <c r="K209" s="4"/>
      <c r="L209" s="53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76"/>
      <c r="F210" s="53"/>
      <c r="G210" s="4"/>
      <c r="H210" s="4"/>
      <c r="I210" s="4"/>
      <c r="J210" s="4"/>
      <c r="K210" s="4"/>
      <c r="L210" s="53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76"/>
      <c r="F211" s="53"/>
      <c r="G211" s="4"/>
      <c r="H211" s="4"/>
      <c r="I211" s="4"/>
      <c r="J211" s="4"/>
      <c r="K211" s="4"/>
      <c r="L211" s="53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76"/>
      <c r="F212" s="53"/>
      <c r="G212" s="4"/>
      <c r="H212" s="4"/>
      <c r="I212" s="4"/>
      <c r="J212" s="4"/>
      <c r="K212" s="4"/>
      <c r="L212" s="53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76"/>
      <c r="F213" s="53"/>
      <c r="G213" s="4"/>
      <c r="H213" s="4"/>
      <c r="I213" s="4"/>
      <c r="J213" s="4"/>
      <c r="K213" s="4"/>
      <c r="L213" s="53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76"/>
      <c r="F214" s="53"/>
      <c r="G214" s="4"/>
      <c r="H214" s="4"/>
      <c r="I214" s="4"/>
      <c r="J214" s="4"/>
      <c r="K214" s="4"/>
      <c r="L214" s="53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76"/>
      <c r="F215" s="53"/>
      <c r="G215" s="4"/>
      <c r="H215" s="4"/>
      <c r="I215" s="4"/>
      <c r="J215" s="4"/>
      <c r="K215" s="4"/>
      <c r="L215" s="53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76"/>
      <c r="F216" s="53"/>
      <c r="G216" s="4"/>
      <c r="H216" s="4"/>
      <c r="I216" s="4"/>
      <c r="J216" s="4"/>
      <c r="K216" s="4"/>
      <c r="L216" s="53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76"/>
      <c r="F217" s="53"/>
      <c r="G217" s="4"/>
      <c r="H217" s="4"/>
      <c r="I217" s="4"/>
      <c r="J217" s="4"/>
      <c r="K217" s="4"/>
      <c r="L217" s="53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76"/>
      <c r="F218" s="53"/>
      <c r="G218" s="4"/>
      <c r="H218" s="4"/>
      <c r="I218" s="4"/>
      <c r="J218" s="4"/>
      <c r="K218" s="4"/>
      <c r="L218" s="53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76"/>
      <c r="F219" s="53"/>
      <c r="G219" s="4"/>
      <c r="H219" s="4"/>
      <c r="I219" s="4"/>
      <c r="J219" s="4"/>
      <c r="K219" s="4"/>
      <c r="L219" s="53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76"/>
      <c r="F220" s="53"/>
      <c r="G220" s="4"/>
      <c r="H220" s="4"/>
      <c r="I220" s="4"/>
      <c r="J220" s="4"/>
      <c r="K220" s="4"/>
      <c r="L220" s="53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76"/>
      <c r="F221" s="53"/>
      <c r="G221" s="4"/>
      <c r="H221" s="4"/>
      <c r="I221" s="4"/>
      <c r="J221" s="4"/>
      <c r="K221" s="4"/>
      <c r="L221" s="53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76"/>
      <c r="F222" s="53"/>
      <c r="G222" s="4"/>
      <c r="H222" s="4"/>
      <c r="I222" s="4"/>
      <c r="J222" s="4"/>
      <c r="K222" s="4"/>
      <c r="L222" s="53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76"/>
      <c r="F223" s="53"/>
      <c r="G223" s="4"/>
      <c r="H223" s="4"/>
      <c r="I223" s="4"/>
      <c r="J223" s="4"/>
      <c r="K223" s="4"/>
      <c r="L223" s="53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76"/>
      <c r="F224" s="53"/>
      <c r="G224" s="4"/>
      <c r="H224" s="4"/>
      <c r="I224" s="4"/>
      <c r="J224" s="4"/>
      <c r="K224" s="4"/>
      <c r="L224" s="53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76"/>
      <c r="F225" s="53"/>
      <c r="G225" s="4"/>
      <c r="H225" s="4"/>
      <c r="I225" s="4"/>
      <c r="J225" s="4"/>
      <c r="K225" s="4"/>
      <c r="L225" s="53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76"/>
      <c r="F226" s="53"/>
      <c r="G226" s="4"/>
      <c r="H226" s="4"/>
      <c r="I226" s="4"/>
      <c r="J226" s="4"/>
      <c r="K226" s="4"/>
      <c r="L226" s="53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76"/>
      <c r="F227" s="53"/>
      <c r="G227" s="4"/>
      <c r="H227" s="4"/>
      <c r="I227" s="4"/>
      <c r="J227" s="4"/>
      <c r="K227" s="4"/>
      <c r="L227" s="53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76"/>
      <c r="F228" s="53"/>
      <c r="G228" s="4"/>
      <c r="H228" s="4"/>
      <c r="I228" s="4"/>
      <c r="J228" s="4"/>
      <c r="K228" s="4"/>
      <c r="L228" s="53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76"/>
      <c r="F229" s="53"/>
      <c r="G229" s="4"/>
      <c r="H229" s="4"/>
      <c r="I229" s="4"/>
      <c r="J229" s="4"/>
      <c r="K229" s="4"/>
      <c r="L229" s="53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76"/>
      <c r="F230" s="53"/>
      <c r="G230" s="4"/>
      <c r="H230" s="4"/>
      <c r="I230" s="4"/>
      <c r="J230" s="4"/>
      <c r="K230" s="4"/>
      <c r="L230" s="53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76"/>
      <c r="F231" s="53"/>
      <c r="G231" s="4"/>
      <c r="H231" s="4"/>
      <c r="I231" s="4"/>
      <c r="J231" s="4"/>
      <c r="K231" s="4"/>
      <c r="L231" s="53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76"/>
      <c r="F232" s="53"/>
      <c r="G232" s="4"/>
      <c r="H232" s="4"/>
      <c r="I232" s="4"/>
      <c r="J232" s="4"/>
      <c r="K232" s="4"/>
      <c r="L232" s="53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76"/>
      <c r="F233" s="53"/>
      <c r="G233" s="4"/>
      <c r="H233" s="4"/>
      <c r="I233" s="4"/>
      <c r="J233" s="4"/>
      <c r="K233" s="4"/>
      <c r="L233" s="53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76"/>
      <c r="F234" s="53"/>
      <c r="G234" s="4"/>
      <c r="H234" s="4"/>
      <c r="I234" s="4"/>
      <c r="J234" s="4"/>
      <c r="K234" s="4"/>
      <c r="L234" s="53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76"/>
      <c r="F235" s="53"/>
      <c r="G235" s="4"/>
      <c r="H235" s="4"/>
      <c r="I235" s="4"/>
      <c r="J235" s="4"/>
      <c r="K235" s="4"/>
      <c r="L235" s="53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76"/>
      <c r="F236" s="53"/>
      <c r="G236" s="4"/>
      <c r="H236" s="4"/>
      <c r="I236" s="4"/>
      <c r="J236" s="4"/>
      <c r="K236" s="4"/>
      <c r="L236" s="53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76"/>
      <c r="F237" s="53"/>
      <c r="G237" s="4"/>
      <c r="H237" s="4"/>
      <c r="I237" s="4"/>
      <c r="J237" s="4"/>
      <c r="K237" s="4"/>
      <c r="L237" s="53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76"/>
      <c r="F238" s="53"/>
      <c r="G238" s="4"/>
      <c r="H238" s="4"/>
      <c r="I238" s="4"/>
      <c r="J238" s="4"/>
      <c r="K238" s="4"/>
      <c r="L238" s="53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76"/>
      <c r="F239" s="53"/>
      <c r="G239" s="4"/>
      <c r="H239" s="4"/>
      <c r="I239" s="4"/>
      <c r="J239" s="4"/>
      <c r="K239" s="4"/>
      <c r="L239" s="53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76"/>
      <c r="F240" s="53"/>
      <c r="G240" s="4"/>
      <c r="H240" s="4"/>
      <c r="I240" s="4"/>
      <c r="J240" s="4"/>
      <c r="K240" s="4"/>
      <c r="L240" s="53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76"/>
      <c r="F241" s="53"/>
      <c r="G241" s="4"/>
      <c r="H241" s="4"/>
      <c r="I241" s="4"/>
      <c r="J241" s="4"/>
      <c r="K241" s="4"/>
      <c r="L241" s="53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76"/>
      <c r="F242" s="53"/>
      <c r="G242" s="4"/>
      <c r="H242" s="4"/>
      <c r="I242" s="4"/>
      <c r="J242" s="4"/>
      <c r="K242" s="4"/>
      <c r="L242" s="53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76"/>
      <c r="F243" s="53"/>
      <c r="G243" s="4"/>
      <c r="H243" s="4"/>
      <c r="I243" s="4"/>
      <c r="J243" s="4"/>
      <c r="K243" s="4"/>
      <c r="L243" s="53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76"/>
      <c r="F244" s="53"/>
      <c r="G244" s="4"/>
      <c r="H244" s="4"/>
      <c r="I244" s="4"/>
      <c r="J244" s="4"/>
      <c r="K244" s="4"/>
      <c r="L244" s="53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76"/>
      <c r="F245" s="53"/>
      <c r="G245" s="4"/>
      <c r="H245" s="4"/>
      <c r="I245" s="4"/>
      <c r="J245" s="4"/>
      <c r="K245" s="4"/>
      <c r="L245" s="53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76"/>
      <c r="F246" s="53"/>
      <c r="G246" s="4"/>
      <c r="H246" s="4"/>
      <c r="I246" s="4"/>
      <c r="J246" s="4"/>
      <c r="K246" s="4"/>
      <c r="L246" s="53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76"/>
      <c r="F247" s="53"/>
      <c r="G247" s="4"/>
      <c r="H247" s="4"/>
      <c r="I247" s="4"/>
      <c r="J247" s="4"/>
      <c r="K247" s="4"/>
      <c r="L247" s="53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76"/>
      <c r="F248" s="53"/>
      <c r="G248" s="4"/>
      <c r="H248" s="4"/>
      <c r="I248" s="4"/>
      <c r="J248" s="4"/>
      <c r="K248" s="4"/>
      <c r="L248" s="53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76"/>
      <c r="F249" s="53"/>
      <c r="G249" s="4"/>
      <c r="H249" s="4"/>
      <c r="I249" s="4"/>
      <c r="J249" s="4"/>
      <c r="K249" s="4"/>
      <c r="L249" s="53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76"/>
      <c r="F250" s="53"/>
      <c r="G250" s="4"/>
      <c r="H250" s="4"/>
      <c r="I250" s="4"/>
      <c r="J250" s="4"/>
      <c r="K250" s="4"/>
      <c r="L250" s="53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76"/>
      <c r="F251" s="53"/>
      <c r="G251" s="4"/>
      <c r="H251" s="4"/>
      <c r="I251" s="4"/>
      <c r="J251" s="4"/>
      <c r="K251" s="4"/>
      <c r="L251" s="53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76"/>
      <c r="F252" s="53"/>
      <c r="G252" s="4"/>
      <c r="H252" s="4"/>
      <c r="I252" s="4"/>
      <c r="J252" s="4"/>
      <c r="K252" s="4"/>
      <c r="L252" s="53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76"/>
      <c r="F253" s="53"/>
      <c r="G253" s="4"/>
      <c r="H253" s="4"/>
      <c r="I253" s="4"/>
      <c r="J253" s="4"/>
      <c r="K253" s="4"/>
      <c r="L253" s="53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76"/>
      <c r="F254" s="53"/>
      <c r="G254" s="4"/>
      <c r="H254" s="4"/>
      <c r="I254" s="4"/>
      <c r="J254" s="4"/>
      <c r="K254" s="4"/>
      <c r="L254" s="53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76"/>
      <c r="F255" s="53"/>
      <c r="G255" s="4"/>
      <c r="H255" s="4"/>
      <c r="I255" s="4"/>
      <c r="J255" s="4"/>
      <c r="K255" s="4"/>
      <c r="L255" s="53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76"/>
      <c r="F256" s="53"/>
      <c r="G256" s="4"/>
      <c r="H256" s="4"/>
      <c r="I256" s="4"/>
      <c r="J256" s="4"/>
      <c r="K256" s="4"/>
      <c r="L256" s="53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76"/>
      <c r="F257" s="53"/>
      <c r="G257" s="4"/>
      <c r="H257" s="4"/>
      <c r="I257" s="4"/>
      <c r="J257" s="4"/>
      <c r="K257" s="4"/>
      <c r="L257" s="53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76"/>
      <c r="F258" s="53"/>
      <c r="G258" s="4"/>
      <c r="H258" s="4"/>
      <c r="I258" s="4"/>
      <c r="J258" s="4"/>
      <c r="K258" s="4"/>
      <c r="L258" s="53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76"/>
      <c r="F259" s="53"/>
      <c r="G259" s="4"/>
      <c r="H259" s="4"/>
      <c r="I259" s="4"/>
      <c r="J259" s="4"/>
      <c r="K259" s="4"/>
      <c r="L259" s="53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76"/>
      <c r="F260" s="53"/>
      <c r="G260" s="4"/>
      <c r="H260" s="4"/>
      <c r="I260" s="4"/>
      <c r="J260" s="4"/>
      <c r="K260" s="4"/>
      <c r="L260" s="53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76"/>
      <c r="F261" s="53"/>
      <c r="G261" s="4"/>
      <c r="H261" s="4"/>
      <c r="I261" s="4"/>
      <c r="J261" s="4"/>
      <c r="K261" s="4"/>
      <c r="L261" s="53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76"/>
      <c r="F262" s="53"/>
      <c r="G262" s="4"/>
      <c r="H262" s="4"/>
      <c r="I262" s="4"/>
      <c r="J262" s="4"/>
      <c r="K262" s="4"/>
      <c r="L262" s="53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76"/>
      <c r="F263" s="53"/>
      <c r="G263" s="4"/>
      <c r="H263" s="4"/>
      <c r="I263" s="4"/>
      <c r="J263" s="4"/>
      <c r="K263" s="4"/>
      <c r="L263" s="53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76"/>
      <c r="F264" s="53"/>
      <c r="G264" s="4"/>
      <c r="H264" s="4"/>
      <c r="I264" s="4"/>
      <c r="J264" s="4"/>
      <c r="K264" s="4"/>
      <c r="L264" s="53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76"/>
      <c r="F265" s="53"/>
      <c r="G265" s="4"/>
      <c r="H265" s="4"/>
      <c r="I265" s="4"/>
      <c r="J265" s="4"/>
      <c r="K265" s="4"/>
      <c r="L265" s="53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76"/>
      <c r="F266" s="53"/>
      <c r="G266" s="4"/>
      <c r="H266" s="4"/>
      <c r="I266" s="4"/>
      <c r="J266" s="4"/>
      <c r="K266" s="4"/>
      <c r="L266" s="53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76"/>
      <c r="F267" s="53"/>
      <c r="G267" s="4"/>
      <c r="H267" s="4"/>
      <c r="I267" s="4"/>
      <c r="J267" s="4"/>
      <c r="K267" s="4"/>
      <c r="L267" s="53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76"/>
      <c r="F268" s="53"/>
      <c r="G268" s="4"/>
      <c r="H268" s="4"/>
      <c r="I268" s="4"/>
      <c r="J268" s="4"/>
      <c r="K268" s="4"/>
      <c r="L268" s="53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76"/>
      <c r="F269" s="53"/>
      <c r="G269" s="4"/>
      <c r="H269" s="4"/>
      <c r="I269" s="4"/>
      <c r="J269" s="4"/>
      <c r="K269" s="4"/>
      <c r="L269" s="53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76"/>
      <c r="F270" s="53"/>
      <c r="G270" s="4"/>
      <c r="H270" s="4"/>
      <c r="I270" s="4"/>
      <c r="J270" s="4"/>
      <c r="K270" s="4"/>
      <c r="L270" s="53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76"/>
      <c r="F271" s="53"/>
      <c r="G271" s="4"/>
      <c r="H271" s="4"/>
      <c r="I271" s="4"/>
      <c r="J271" s="4"/>
      <c r="K271" s="4"/>
      <c r="L271" s="53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76"/>
      <c r="F272" s="53"/>
      <c r="G272" s="4"/>
      <c r="H272" s="4"/>
      <c r="I272" s="4"/>
      <c r="J272" s="4"/>
      <c r="K272" s="4"/>
      <c r="L272" s="53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76"/>
      <c r="F273" s="53"/>
      <c r="G273" s="4"/>
      <c r="H273" s="4"/>
      <c r="I273" s="4"/>
      <c r="J273" s="4"/>
      <c r="K273" s="4"/>
      <c r="L273" s="53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76"/>
      <c r="F274" s="53"/>
      <c r="G274" s="4"/>
      <c r="H274" s="4"/>
      <c r="I274" s="4"/>
      <c r="J274" s="4"/>
      <c r="K274" s="4"/>
      <c r="L274" s="53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76"/>
      <c r="F275" s="53"/>
      <c r="G275" s="4"/>
      <c r="H275" s="4"/>
      <c r="I275" s="4"/>
      <c r="J275" s="4"/>
      <c r="K275" s="4"/>
      <c r="L275" s="53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76"/>
      <c r="F276" s="53"/>
      <c r="G276" s="4"/>
      <c r="H276" s="4"/>
      <c r="I276" s="4"/>
      <c r="J276" s="4"/>
      <c r="K276" s="4"/>
      <c r="L276" s="53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76"/>
      <c r="F277" s="53"/>
      <c r="G277" s="4"/>
      <c r="H277" s="4"/>
      <c r="I277" s="4"/>
      <c r="J277" s="4"/>
      <c r="K277" s="4"/>
      <c r="L277" s="53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76"/>
      <c r="F278" s="53"/>
      <c r="G278" s="4"/>
      <c r="H278" s="4"/>
      <c r="I278" s="4"/>
      <c r="J278" s="4"/>
      <c r="K278" s="4"/>
      <c r="L278" s="53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76"/>
      <c r="F279" s="53"/>
      <c r="G279" s="4"/>
      <c r="H279" s="4"/>
      <c r="I279" s="4"/>
      <c r="J279" s="4"/>
      <c r="K279" s="4"/>
      <c r="L279" s="53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76"/>
      <c r="F280" s="53"/>
      <c r="G280" s="4"/>
      <c r="H280" s="4"/>
      <c r="I280" s="4"/>
      <c r="J280" s="4"/>
      <c r="K280" s="4"/>
      <c r="L280" s="53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76"/>
      <c r="F281" s="53"/>
      <c r="G281" s="4"/>
      <c r="H281" s="4"/>
      <c r="I281" s="4"/>
      <c r="J281" s="4"/>
      <c r="K281" s="4"/>
      <c r="L281" s="53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76"/>
      <c r="F282" s="53"/>
      <c r="G282" s="4"/>
      <c r="H282" s="4"/>
      <c r="I282" s="4"/>
      <c r="J282" s="4"/>
      <c r="K282" s="4"/>
      <c r="L282" s="53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76"/>
      <c r="F283" s="53"/>
      <c r="G283" s="4"/>
      <c r="H283" s="4"/>
      <c r="I283" s="4"/>
      <c r="J283" s="4"/>
      <c r="K283" s="4"/>
      <c r="L283" s="53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76"/>
      <c r="F284" s="53"/>
      <c r="G284" s="4"/>
      <c r="H284" s="4"/>
      <c r="I284" s="4"/>
      <c r="J284" s="4"/>
      <c r="K284" s="4"/>
      <c r="L284" s="53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76"/>
      <c r="F285" s="53"/>
      <c r="G285" s="4"/>
      <c r="H285" s="4"/>
      <c r="I285" s="4"/>
      <c r="J285" s="4"/>
      <c r="K285" s="4"/>
      <c r="L285" s="53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76"/>
      <c r="F286" s="53"/>
      <c r="G286" s="4"/>
      <c r="H286" s="4"/>
      <c r="I286" s="4"/>
      <c r="J286" s="4"/>
      <c r="K286" s="4"/>
      <c r="L286" s="53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76"/>
      <c r="F287" s="53"/>
      <c r="G287" s="4"/>
      <c r="H287" s="4"/>
      <c r="I287" s="4"/>
      <c r="J287" s="4"/>
      <c r="K287" s="4"/>
      <c r="L287" s="53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76"/>
      <c r="F288" s="53"/>
      <c r="G288" s="4"/>
      <c r="H288" s="4"/>
      <c r="I288" s="4"/>
      <c r="J288" s="4"/>
      <c r="K288" s="4"/>
      <c r="L288" s="53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76"/>
      <c r="F289" s="53"/>
      <c r="G289" s="4"/>
      <c r="H289" s="4"/>
      <c r="I289" s="4"/>
      <c r="J289" s="4"/>
      <c r="K289" s="4"/>
      <c r="L289" s="53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76"/>
      <c r="F290" s="53"/>
      <c r="G290" s="4"/>
      <c r="H290" s="4"/>
      <c r="I290" s="4"/>
      <c r="J290" s="4"/>
      <c r="K290" s="4"/>
      <c r="L290" s="53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76"/>
      <c r="F291" s="53"/>
      <c r="G291" s="4"/>
      <c r="H291" s="4"/>
      <c r="I291" s="4"/>
      <c r="J291" s="4"/>
      <c r="K291" s="4"/>
      <c r="L291" s="53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76"/>
      <c r="F292" s="53"/>
      <c r="G292" s="4"/>
      <c r="H292" s="4"/>
      <c r="I292" s="4"/>
      <c r="J292" s="4"/>
      <c r="K292" s="4"/>
      <c r="L292" s="53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76"/>
      <c r="F293" s="53"/>
      <c r="G293" s="4"/>
      <c r="H293" s="4"/>
      <c r="I293" s="4"/>
      <c r="J293" s="4"/>
      <c r="K293" s="4"/>
      <c r="L293" s="53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76"/>
      <c r="F294" s="53"/>
      <c r="G294" s="4"/>
      <c r="H294" s="4"/>
      <c r="I294" s="4"/>
      <c r="J294" s="4"/>
      <c r="K294" s="4"/>
      <c r="L294" s="53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76"/>
      <c r="F295" s="53"/>
      <c r="G295" s="4"/>
      <c r="H295" s="4"/>
      <c r="I295" s="4"/>
      <c r="J295" s="4"/>
      <c r="K295" s="4"/>
      <c r="L295" s="53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76"/>
      <c r="F296" s="53"/>
      <c r="G296" s="4"/>
      <c r="H296" s="4"/>
      <c r="I296" s="4"/>
      <c r="J296" s="4"/>
      <c r="K296" s="4"/>
      <c r="L296" s="53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76"/>
      <c r="F297" s="53"/>
      <c r="G297" s="4"/>
      <c r="H297" s="4"/>
      <c r="I297" s="4"/>
      <c r="J297" s="4"/>
      <c r="K297" s="4"/>
      <c r="L297" s="53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76"/>
      <c r="F298" s="53"/>
      <c r="G298" s="4"/>
      <c r="H298" s="4"/>
      <c r="I298" s="4"/>
      <c r="J298" s="4"/>
      <c r="K298" s="4"/>
      <c r="L298" s="53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76"/>
      <c r="F299" s="53"/>
      <c r="G299" s="4"/>
      <c r="H299" s="4"/>
      <c r="I299" s="4"/>
      <c r="J299" s="4"/>
      <c r="K299" s="4"/>
      <c r="L299" s="53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76"/>
      <c r="F300" s="53"/>
      <c r="G300" s="4"/>
      <c r="H300" s="4"/>
      <c r="I300" s="4"/>
      <c r="J300" s="4"/>
      <c r="K300" s="4"/>
      <c r="L300" s="53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76"/>
      <c r="F301" s="53"/>
      <c r="G301" s="4"/>
      <c r="H301" s="4"/>
      <c r="I301" s="4"/>
      <c r="J301" s="4"/>
      <c r="K301" s="4"/>
      <c r="L301" s="53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76"/>
      <c r="F302" s="53"/>
      <c r="G302" s="4"/>
      <c r="H302" s="4"/>
      <c r="I302" s="4"/>
      <c r="J302" s="4"/>
      <c r="K302" s="4"/>
      <c r="L302" s="53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76"/>
      <c r="F303" s="53"/>
      <c r="G303" s="4"/>
      <c r="H303" s="4"/>
      <c r="I303" s="4"/>
      <c r="J303" s="4"/>
      <c r="K303" s="4"/>
      <c r="L303" s="53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76"/>
      <c r="F304" s="53"/>
      <c r="G304" s="4"/>
      <c r="H304" s="4"/>
      <c r="I304" s="4"/>
      <c r="J304" s="4"/>
      <c r="K304" s="4"/>
      <c r="L304" s="53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76"/>
      <c r="F305" s="53"/>
      <c r="G305" s="4"/>
      <c r="H305" s="4"/>
      <c r="I305" s="4"/>
      <c r="J305" s="4"/>
      <c r="K305" s="4"/>
      <c r="L305" s="53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76"/>
      <c r="F306" s="53"/>
      <c r="G306" s="4"/>
      <c r="H306" s="4"/>
      <c r="I306" s="4"/>
      <c r="J306" s="4"/>
      <c r="K306" s="4"/>
      <c r="L306" s="53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76"/>
      <c r="F307" s="53"/>
      <c r="G307" s="4"/>
      <c r="H307" s="4"/>
      <c r="I307" s="4"/>
      <c r="J307" s="4"/>
      <c r="K307" s="4"/>
      <c r="L307" s="53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76"/>
      <c r="F308" s="53"/>
      <c r="G308" s="4"/>
      <c r="H308" s="4"/>
      <c r="I308" s="4"/>
      <c r="J308" s="4"/>
      <c r="K308" s="4"/>
      <c r="L308" s="53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76"/>
      <c r="F309" s="53"/>
      <c r="G309" s="4"/>
      <c r="H309" s="4"/>
      <c r="I309" s="4"/>
      <c r="J309" s="4"/>
      <c r="K309" s="4"/>
      <c r="L309" s="53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76"/>
      <c r="F310" s="53"/>
      <c r="G310" s="4"/>
      <c r="H310" s="4"/>
      <c r="I310" s="4"/>
      <c r="J310" s="4"/>
      <c r="K310" s="4"/>
      <c r="L310" s="53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76"/>
      <c r="F311" s="53"/>
      <c r="G311" s="4"/>
      <c r="H311" s="4"/>
      <c r="I311" s="4"/>
      <c r="J311" s="4"/>
      <c r="K311" s="4"/>
      <c r="L311" s="53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76"/>
      <c r="F312" s="53"/>
      <c r="G312" s="4"/>
      <c r="H312" s="4"/>
      <c r="I312" s="4"/>
      <c r="J312" s="4"/>
      <c r="K312" s="4"/>
      <c r="L312" s="53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76"/>
      <c r="F313" s="53"/>
      <c r="G313" s="4"/>
      <c r="H313" s="4"/>
      <c r="I313" s="4"/>
      <c r="J313" s="4"/>
      <c r="K313" s="4"/>
      <c r="L313" s="53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76"/>
      <c r="F314" s="53"/>
      <c r="G314" s="4"/>
      <c r="H314" s="4"/>
      <c r="I314" s="4"/>
      <c r="J314" s="4"/>
      <c r="K314" s="4"/>
      <c r="L314" s="53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76"/>
      <c r="F315" s="53"/>
      <c r="G315" s="4"/>
      <c r="H315" s="4"/>
      <c r="I315" s="4"/>
      <c r="J315" s="4"/>
      <c r="K315" s="4"/>
      <c r="L315" s="53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76"/>
      <c r="F316" s="53"/>
      <c r="G316" s="4"/>
      <c r="H316" s="4"/>
      <c r="I316" s="4"/>
      <c r="J316" s="4"/>
      <c r="K316" s="4"/>
      <c r="L316" s="53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76"/>
      <c r="F317" s="53"/>
      <c r="G317" s="4"/>
      <c r="H317" s="4"/>
      <c r="I317" s="4"/>
      <c r="J317" s="4"/>
      <c r="K317" s="4"/>
      <c r="L317" s="53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76"/>
      <c r="F318" s="53"/>
      <c r="G318" s="4"/>
      <c r="H318" s="4"/>
      <c r="I318" s="4"/>
      <c r="J318" s="4"/>
      <c r="K318" s="4"/>
      <c r="L318" s="53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76"/>
      <c r="F319" s="53"/>
      <c r="G319" s="4"/>
      <c r="H319" s="4"/>
      <c r="I319" s="4"/>
      <c r="J319" s="4"/>
      <c r="K319" s="4"/>
      <c r="L319" s="53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76"/>
      <c r="F320" s="53"/>
      <c r="G320" s="4"/>
      <c r="H320" s="4"/>
      <c r="I320" s="4"/>
      <c r="J320" s="4"/>
      <c r="K320" s="4"/>
      <c r="L320" s="53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76"/>
      <c r="F321" s="53"/>
      <c r="G321" s="4"/>
      <c r="H321" s="4"/>
      <c r="I321" s="4"/>
      <c r="J321" s="4"/>
      <c r="K321" s="4"/>
      <c r="L321" s="53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76"/>
      <c r="F322" s="53"/>
      <c r="G322" s="4"/>
      <c r="H322" s="4"/>
      <c r="I322" s="4"/>
      <c r="J322" s="4"/>
      <c r="K322" s="4"/>
      <c r="L322" s="53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76"/>
      <c r="F323" s="53"/>
      <c r="G323" s="4"/>
      <c r="H323" s="4"/>
      <c r="I323" s="4"/>
      <c r="J323" s="4"/>
      <c r="K323" s="4"/>
      <c r="L323" s="53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76"/>
      <c r="F324" s="53"/>
      <c r="G324" s="4"/>
      <c r="H324" s="4"/>
      <c r="I324" s="4"/>
      <c r="J324" s="4"/>
      <c r="K324" s="4"/>
      <c r="L324" s="53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76"/>
      <c r="F325" s="53"/>
      <c r="G325" s="4"/>
      <c r="H325" s="4"/>
      <c r="I325" s="4"/>
      <c r="J325" s="4"/>
      <c r="K325" s="4"/>
      <c r="L325" s="53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76"/>
      <c r="F326" s="53"/>
      <c r="G326" s="4"/>
      <c r="H326" s="4"/>
      <c r="I326" s="4"/>
      <c r="J326" s="4"/>
      <c r="K326" s="4"/>
      <c r="L326" s="53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76"/>
      <c r="F327" s="53"/>
      <c r="G327" s="4"/>
      <c r="H327" s="4"/>
      <c r="I327" s="4"/>
      <c r="J327" s="4"/>
      <c r="K327" s="4"/>
      <c r="L327" s="53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76"/>
      <c r="F328" s="53"/>
      <c r="G328" s="4"/>
      <c r="H328" s="4"/>
      <c r="I328" s="4"/>
      <c r="J328" s="4"/>
      <c r="K328" s="4"/>
      <c r="L328" s="53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76"/>
      <c r="F329" s="53"/>
      <c r="G329" s="4"/>
      <c r="H329" s="4"/>
      <c r="I329" s="4"/>
      <c r="J329" s="4"/>
      <c r="K329" s="4"/>
      <c r="L329" s="53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76"/>
      <c r="F330" s="53"/>
      <c r="G330" s="4"/>
      <c r="H330" s="4"/>
      <c r="I330" s="4"/>
      <c r="J330" s="4"/>
      <c r="K330" s="4"/>
      <c r="L330" s="53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76"/>
      <c r="F331" s="53"/>
      <c r="G331" s="4"/>
      <c r="H331" s="4"/>
      <c r="I331" s="4"/>
      <c r="J331" s="4"/>
      <c r="K331" s="4"/>
      <c r="L331" s="53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76"/>
      <c r="F332" s="53"/>
      <c r="G332" s="4"/>
      <c r="H332" s="4"/>
      <c r="I332" s="4"/>
      <c r="J332" s="4"/>
      <c r="K332" s="4"/>
      <c r="L332" s="53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76"/>
      <c r="F333" s="53"/>
      <c r="G333" s="4"/>
      <c r="H333" s="4"/>
      <c r="I333" s="4"/>
      <c r="J333" s="4"/>
      <c r="K333" s="4"/>
      <c r="L333" s="53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76"/>
      <c r="F334" s="53"/>
      <c r="G334" s="4"/>
      <c r="H334" s="4"/>
      <c r="I334" s="4"/>
      <c r="J334" s="4"/>
      <c r="K334" s="4"/>
      <c r="L334" s="53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76"/>
      <c r="F335" s="53"/>
      <c r="G335" s="4"/>
      <c r="H335" s="4"/>
      <c r="I335" s="4"/>
      <c r="J335" s="4"/>
      <c r="K335" s="4"/>
      <c r="L335" s="53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76"/>
      <c r="F336" s="53"/>
      <c r="G336" s="4"/>
      <c r="H336" s="4"/>
      <c r="I336" s="4"/>
      <c r="J336" s="4"/>
      <c r="K336" s="4"/>
      <c r="L336" s="53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76"/>
      <c r="F337" s="53"/>
      <c r="G337" s="4"/>
      <c r="H337" s="4"/>
      <c r="I337" s="4"/>
      <c r="J337" s="4"/>
      <c r="K337" s="4"/>
      <c r="L337" s="53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76"/>
      <c r="F338" s="53"/>
      <c r="G338" s="4"/>
      <c r="H338" s="4"/>
      <c r="I338" s="4"/>
      <c r="J338" s="4"/>
      <c r="K338" s="4"/>
      <c r="L338" s="53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76"/>
      <c r="F339" s="53"/>
      <c r="G339" s="4"/>
      <c r="H339" s="4"/>
      <c r="I339" s="4"/>
      <c r="J339" s="4"/>
      <c r="K339" s="4"/>
      <c r="L339" s="53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76"/>
      <c r="F340" s="53"/>
      <c r="G340" s="4"/>
      <c r="H340" s="4"/>
      <c r="I340" s="4"/>
      <c r="J340" s="4"/>
      <c r="K340" s="4"/>
      <c r="L340" s="53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76"/>
      <c r="F341" s="53"/>
      <c r="G341" s="4"/>
      <c r="H341" s="4"/>
      <c r="I341" s="4"/>
      <c r="J341" s="4"/>
      <c r="K341" s="4"/>
      <c r="L341" s="53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76"/>
      <c r="F342" s="53"/>
      <c r="G342" s="4"/>
      <c r="H342" s="4"/>
      <c r="I342" s="4"/>
      <c r="J342" s="4"/>
      <c r="K342" s="4"/>
      <c r="L342" s="53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76"/>
      <c r="F343" s="53"/>
      <c r="G343" s="4"/>
      <c r="H343" s="4"/>
      <c r="I343" s="4"/>
      <c r="J343" s="4"/>
      <c r="K343" s="4"/>
      <c r="L343" s="53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76"/>
      <c r="F344" s="53"/>
      <c r="G344" s="4"/>
      <c r="H344" s="4"/>
      <c r="I344" s="4"/>
      <c r="J344" s="4"/>
      <c r="K344" s="4"/>
      <c r="L344" s="53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76"/>
      <c r="F345" s="53"/>
      <c r="G345" s="4"/>
      <c r="H345" s="4"/>
      <c r="I345" s="4"/>
      <c r="J345" s="4"/>
      <c r="K345" s="4"/>
      <c r="L345" s="53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76"/>
      <c r="F346" s="53"/>
      <c r="G346" s="4"/>
      <c r="H346" s="4"/>
      <c r="I346" s="4"/>
      <c r="J346" s="4"/>
      <c r="K346" s="4"/>
      <c r="L346" s="53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76"/>
      <c r="F347" s="53"/>
      <c r="G347" s="4"/>
      <c r="H347" s="4"/>
      <c r="I347" s="4"/>
      <c r="J347" s="4"/>
      <c r="K347" s="4"/>
      <c r="L347" s="53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76"/>
      <c r="F348" s="53"/>
      <c r="G348" s="4"/>
      <c r="H348" s="4"/>
      <c r="I348" s="4"/>
      <c r="J348" s="4"/>
      <c r="K348" s="4"/>
      <c r="L348" s="53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76"/>
      <c r="F349" s="53"/>
      <c r="G349" s="4"/>
      <c r="H349" s="4"/>
      <c r="I349" s="4"/>
      <c r="J349" s="4"/>
      <c r="K349" s="4"/>
      <c r="L349" s="53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76"/>
      <c r="F350" s="53"/>
      <c r="G350" s="4"/>
      <c r="H350" s="4"/>
      <c r="I350" s="4"/>
      <c r="J350" s="4"/>
      <c r="K350" s="4"/>
      <c r="L350" s="53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76"/>
      <c r="F351" s="53"/>
      <c r="G351" s="4"/>
      <c r="H351" s="4"/>
      <c r="I351" s="4"/>
      <c r="J351" s="4"/>
      <c r="K351" s="4"/>
      <c r="L351" s="53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76"/>
      <c r="F352" s="53"/>
      <c r="G352" s="4"/>
      <c r="H352" s="4"/>
      <c r="I352" s="4"/>
      <c r="J352" s="4"/>
      <c r="K352" s="4"/>
      <c r="L352" s="53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76"/>
      <c r="F353" s="53"/>
      <c r="G353" s="4"/>
      <c r="H353" s="4"/>
      <c r="I353" s="4"/>
      <c r="J353" s="4"/>
      <c r="K353" s="4"/>
      <c r="L353" s="53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76"/>
      <c r="F354" s="53"/>
      <c r="G354" s="4"/>
      <c r="H354" s="4"/>
      <c r="I354" s="4"/>
      <c r="J354" s="4"/>
      <c r="K354" s="4"/>
      <c r="L354" s="53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76"/>
      <c r="F355" s="53"/>
      <c r="G355" s="4"/>
      <c r="H355" s="4"/>
      <c r="I355" s="4"/>
      <c r="J355" s="4"/>
      <c r="K355" s="4"/>
      <c r="L355" s="53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76"/>
      <c r="F356" s="53"/>
      <c r="G356" s="4"/>
      <c r="H356" s="4"/>
      <c r="I356" s="4"/>
      <c r="J356" s="4"/>
      <c r="K356" s="4"/>
      <c r="L356" s="53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76"/>
      <c r="F357" s="53"/>
      <c r="G357" s="4"/>
      <c r="H357" s="4"/>
      <c r="I357" s="4"/>
      <c r="J357" s="4"/>
      <c r="K357" s="4"/>
      <c r="L357" s="53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76"/>
      <c r="F358" s="53"/>
      <c r="G358" s="4"/>
      <c r="H358" s="4"/>
      <c r="I358" s="4"/>
      <c r="J358" s="4"/>
      <c r="K358" s="4"/>
      <c r="L358" s="53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76"/>
      <c r="F359" s="53"/>
      <c r="G359" s="4"/>
      <c r="H359" s="4"/>
      <c r="I359" s="4"/>
      <c r="J359" s="4"/>
      <c r="K359" s="4"/>
      <c r="L359" s="53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76"/>
      <c r="F360" s="53"/>
      <c r="G360" s="4"/>
      <c r="H360" s="4"/>
      <c r="I360" s="4"/>
      <c r="J360" s="4"/>
      <c r="K360" s="4"/>
      <c r="L360" s="53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76"/>
      <c r="F361" s="53"/>
      <c r="G361" s="4"/>
      <c r="H361" s="4"/>
      <c r="I361" s="4"/>
      <c r="J361" s="4"/>
      <c r="K361" s="4"/>
      <c r="L361" s="53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76"/>
      <c r="F362" s="53"/>
      <c r="G362" s="4"/>
      <c r="H362" s="4"/>
      <c r="I362" s="4"/>
      <c r="J362" s="4"/>
      <c r="K362" s="4"/>
      <c r="L362" s="53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76"/>
      <c r="F363" s="53"/>
      <c r="G363" s="4"/>
      <c r="H363" s="4"/>
      <c r="I363" s="4"/>
      <c r="J363" s="4"/>
      <c r="K363" s="4"/>
      <c r="L363" s="53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76"/>
      <c r="F364" s="53"/>
      <c r="G364" s="4"/>
      <c r="H364" s="4"/>
      <c r="I364" s="4"/>
      <c r="J364" s="4"/>
      <c r="K364" s="4"/>
      <c r="L364" s="53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76"/>
      <c r="F365" s="53"/>
      <c r="G365" s="4"/>
      <c r="H365" s="4"/>
      <c r="I365" s="4"/>
      <c r="J365" s="4"/>
      <c r="K365" s="4"/>
      <c r="L365" s="53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76"/>
      <c r="F366" s="53"/>
      <c r="G366" s="4"/>
      <c r="H366" s="4"/>
      <c r="I366" s="4"/>
      <c r="J366" s="4"/>
      <c r="K366" s="4"/>
      <c r="L366" s="53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76"/>
      <c r="F367" s="53"/>
      <c r="G367" s="4"/>
      <c r="H367" s="4"/>
      <c r="I367" s="4"/>
      <c r="J367" s="4"/>
      <c r="K367" s="4"/>
      <c r="L367" s="53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76"/>
      <c r="F368" s="53"/>
      <c r="G368" s="4"/>
      <c r="H368" s="4"/>
      <c r="I368" s="4"/>
      <c r="J368" s="4"/>
      <c r="K368" s="4"/>
      <c r="L368" s="53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76"/>
      <c r="F369" s="53"/>
      <c r="G369" s="4"/>
      <c r="H369" s="4"/>
      <c r="I369" s="4"/>
      <c r="J369" s="4"/>
      <c r="K369" s="4"/>
      <c r="L369" s="53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76"/>
      <c r="F370" s="53"/>
      <c r="G370" s="4"/>
      <c r="H370" s="4"/>
      <c r="I370" s="4"/>
      <c r="J370" s="4"/>
      <c r="K370" s="4"/>
      <c r="L370" s="53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76"/>
      <c r="F371" s="53"/>
      <c r="G371" s="4"/>
      <c r="H371" s="4"/>
      <c r="I371" s="4"/>
      <c r="J371" s="4"/>
      <c r="K371" s="4"/>
      <c r="L371" s="53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76"/>
      <c r="F372" s="53"/>
      <c r="G372" s="4"/>
      <c r="H372" s="4"/>
      <c r="I372" s="4"/>
      <c r="J372" s="4"/>
      <c r="K372" s="4"/>
      <c r="L372" s="53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76"/>
      <c r="F373" s="53"/>
      <c r="G373" s="4"/>
      <c r="H373" s="4"/>
      <c r="I373" s="4"/>
      <c r="J373" s="4"/>
      <c r="K373" s="4"/>
      <c r="L373" s="53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76"/>
      <c r="F374" s="53"/>
      <c r="G374" s="4"/>
      <c r="H374" s="4"/>
      <c r="I374" s="4"/>
      <c r="J374" s="4"/>
      <c r="K374" s="4"/>
      <c r="L374" s="53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76"/>
      <c r="F375" s="53"/>
      <c r="G375" s="4"/>
      <c r="H375" s="4"/>
      <c r="I375" s="4"/>
      <c r="J375" s="4"/>
      <c r="K375" s="4"/>
      <c r="L375" s="53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76"/>
      <c r="F376" s="53"/>
      <c r="G376" s="4"/>
      <c r="H376" s="4"/>
      <c r="I376" s="4"/>
      <c r="J376" s="4"/>
      <c r="K376" s="4"/>
      <c r="L376" s="53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76"/>
      <c r="F377" s="53"/>
      <c r="G377" s="4"/>
      <c r="H377" s="4"/>
      <c r="I377" s="4"/>
      <c r="J377" s="4"/>
      <c r="K377" s="4"/>
      <c r="L377" s="53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76"/>
      <c r="F378" s="53"/>
      <c r="G378" s="4"/>
      <c r="H378" s="4"/>
      <c r="I378" s="4"/>
      <c r="J378" s="4"/>
      <c r="K378" s="4"/>
      <c r="L378" s="53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76"/>
      <c r="F379" s="53"/>
      <c r="G379" s="4"/>
      <c r="H379" s="4"/>
      <c r="I379" s="4"/>
      <c r="J379" s="4"/>
      <c r="K379" s="4"/>
      <c r="L379" s="53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76"/>
      <c r="F380" s="53"/>
      <c r="G380" s="4"/>
      <c r="H380" s="4"/>
      <c r="I380" s="4"/>
      <c r="J380" s="4"/>
      <c r="K380" s="4"/>
      <c r="L380" s="53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76"/>
      <c r="F381" s="53"/>
      <c r="G381" s="4"/>
      <c r="H381" s="4"/>
      <c r="I381" s="4"/>
      <c r="J381" s="4"/>
      <c r="K381" s="4"/>
      <c r="L381" s="53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76"/>
      <c r="F382" s="53"/>
      <c r="G382" s="4"/>
      <c r="H382" s="4"/>
      <c r="I382" s="4"/>
      <c r="J382" s="4"/>
      <c r="K382" s="4"/>
      <c r="L382" s="53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76"/>
      <c r="F383" s="53"/>
      <c r="G383" s="4"/>
      <c r="H383" s="4"/>
      <c r="I383" s="4"/>
      <c r="J383" s="4"/>
      <c r="K383" s="4"/>
      <c r="L383" s="53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76"/>
      <c r="F384" s="53"/>
      <c r="G384" s="4"/>
      <c r="H384" s="4"/>
      <c r="I384" s="4"/>
      <c r="J384" s="4"/>
      <c r="K384" s="4"/>
      <c r="L384" s="53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76"/>
      <c r="F385" s="53"/>
      <c r="G385" s="4"/>
      <c r="H385" s="4"/>
      <c r="I385" s="4"/>
      <c r="J385" s="4"/>
      <c r="K385" s="4"/>
      <c r="L385" s="53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76"/>
      <c r="F386" s="53"/>
      <c r="G386" s="4"/>
      <c r="H386" s="4"/>
      <c r="I386" s="4"/>
      <c r="J386" s="4"/>
      <c r="K386" s="4"/>
      <c r="L386" s="53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76"/>
      <c r="F387" s="53"/>
      <c r="G387" s="4"/>
      <c r="H387" s="4"/>
      <c r="I387" s="4"/>
      <c r="J387" s="4"/>
      <c r="K387" s="4"/>
      <c r="L387" s="53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76"/>
      <c r="F388" s="53"/>
      <c r="G388" s="4"/>
      <c r="H388" s="4"/>
      <c r="I388" s="4"/>
      <c r="J388" s="4"/>
      <c r="K388" s="4"/>
      <c r="L388" s="53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76"/>
      <c r="F389" s="53"/>
      <c r="G389" s="4"/>
      <c r="H389" s="4"/>
      <c r="I389" s="4"/>
      <c r="J389" s="4"/>
      <c r="K389" s="4"/>
      <c r="L389" s="53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76"/>
      <c r="F390" s="53"/>
      <c r="G390" s="4"/>
      <c r="H390" s="4"/>
      <c r="I390" s="4"/>
      <c r="J390" s="4"/>
      <c r="K390" s="4"/>
      <c r="L390" s="53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76"/>
      <c r="F391" s="53"/>
      <c r="G391" s="4"/>
      <c r="H391" s="4"/>
      <c r="I391" s="4"/>
      <c r="J391" s="4"/>
      <c r="K391" s="4"/>
      <c r="L391" s="53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76"/>
      <c r="F392" s="53"/>
      <c r="G392" s="4"/>
      <c r="H392" s="4"/>
      <c r="I392" s="4"/>
      <c r="J392" s="4"/>
      <c r="K392" s="4"/>
      <c r="L392" s="53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76"/>
      <c r="F393" s="53"/>
      <c r="G393" s="4"/>
      <c r="H393" s="4"/>
      <c r="I393" s="4"/>
      <c r="J393" s="4"/>
      <c r="K393" s="4"/>
      <c r="L393" s="53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76"/>
      <c r="F394" s="53"/>
      <c r="G394" s="4"/>
      <c r="H394" s="4"/>
      <c r="I394" s="4"/>
      <c r="J394" s="4"/>
      <c r="K394" s="4"/>
      <c r="L394" s="53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76"/>
      <c r="F395" s="53"/>
      <c r="G395" s="4"/>
      <c r="H395" s="4"/>
      <c r="I395" s="4"/>
      <c r="J395" s="4"/>
      <c r="K395" s="4"/>
      <c r="L395" s="53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76"/>
      <c r="F396" s="53"/>
      <c r="G396" s="4"/>
      <c r="H396" s="4"/>
      <c r="I396" s="4"/>
      <c r="J396" s="4"/>
      <c r="K396" s="4"/>
      <c r="L396" s="53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76"/>
      <c r="F397" s="53"/>
      <c r="G397" s="4"/>
      <c r="H397" s="4"/>
      <c r="I397" s="4"/>
      <c r="J397" s="4"/>
      <c r="K397" s="4"/>
      <c r="L397" s="53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76"/>
      <c r="F398" s="53"/>
      <c r="G398" s="4"/>
      <c r="H398" s="4"/>
      <c r="I398" s="4"/>
      <c r="J398" s="4"/>
      <c r="K398" s="4"/>
      <c r="L398" s="53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76"/>
      <c r="F399" s="53"/>
      <c r="G399" s="4"/>
      <c r="H399" s="4"/>
      <c r="I399" s="4"/>
      <c r="J399" s="4"/>
      <c r="K399" s="4"/>
      <c r="L399" s="53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76"/>
      <c r="F400" s="53"/>
      <c r="G400" s="4"/>
      <c r="H400" s="4"/>
      <c r="I400" s="4"/>
      <c r="J400" s="4"/>
      <c r="K400" s="4"/>
      <c r="L400" s="53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76"/>
      <c r="F401" s="53"/>
      <c r="G401" s="4"/>
      <c r="H401" s="4"/>
      <c r="I401" s="4"/>
      <c r="J401" s="4"/>
      <c r="K401" s="4"/>
      <c r="L401" s="53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76"/>
      <c r="F402" s="53"/>
      <c r="G402" s="4"/>
      <c r="H402" s="4"/>
      <c r="I402" s="4"/>
      <c r="J402" s="4"/>
      <c r="K402" s="4"/>
      <c r="L402" s="53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76"/>
      <c r="F403" s="53"/>
      <c r="G403" s="4"/>
      <c r="H403" s="4"/>
      <c r="I403" s="4"/>
      <c r="J403" s="4"/>
      <c r="K403" s="4"/>
      <c r="L403" s="53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76"/>
      <c r="F404" s="53"/>
      <c r="G404" s="4"/>
      <c r="H404" s="4"/>
      <c r="I404" s="4"/>
      <c r="J404" s="4"/>
      <c r="K404" s="4"/>
      <c r="L404" s="53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76"/>
      <c r="F405" s="53"/>
      <c r="G405" s="4"/>
      <c r="H405" s="4"/>
      <c r="I405" s="4"/>
      <c r="J405" s="4"/>
      <c r="K405" s="4"/>
      <c r="L405" s="53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76"/>
      <c r="F406" s="53"/>
      <c r="G406" s="4"/>
      <c r="H406" s="4"/>
      <c r="I406" s="4"/>
      <c r="J406" s="4"/>
      <c r="K406" s="4"/>
      <c r="L406" s="53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76"/>
      <c r="F407" s="53"/>
      <c r="G407" s="4"/>
      <c r="H407" s="4"/>
      <c r="I407" s="4"/>
      <c r="J407" s="4"/>
      <c r="K407" s="4"/>
      <c r="L407" s="53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76"/>
      <c r="F408" s="53"/>
      <c r="G408" s="4"/>
      <c r="H408" s="4"/>
      <c r="I408" s="4"/>
      <c r="J408" s="4"/>
      <c r="K408" s="4"/>
      <c r="L408" s="53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76"/>
      <c r="F409" s="53"/>
      <c r="G409" s="4"/>
      <c r="H409" s="4"/>
      <c r="I409" s="4"/>
      <c r="J409" s="4"/>
      <c r="K409" s="4"/>
      <c r="L409" s="53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76"/>
      <c r="F410" s="53"/>
      <c r="G410" s="4"/>
      <c r="H410" s="4"/>
      <c r="I410" s="4"/>
      <c r="J410" s="4"/>
      <c r="K410" s="4"/>
      <c r="L410" s="53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76"/>
      <c r="F411" s="53"/>
      <c r="G411" s="4"/>
      <c r="H411" s="4"/>
      <c r="I411" s="4"/>
      <c r="J411" s="4"/>
      <c r="K411" s="4"/>
      <c r="L411" s="53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76"/>
      <c r="F412" s="53"/>
      <c r="G412" s="4"/>
      <c r="H412" s="4"/>
      <c r="I412" s="4"/>
      <c r="J412" s="4"/>
      <c r="K412" s="4"/>
      <c r="L412" s="53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76"/>
      <c r="F413" s="53"/>
      <c r="G413" s="4"/>
      <c r="H413" s="4"/>
      <c r="I413" s="4"/>
      <c r="J413" s="4"/>
      <c r="K413" s="4"/>
      <c r="L413" s="53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76"/>
      <c r="F414" s="53"/>
      <c r="G414" s="4"/>
      <c r="H414" s="4"/>
      <c r="I414" s="4"/>
      <c r="J414" s="4"/>
      <c r="K414" s="4"/>
      <c r="L414" s="53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76"/>
      <c r="F415" s="53"/>
      <c r="G415" s="4"/>
      <c r="H415" s="4"/>
      <c r="I415" s="4"/>
      <c r="J415" s="4"/>
      <c r="K415" s="4"/>
      <c r="L415" s="53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76"/>
      <c r="F416" s="53"/>
      <c r="G416" s="4"/>
      <c r="H416" s="4"/>
      <c r="I416" s="4"/>
      <c r="J416" s="4"/>
      <c r="K416" s="4"/>
      <c r="L416" s="53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76"/>
      <c r="F417" s="53"/>
      <c r="G417" s="4"/>
      <c r="H417" s="4"/>
      <c r="I417" s="4"/>
      <c r="J417" s="4"/>
      <c r="K417" s="4"/>
      <c r="L417" s="53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76"/>
      <c r="F418" s="53"/>
      <c r="G418" s="4"/>
      <c r="H418" s="4"/>
      <c r="I418" s="4"/>
      <c r="J418" s="4"/>
      <c r="K418" s="4"/>
      <c r="L418" s="53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76"/>
      <c r="F419" s="53"/>
      <c r="G419" s="4"/>
      <c r="H419" s="4"/>
      <c r="I419" s="4"/>
      <c r="J419" s="4"/>
      <c r="K419" s="4"/>
      <c r="L419" s="53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76"/>
      <c r="F420" s="53"/>
      <c r="G420" s="4"/>
      <c r="H420" s="4"/>
      <c r="I420" s="4"/>
      <c r="J420" s="4"/>
      <c r="K420" s="4"/>
      <c r="L420" s="53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76"/>
      <c r="F421" s="53"/>
      <c r="G421" s="4"/>
      <c r="H421" s="4"/>
      <c r="I421" s="4"/>
      <c r="J421" s="4"/>
      <c r="K421" s="4"/>
      <c r="L421" s="53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76"/>
      <c r="F422" s="53"/>
      <c r="G422" s="4"/>
      <c r="H422" s="4"/>
      <c r="I422" s="4"/>
      <c r="J422" s="4"/>
      <c r="K422" s="4"/>
      <c r="L422" s="53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76"/>
      <c r="F423" s="53"/>
      <c r="G423" s="4"/>
      <c r="H423" s="4"/>
      <c r="I423" s="4"/>
      <c r="J423" s="4"/>
      <c r="K423" s="4"/>
      <c r="L423" s="53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76"/>
      <c r="F424" s="53"/>
      <c r="G424" s="4"/>
      <c r="H424" s="4"/>
      <c r="I424" s="4"/>
      <c r="J424" s="4"/>
      <c r="K424" s="4"/>
      <c r="L424" s="53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76"/>
      <c r="F425" s="53"/>
      <c r="G425" s="4"/>
      <c r="H425" s="4"/>
      <c r="I425" s="4"/>
      <c r="J425" s="4"/>
      <c r="K425" s="4"/>
      <c r="L425" s="53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76"/>
      <c r="F426" s="53"/>
      <c r="G426" s="4"/>
      <c r="H426" s="4"/>
      <c r="I426" s="4"/>
      <c r="J426" s="4"/>
      <c r="K426" s="4"/>
      <c r="L426" s="53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76"/>
      <c r="F427" s="53"/>
      <c r="G427" s="4"/>
      <c r="H427" s="4"/>
      <c r="I427" s="4"/>
      <c r="J427" s="4"/>
      <c r="K427" s="4"/>
      <c r="L427" s="53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76"/>
      <c r="F428" s="53"/>
      <c r="G428" s="4"/>
      <c r="H428" s="4"/>
      <c r="I428" s="4"/>
      <c r="J428" s="4"/>
      <c r="K428" s="4"/>
      <c r="L428" s="53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76"/>
      <c r="F429" s="53"/>
      <c r="G429" s="4"/>
      <c r="H429" s="4"/>
      <c r="I429" s="4"/>
      <c r="J429" s="4"/>
      <c r="K429" s="4"/>
      <c r="L429" s="53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76"/>
      <c r="F430" s="53"/>
      <c r="G430" s="4"/>
      <c r="H430" s="4"/>
      <c r="I430" s="4"/>
      <c r="J430" s="4"/>
      <c r="K430" s="4"/>
      <c r="L430" s="53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76"/>
      <c r="F431" s="53"/>
      <c r="G431" s="4"/>
      <c r="H431" s="4"/>
      <c r="I431" s="4"/>
      <c r="J431" s="4"/>
      <c r="K431" s="4"/>
      <c r="L431" s="53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76"/>
      <c r="F432" s="53"/>
      <c r="G432" s="4"/>
      <c r="H432" s="4"/>
      <c r="I432" s="4"/>
      <c r="J432" s="4"/>
      <c r="K432" s="4"/>
      <c r="L432" s="53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76"/>
      <c r="F433" s="53"/>
      <c r="G433" s="4"/>
      <c r="H433" s="4"/>
      <c r="I433" s="4"/>
      <c r="J433" s="4"/>
      <c r="K433" s="4"/>
      <c r="L433" s="53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76"/>
      <c r="F434" s="53"/>
      <c r="G434" s="4"/>
      <c r="H434" s="4"/>
      <c r="I434" s="4"/>
      <c r="J434" s="4"/>
      <c r="K434" s="4"/>
      <c r="L434" s="53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76"/>
      <c r="F435" s="53"/>
      <c r="G435" s="4"/>
      <c r="H435" s="4"/>
      <c r="I435" s="4"/>
      <c r="J435" s="4"/>
      <c r="K435" s="4"/>
      <c r="L435" s="53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76"/>
      <c r="F436" s="53"/>
      <c r="G436" s="4"/>
      <c r="H436" s="4"/>
      <c r="I436" s="4"/>
      <c r="J436" s="4"/>
      <c r="K436" s="4"/>
      <c r="L436" s="53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76"/>
      <c r="F437" s="53"/>
      <c r="G437" s="4"/>
      <c r="H437" s="4"/>
      <c r="I437" s="4"/>
      <c r="J437" s="4"/>
      <c r="K437" s="4"/>
      <c r="L437" s="53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76"/>
      <c r="F438" s="53"/>
      <c r="G438" s="4"/>
      <c r="H438" s="4"/>
      <c r="I438" s="4"/>
      <c r="J438" s="4"/>
      <c r="K438" s="4"/>
      <c r="L438" s="53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76"/>
      <c r="F439" s="53"/>
      <c r="G439" s="4"/>
      <c r="H439" s="4"/>
      <c r="I439" s="4"/>
      <c r="J439" s="4"/>
      <c r="K439" s="4"/>
      <c r="L439" s="53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76"/>
      <c r="F440" s="53"/>
      <c r="G440" s="4"/>
      <c r="H440" s="4"/>
      <c r="I440" s="4"/>
      <c r="J440" s="4"/>
      <c r="K440" s="4"/>
      <c r="L440" s="53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76"/>
      <c r="F441" s="53"/>
      <c r="G441" s="4"/>
      <c r="H441" s="4"/>
      <c r="I441" s="4"/>
      <c r="J441" s="4"/>
      <c r="K441" s="4"/>
      <c r="L441" s="53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76"/>
      <c r="F442" s="53"/>
      <c r="G442" s="4"/>
      <c r="H442" s="4"/>
      <c r="I442" s="4"/>
      <c r="J442" s="4"/>
      <c r="K442" s="4"/>
      <c r="L442" s="53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76"/>
      <c r="F443" s="53"/>
      <c r="G443" s="4"/>
      <c r="H443" s="4"/>
      <c r="I443" s="4"/>
      <c r="J443" s="4"/>
      <c r="K443" s="4"/>
      <c r="L443" s="53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76"/>
      <c r="F444" s="53"/>
      <c r="G444" s="4"/>
      <c r="H444" s="4"/>
      <c r="I444" s="4"/>
      <c r="J444" s="4"/>
      <c r="K444" s="4"/>
      <c r="L444" s="53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76"/>
      <c r="F445" s="53"/>
      <c r="G445" s="4"/>
      <c r="H445" s="4"/>
      <c r="I445" s="4"/>
      <c r="J445" s="4"/>
      <c r="K445" s="4"/>
      <c r="L445" s="53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76"/>
      <c r="F446" s="53"/>
      <c r="G446" s="4"/>
      <c r="H446" s="4"/>
      <c r="I446" s="4"/>
      <c r="J446" s="4"/>
      <c r="K446" s="4"/>
      <c r="L446" s="53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76"/>
      <c r="F447" s="53"/>
      <c r="G447" s="4"/>
      <c r="H447" s="4"/>
      <c r="I447" s="4"/>
      <c r="J447" s="4"/>
      <c r="K447" s="4"/>
      <c r="L447" s="53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76"/>
      <c r="F448" s="53"/>
      <c r="G448" s="4"/>
      <c r="H448" s="4"/>
      <c r="I448" s="4"/>
      <c r="J448" s="4"/>
      <c r="K448" s="4"/>
      <c r="L448" s="53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76"/>
      <c r="F449" s="53"/>
      <c r="G449" s="4"/>
      <c r="H449" s="4"/>
      <c r="I449" s="4"/>
      <c r="J449" s="4"/>
      <c r="K449" s="4"/>
      <c r="L449" s="53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76"/>
      <c r="F450" s="53"/>
      <c r="G450" s="4"/>
      <c r="H450" s="4"/>
      <c r="I450" s="4"/>
      <c r="J450" s="4"/>
      <c r="K450" s="4"/>
      <c r="L450" s="53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76"/>
      <c r="F451" s="53"/>
      <c r="G451" s="4"/>
      <c r="H451" s="4"/>
      <c r="I451" s="4"/>
      <c r="J451" s="4"/>
      <c r="K451" s="4"/>
      <c r="L451" s="53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76"/>
      <c r="F452" s="53"/>
      <c r="G452" s="4"/>
      <c r="H452" s="4"/>
      <c r="I452" s="4"/>
      <c r="J452" s="4"/>
      <c r="K452" s="4"/>
      <c r="L452" s="53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76"/>
      <c r="F453" s="53"/>
      <c r="G453" s="4"/>
      <c r="H453" s="4"/>
      <c r="I453" s="4"/>
      <c r="J453" s="4"/>
      <c r="K453" s="4"/>
      <c r="L453" s="53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76"/>
      <c r="F454" s="53"/>
      <c r="G454" s="4"/>
      <c r="H454" s="4"/>
      <c r="I454" s="4"/>
      <c r="J454" s="4"/>
      <c r="K454" s="4"/>
      <c r="L454" s="53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76"/>
      <c r="F455" s="53"/>
      <c r="G455" s="4"/>
      <c r="H455" s="4"/>
      <c r="I455" s="4"/>
      <c r="J455" s="4"/>
      <c r="K455" s="4"/>
      <c r="L455" s="53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76"/>
      <c r="F456" s="53"/>
      <c r="G456" s="4"/>
      <c r="H456" s="4"/>
      <c r="I456" s="4"/>
      <c r="J456" s="4"/>
      <c r="K456" s="4"/>
      <c r="L456" s="53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76"/>
      <c r="F457" s="53"/>
      <c r="G457" s="4"/>
      <c r="H457" s="4"/>
      <c r="I457" s="4"/>
      <c r="J457" s="4"/>
      <c r="K457" s="4"/>
      <c r="L457" s="53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76"/>
      <c r="F458" s="53"/>
      <c r="G458" s="4"/>
      <c r="H458" s="4"/>
      <c r="I458" s="4"/>
      <c r="J458" s="4"/>
      <c r="K458" s="4"/>
      <c r="L458" s="53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76"/>
      <c r="F459" s="53"/>
      <c r="G459" s="4"/>
      <c r="H459" s="4"/>
      <c r="I459" s="4"/>
      <c r="J459" s="4"/>
      <c r="K459" s="4"/>
      <c r="L459" s="53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76"/>
      <c r="F460" s="53"/>
      <c r="G460" s="4"/>
      <c r="H460" s="4"/>
      <c r="I460" s="4"/>
      <c r="J460" s="4"/>
      <c r="K460" s="4"/>
      <c r="L460" s="53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76"/>
      <c r="F461" s="53"/>
      <c r="G461" s="4"/>
      <c r="H461" s="4"/>
      <c r="I461" s="4"/>
      <c r="J461" s="4"/>
      <c r="K461" s="4"/>
      <c r="L461" s="53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76"/>
      <c r="F462" s="53"/>
      <c r="G462" s="4"/>
      <c r="H462" s="4"/>
      <c r="I462" s="4"/>
      <c r="J462" s="4"/>
      <c r="K462" s="4"/>
      <c r="L462" s="53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76"/>
      <c r="F463" s="53"/>
      <c r="G463" s="4"/>
      <c r="H463" s="4"/>
      <c r="I463" s="4"/>
      <c r="J463" s="4"/>
      <c r="K463" s="4"/>
      <c r="L463" s="53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76"/>
      <c r="F464" s="53"/>
      <c r="G464" s="4"/>
      <c r="H464" s="4"/>
      <c r="I464" s="4"/>
      <c r="J464" s="4"/>
      <c r="K464" s="4"/>
      <c r="L464" s="53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76"/>
      <c r="F465" s="53"/>
      <c r="G465" s="4"/>
      <c r="H465" s="4"/>
      <c r="I465" s="4"/>
      <c r="J465" s="4"/>
      <c r="K465" s="4"/>
      <c r="L465" s="53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76"/>
      <c r="F466" s="53"/>
      <c r="G466" s="4"/>
      <c r="H466" s="4"/>
      <c r="I466" s="4"/>
      <c r="J466" s="4"/>
      <c r="K466" s="4"/>
      <c r="L466" s="53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76"/>
      <c r="F467" s="53"/>
      <c r="G467" s="4"/>
      <c r="H467" s="4"/>
      <c r="I467" s="4"/>
      <c r="J467" s="4"/>
      <c r="K467" s="4"/>
      <c r="L467" s="53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76"/>
      <c r="F468" s="53"/>
      <c r="G468" s="4"/>
      <c r="H468" s="4"/>
      <c r="I468" s="4"/>
      <c r="J468" s="4"/>
      <c r="K468" s="4"/>
      <c r="L468" s="53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76"/>
      <c r="F469" s="53"/>
      <c r="G469" s="4"/>
      <c r="H469" s="4"/>
      <c r="I469" s="4"/>
      <c r="J469" s="4"/>
      <c r="K469" s="4"/>
      <c r="L469" s="53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76"/>
      <c r="F470" s="53"/>
      <c r="G470" s="4"/>
      <c r="H470" s="4"/>
      <c r="I470" s="4"/>
      <c r="J470" s="4"/>
      <c r="K470" s="4"/>
      <c r="L470" s="53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76"/>
      <c r="F471" s="53"/>
      <c r="G471" s="4"/>
      <c r="H471" s="4"/>
      <c r="I471" s="4"/>
      <c r="J471" s="4"/>
      <c r="K471" s="4"/>
      <c r="L471" s="53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76"/>
      <c r="F472" s="53"/>
      <c r="G472" s="4"/>
      <c r="H472" s="4"/>
      <c r="I472" s="4"/>
      <c r="J472" s="4"/>
      <c r="K472" s="4"/>
      <c r="L472" s="53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76"/>
      <c r="F473" s="53"/>
      <c r="G473" s="4"/>
      <c r="H473" s="4"/>
      <c r="I473" s="4"/>
      <c r="J473" s="4"/>
      <c r="K473" s="4"/>
      <c r="L473" s="53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76"/>
      <c r="F474" s="53"/>
      <c r="G474" s="4"/>
      <c r="H474" s="4"/>
      <c r="I474" s="4"/>
      <c r="J474" s="4"/>
      <c r="K474" s="4"/>
      <c r="L474" s="53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76"/>
      <c r="F475" s="53"/>
      <c r="G475" s="4"/>
      <c r="H475" s="4"/>
      <c r="I475" s="4"/>
      <c r="J475" s="4"/>
      <c r="K475" s="4"/>
      <c r="L475" s="53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76"/>
      <c r="F476" s="53"/>
      <c r="G476" s="4"/>
      <c r="H476" s="4"/>
      <c r="I476" s="4"/>
      <c r="J476" s="4"/>
      <c r="K476" s="4"/>
      <c r="L476" s="53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76"/>
      <c r="F477" s="53"/>
      <c r="G477" s="4"/>
      <c r="H477" s="4"/>
      <c r="I477" s="4"/>
      <c r="J477" s="4"/>
      <c r="K477" s="4"/>
      <c r="L477" s="53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76"/>
      <c r="F478" s="53"/>
      <c r="G478" s="4"/>
      <c r="H478" s="4"/>
      <c r="I478" s="4"/>
      <c r="J478" s="4"/>
      <c r="K478" s="4"/>
      <c r="L478" s="53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76"/>
      <c r="F479" s="53"/>
      <c r="G479" s="4"/>
      <c r="H479" s="4"/>
      <c r="I479" s="4"/>
      <c r="J479" s="4"/>
      <c r="K479" s="4"/>
      <c r="L479" s="53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76"/>
      <c r="F480" s="53"/>
      <c r="G480" s="4"/>
      <c r="H480" s="4"/>
      <c r="I480" s="4"/>
      <c r="J480" s="4"/>
      <c r="K480" s="4"/>
      <c r="L480" s="53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76"/>
      <c r="F481" s="53"/>
      <c r="G481" s="4"/>
      <c r="H481" s="4"/>
      <c r="I481" s="4"/>
      <c r="J481" s="4"/>
      <c r="K481" s="4"/>
      <c r="L481" s="53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76"/>
      <c r="F482" s="53"/>
      <c r="G482" s="4"/>
      <c r="H482" s="4"/>
      <c r="I482" s="4"/>
      <c r="J482" s="4"/>
      <c r="K482" s="4"/>
      <c r="L482" s="53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76"/>
      <c r="F483" s="53"/>
      <c r="G483" s="4"/>
      <c r="H483" s="4"/>
      <c r="I483" s="4"/>
      <c r="J483" s="4"/>
      <c r="K483" s="4"/>
      <c r="L483" s="53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76"/>
      <c r="F484" s="53"/>
      <c r="G484" s="4"/>
      <c r="H484" s="4"/>
      <c r="I484" s="4"/>
      <c r="J484" s="4"/>
      <c r="K484" s="4"/>
      <c r="L484" s="53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76"/>
      <c r="F485" s="53"/>
      <c r="G485" s="4"/>
      <c r="H485" s="4"/>
      <c r="I485" s="4"/>
      <c r="J485" s="4"/>
      <c r="K485" s="4"/>
      <c r="L485" s="53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76"/>
      <c r="F486" s="53"/>
      <c r="G486" s="4"/>
      <c r="H486" s="4"/>
      <c r="I486" s="4"/>
      <c r="J486" s="4"/>
      <c r="K486" s="4"/>
      <c r="L486" s="53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76"/>
      <c r="F487" s="53"/>
      <c r="G487" s="4"/>
      <c r="H487" s="4"/>
      <c r="I487" s="4"/>
      <c r="J487" s="4"/>
      <c r="K487" s="4"/>
      <c r="L487" s="53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76"/>
      <c r="F488" s="53"/>
      <c r="G488" s="4"/>
      <c r="H488" s="4"/>
      <c r="I488" s="4"/>
      <c r="J488" s="4"/>
      <c r="K488" s="4"/>
      <c r="L488" s="53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76"/>
      <c r="F489" s="53"/>
      <c r="G489" s="4"/>
      <c r="H489" s="4"/>
      <c r="I489" s="4"/>
      <c r="J489" s="4"/>
      <c r="K489" s="4"/>
      <c r="L489" s="53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76"/>
      <c r="F490" s="53"/>
      <c r="G490" s="4"/>
      <c r="H490" s="4"/>
      <c r="I490" s="4"/>
      <c r="J490" s="4"/>
      <c r="K490" s="4"/>
      <c r="L490" s="53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76"/>
      <c r="F491" s="53"/>
      <c r="G491" s="4"/>
      <c r="H491" s="4"/>
      <c r="I491" s="4"/>
      <c r="J491" s="4"/>
      <c r="K491" s="4"/>
      <c r="L491" s="53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76"/>
      <c r="F492" s="53"/>
      <c r="G492" s="4"/>
      <c r="H492" s="4"/>
      <c r="I492" s="4"/>
      <c r="J492" s="4"/>
      <c r="K492" s="4"/>
      <c r="L492" s="53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76"/>
      <c r="F493" s="53"/>
      <c r="G493" s="4"/>
      <c r="H493" s="4"/>
      <c r="I493" s="4"/>
      <c r="J493" s="4"/>
      <c r="K493" s="4"/>
      <c r="L493" s="53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76"/>
      <c r="F494" s="53"/>
      <c r="G494" s="4"/>
      <c r="H494" s="4"/>
      <c r="I494" s="4"/>
      <c r="J494" s="4"/>
      <c r="K494" s="4"/>
      <c r="L494" s="53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76"/>
      <c r="F495" s="53"/>
      <c r="G495" s="4"/>
      <c r="H495" s="4"/>
      <c r="I495" s="4"/>
      <c r="J495" s="4"/>
      <c r="K495" s="4"/>
      <c r="L495" s="53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76"/>
      <c r="F496" s="53"/>
      <c r="G496" s="4"/>
      <c r="H496" s="4"/>
      <c r="I496" s="4"/>
      <c r="J496" s="4"/>
      <c r="K496" s="4"/>
      <c r="L496" s="53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76"/>
      <c r="F497" s="53"/>
      <c r="G497" s="4"/>
      <c r="H497" s="4"/>
      <c r="I497" s="4"/>
      <c r="J497" s="4"/>
      <c r="K497" s="4"/>
      <c r="L497" s="53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76"/>
      <c r="F498" s="53"/>
      <c r="G498" s="4"/>
      <c r="H498" s="4"/>
      <c r="I498" s="4"/>
      <c r="J498" s="4"/>
      <c r="K498" s="4"/>
      <c r="L498" s="53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76"/>
      <c r="F499" s="53"/>
      <c r="G499" s="4"/>
      <c r="H499" s="4"/>
      <c r="I499" s="4"/>
      <c r="J499" s="4"/>
      <c r="K499" s="4"/>
      <c r="L499" s="53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76"/>
      <c r="F500" s="53"/>
      <c r="G500" s="4"/>
      <c r="H500" s="4"/>
      <c r="I500" s="4"/>
      <c r="J500" s="4"/>
      <c r="K500" s="4"/>
      <c r="L500" s="53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76"/>
      <c r="F501" s="53"/>
      <c r="G501" s="4"/>
      <c r="H501" s="4"/>
      <c r="I501" s="4"/>
      <c r="J501" s="4"/>
      <c r="K501" s="4"/>
      <c r="L501" s="53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76"/>
      <c r="F502" s="53"/>
      <c r="G502" s="4"/>
      <c r="H502" s="4"/>
      <c r="I502" s="4"/>
      <c r="J502" s="4"/>
      <c r="K502" s="4"/>
      <c r="L502" s="53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76"/>
      <c r="F503" s="53"/>
      <c r="G503" s="4"/>
      <c r="H503" s="4"/>
      <c r="I503" s="4"/>
      <c r="J503" s="4"/>
      <c r="K503" s="4"/>
      <c r="L503" s="53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76"/>
      <c r="F504" s="53"/>
      <c r="G504" s="4"/>
      <c r="H504" s="4"/>
      <c r="I504" s="4"/>
      <c r="J504" s="4"/>
      <c r="K504" s="4"/>
      <c r="L504" s="53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76"/>
      <c r="F505" s="53"/>
      <c r="G505" s="4"/>
      <c r="H505" s="4"/>
      <c r="I505" s="4"/>
      <c r="J505" s="4"/>
      <c r="K505" s="4"/>
      <c r="L505" s="53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76"/>
      <c r="F506" s="53"/>
      <c r="G506" s="4"/>
      <c r="H506" s="4"/>
      <c r="I506" s="4"/>
      <c r="J506" s="4"/>
      <c r="K506" s="4"/>
      <c r="L506" s="53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76"/>
      <c r="F507" s="53"/>
      <c r="G507" s="4"/>
      <c r="H507" s="4"/>
      <c r="I507" s="4"/>
      <c r="J507" s="4"/>
      <c r="K507" s="4"/>
      <c r="L507" s="53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76"/>
      <c r="F508" s="53"/>
      <c r="G508" s="4"/>
      <c r="H508" s="4"/>
      <c r="I508" s="4"/>
      <c r="J508" s="4"/>
      <c r="K508" s="4"/>
      <c r="L508" s="53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76"/>
      <c r="F509" s="53"/>
      <c r="G509" s="4"/>
      <c r="H509" s="4"/>
      <c r="I509" s="4"/>
      <c r="J509" s="4"/>
      <c r="K509" s="4"/>
      <c r="L509" s="53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76"/>
      <c r="F510" s="53"/>
      <c r="G510" s="4"/>
      <c r="H510" s="4"/>
      <c r="I510" s="4"/>
      <c r="J510" s="4"/>
      <c r="K510" s="4"/>
      <c r="L510" s="53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76"/>
      <c r="F511" s="53"/>
      <c r="G511" s="4"/>
      <c r="H511" s="4"/>
      <c r="I511" s="4"/>
      <c r="J511" s="4"/>
      <c r="K511" s="4"/>
      <c r="L511" s="53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76"/>
      <c r="F512" s="53"/>
      <c r="G512" s="4"/>
      <c r="H512" s="4"/>
      <c r="I512" s="4"/>
      <c r="J512" s="4"/>
      <c r="K512" s="4"/>
      <c r="L512" s="53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76"/>
      <c r="F513" s="53"/>
      <c r="G513" s="4"/>
      <c r="H513" s="4"/>
      <c r="I513" s="4"/>
      <c r="J513" s="4"/>
      <c r="K513" s="4"/>
      <c r="L513" s="53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76"/>
      <c r="F514" s="53"/>
      <c r="G514" s="4"/>
      <c r="H514" s="4"/>
      <c r="I514" s="4"/>
      <c r="J514" s="4"/>
      <c r="K514" s="4"/>
      <c r="L514" s="53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76"/>
      <c r="F515" s="53"/>
      <c r="G515" s="4"/>
      <c r="H515" s="4"/>
      <c r="I515" s="4"/>
      <c r="J515" s="4"/>
      <c r="K515" s="4"/>
      <c r="L515" s="53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76"/>
      <c r="F516" s="53"/>
      <c r="G516" s="4"/>
      <c r="H516" s="4"/>
      <c r="I516" s="4"/>
      <c r="J516" s="4"/>
      <c r="K516" s="4"/>
      <c r="L516" s="53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76"/>
      <c r="F517" s="53"/>
      <c r="G517" s="4"/>
      <c r="H517" s="4"/>
      <c r="I517" s="4"/>
      <c r="J517" s="4"/>
      <c r="K517" s="4"/>
      <c r="L517" s="53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76"/>
      <c r="F518" s="53"/>
      <c r="G518" s="4"/>
      <c r="H518" s="4"/>
      <c r="I518" s="4"/>
      <c r="J518" s="4"/>
      <c r="K518" s="4"/>
      <c r="L518" s="53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76"/>
      <c r="F519" s="53"/>
      <c r="G519" s="4"/>
      <c r="H519" s="4"/>
      <c r="I519" s="4"/>
      <c r="J519" s="4"/>
      <c r="K519" s="4"/>
      <c r="L519" s="53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76"/>
      <c r="F520" s="53"/>
      <c r="G520" s="4"/>
      <c r="H520" s="4"/>
      <c r="I520" s="4"/>
      <c r="J520" s="4"/>
      <c r="K520" s="4"/>
      <c r="L520" s="53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76"/>
      <c r="F521" s="53"/>
      <c r="G521" s="4"/>
      <c r="H521" s="4"/>
      <c r="I521" s="4"/>
      <c r="J521" s="4"/>
      <c r="K521" s="4"/>
      <c r="L521" s="53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76"/>
      <c r="F522" s="53"/>
      <c r="G522" s="4"/>
      <c r="H522" s="4"/>
      <c r="I522" s="4"/>
      <c r="J522" s="4"/>
      <c r="K522" s="4"/>
      <c r="L522" s="53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76"/>
      <c r="F523" s="53"/>
      <c r="G523" s="4"/>
      <c r="H523" s="4"/>
      <c r="I523" s="4"/>
      <c r="J523" s="4"/>
      <c r="K523" s="4"/>
      <c r="L523" s="53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76"/>
      <c r="F524" s="53"/>
      <c r="G524" s="4"/>
      <c r="H524" s="4"/>
      <c r="I524" s="4"/>
      <c r="J524" s="4"/>
      <c r="K524" s="4"/>
      <c r="L524" s="53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76"/>
      <c r="F525" s="53"/>
      <c r="G525" s="4"/>
      <c r="H525" s="4"/>
      <c r="I525" s="4"/>
      <c r="J525" s="4"/>
      <c r="K525" s="4"/>
      <c r="L525" s="53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76"/>
      <c r="F526" s="53"/>
      <c r="G526" s="4"/>
      <c r="H526" s="4"/>
      <c r="I526" s="4"/>
      <c r="J526" s="4"/>
      <c r="K526" s="4"/>
      <c r="L526" s="53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76"/>
      <c r="F527" s="53"/>
      <c r="G527" s="4"/>
      <c r="H527" s="4"/>
      <c r="I527" s="4"/>
      <c r="J527" s="4"/>
      <c r="K527" s="4"/>
      <c r="L527" s="53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76"/>
      <c r="F528" s="53"/>
      <c r="G528" s="4"/>
      <c r="H528" s="4"/>
      <c r="I528" s="4"/>
      <c r="J528" s="4"/>
      <c r="K528" s="4"/>
      <c r="L528" s="53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76"/>
      <c r="F529" s="53"/>
      <c r="G529" s="4"/>
      <c r="H529" s="4"/>
      <c r="I529" s="4"/>
      <c r="J529" s="4"/>
      <c r="K529" s="4"/>
      <c r="L529" s="53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76"/>
      <c r="F530" s="53"/>
      <c r="G530" s="4"/>
      <c r="H530" s="4"/>
      <c r="I530" s="4"/>
      <c r="J530" s="4"/>
      <c r="K530" s="4"/>
      <c r="L530" s="53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76"/>
      <c r="F531" s="53"/>
      <c r="G531" s="4"/>
      <c r="H531" s="4"/>
      <c r="I531" s="4"/>
      <c r="J531" s="4"/>
      <c r="K531" s="4"/>
      <c r="L531" s="53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76"/>
      <c r="F532" s="53"/>
      <c r="G532" s="4"/>
      <c r="H532" s="4"/>
      <c r="I532" s="4"/>
      <c r="J532" s="4"/>
      <c r="K532" s="4"/>
      <c r="L532" s="53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76"/>
      <c r="F533" s="53"/>
      <c r="G533" s="4"/>
      <c r="H533" s="4"/>
      <c r="I533" s="4"/>
      <c r="J533" s="4"/>
      <c r="K533" s="4"/>
      <c r="L533" s="53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76"/>
      <c r="F534" s="53"/>
      <c r="G534" s="4"/>
      <c r="H534" s="4"/>
      <c r="I534" s="4"/>
      <c r="J534" s="4"/>
      <c r="K534" s="4"/>
      <c r="L534" s="53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76"/>
      <c r="F535" s="53"/>
      <c r="G535" s="4"/>
      <c r="H535" s="4"/>
      <c r="I535" s="4"/>
      <c r="J535" s="4"/>
      <c r="K535" s="4"/>
      <c r="L535" s="53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76"/>
      <c r="F536" s="53"/>
      <c r="G536" s="4"/>
      <c r="H536" s="4"/>
      <c r="I536" s="4"/>
      <c r="J536" s="4"/>
      <c r="K536" s="4"/>
      <c r="L536" s="53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76"/>
      <c r="F537" s="53"/>
      <c r="G537" s="4"/>
      <c r="H537" s="4"/>
      <c r="I537" s="4"/>
      <c r="J537" s="4"/>
      <c r="K537" s="4"/>
      <c r="L537" s="53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76"/>
      <c r="F538" s="53"/>
      <c r="G538" s="4"/>
      <c r="H538" s="4"/>
      <c r="I538" s="4"/>
      <c r="J538" s="4"/>
      <c r="K538" s="4"/>
      <c r="L538" s="53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76"/>
      <c r="F539" s="53"/>
      <c r="G539" s="4"/>
      <c r="H539" s="4"/>
      <c r="I539" s="4"/>
      <c r="J539" s="4"/>
      <c r="K539" s="4"/>
      <c r="L539" s="53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76"/>
      <c r="F540" s="53"/>
      <c r="G540" s="4"/>
      <c r="H540" s="4"/>
      <c r="I540" s="4"/>
      <c r="J540" s="4"/>
      <c r="K540" s="4"/>
      <c r="L540" s="53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76"/>
      <c r="F541" s="53"/>
      <c r="G541" s="4"/>
      <c r="H541" s="4"/>
      <c r="I541" s="4"/>
      <c r="J541" s="4"/>
      <c r="K541" s="4"/>
      <c r="L541" s="53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76"/>
      <c r="F542" s="53"/>
      <c r="G542" s="4"/>
      <c r="H542" s="4"/>
      <c r="I542" s="4"/>
      <c r="J542" s="4"/>
      <c r="K542" s="4"/>
      <c r="L542" s="53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76"/>
      <c r="F543" s="53"/>
      <c r="G543" s="4"/>
      <c r="H543" s="4"/>
      <c r="I543" s="4"/>
      <c r="J543" s="4"/>
      <c r="K543" s="4"/>
      <c r="L543" s="53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76"/>
      <c r="F544" s="53"/>
      <c r="G544" s="4"/>
      <c r="H544" s="4"/>
      <c r="I544" s="4"/>
      <c r="J544" s="4"/>
      <c r="K544" s="4"/>
      <c r="L544" s="53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76"/>
      <c r="F545" s="53"/>
      <c r="G545" s="4"/>
      <c r="H545" s="4"/>
      <c r="I545" s="4"/>
      <c r="J545" s="4"/>
      <c r="K545" s="4"/>
      <c r="L545" s="53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76"/>
      <c r="F546" s="53"/>
      <c r="G546" s="4"/>
      <c r="H546" s="4"/>
      <c r="I546" s="4"/>
      <c r="J546" s="4"/>
      <c r="K546" s="4"/>
      <c r="L546" s="53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76"/>
      <c r="F547" s="53"/>
      <c r="G547" s="4"/>
      <c r="H547" s="4"/>
      <c r="I547" s="4"/>
      <c r="J547" s="4"/>
      <c r="K547" s="4"/>
      <c r="L547" s="53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76"/>
      <c r="F548" s="53"/>
      <c r="G548" s="4"/>
      <c r="H548" s="4"/>
      <c r="I548" s="4"/>
      <c r="J548" s="4"/>
      <c r="K548" s="4"/>
      <c r="L548" s="53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76"/>
      <c r="F549" s="53"/>
      <c r="G549" s="4"/>
      <c r="H549" s="4"/>
      <c r="I549" s="4"/>
      <c r="J549" s="4"/>
      <c r="K549" s="4"/>
      <c r="L549" s="53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76"/>
      <c r="F550" s="53"/>
      <c r="G550" s="4"/>
      <c r="H550" s="4"/>
      <c r="I550" s="4"/>
      <c r="J550" s="4"/>
      <c r="K550" s="4"/>
      <c r="L550" s="53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76"/>
      <c r="F551" s="53"/>
      <c r="G551" s="4"/>
      <c r="H551" s="4"/>
      <c r="I551" s="4"/>
      <c r="J551" s="4"/>
      <c r="K551" s="4"/>
      <c r="L551" s="53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76"/>
      <c r="F552" s="53"/>
      <c r="G552" s="4"/>
      <c r="H552" s="4"/>
      <c r="I552" s="4"/>
      <c r="J552" s="4"/>
      <c r="K552" s="4"/>
      <c r="L552" s="53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76"/>
      <c r="F553" s="53"/>
      <c r="G553" s="4"/>
      <c r="H553" s="4"/>
      <c r="I553" s="4"/>
      <c r="J553" s="4"/>
      <c r="K553" s="4"/>
      <c r="L553" s="53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76"/>
      <c r="F554" s="53"/>
      <c r="G554" s="4"/>
      <c r="H554" s="4"/>
      <c r="I554" s="4"/>
      <c r="J554" s="4"/>
      <c r="K554" s="4"/>
      <c r="L554" s="53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76"/>
      <c r="F555" s="53"/>
      <c r="G555" s="4"/>
      <c r="H555" s="4"/>
      <c r="I555" s="4"/>
      <c r="J555" s="4"/>
      <c r="K555" s="4"/>
      <c r="L555" s="53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76"/>
      <c r="F556" s="53"/>
      <c r="G556" s="4"/>
      <c r="H556" s="4"/>
      <c r="I556" s="4"/>
      <c r="J556" s="4"/>
      <c r="K556" s="4"/>
      <c r="L556" s="53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76"/>
      <c r="F557" s="53"/>
      <c r="G557" s="4"/>
      <c r="H557" s="4"/>
      <c r="I557" s="4"/>
      <c r="J557" s="4"/>
      <c r="K557" s="4"/>
      <c r="L557" s="53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76"/>
      <c r="F558" s="53"/>
      <c r="G558" s="4"/>
      <c r="H558" s="4"/>
      <c r="I558" s="4"/>
      <c r="J558" s="4"/>
      <c r="K558" s="4"/>
      <c r="L558" s="53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76"/>
      <c r="F559" s="53"/>
      <c r="G559" s="4"/>
      <c r="H559" s="4"/>
      <c r="I559" s="4"/>
      <c r="J559" s="4"/>
      <c r="K559" s="4"/>
      <c r="L559" s="53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76"/>
      <c r="F560" s="53"/>
      <c r="G560" s="4"/>
      <c r="H560" s="4"/>
      <c r="I560" s="4"/>
      <c r="J560" s="4"/>
      <c r="K560" s="4"/>
      <c r="L560" s="53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76"/>
      <c r="F561" s="53"/>
      <c r="G561" s="4"/>
      <c r="H561" s="4"/>
      <c r="I561" s="4"/>
      <c r="J561" s="4"/>
      <c r="K561" s="4"/>
      <c r="L561" s="53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76"/>
      <c r="F562" s="53"/>
      <c r="G562" s="4"/>
      <c r="H562" s="4"/>
      <c r="I562" s="4"/>
      <c r="J562" s="4"/>
      <c r="K562" s="4"/>
      <c r="L562" s="53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76"/>
      <c r="F563" s="53"/>
      <c r="G563" s="4"/>
      <c r="H563" s="4"/>
      <c r="I563" s="4"/>
      <c r="J563" s="4"/>
      <c r="K563" s="4"/>
      <c r="L563" s="53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76"/>
      <c r="F564" s="53"/>
      <c r="G564" s="4"/>
      <c r="H564" s="4"/>
      <c r="I564" s="4"/>
      <c r="J564" s="4"/>
      <c r="K564" s="4"/>
      <c r="L564" s="53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76"/>
      <c r="F565" s="53"/>
      <c r="G565" s="4"/>
      <c r="H565" s="4"/>
      <c r="I565" s="4"/>
      <c r="J565" s="4"/>
      <c r="K565" s="4"/>
      <c r="L565" s="53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76"/>
      <c r="F566" s="53"/>
      <c r="G566" s="4"/>
      <c r="H566" s="4"/>
      <c r="I566" s="4"/>
      <c r="J566" s="4"/>
      <c r="K566" s="4"/>
      <c r="L566" s="53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76"/>
      <c r="F567" s="53"/>
      <c r="G567" s="4"/>
      <c r="H567" s="4"/>
      <c r="I567" s="4"/>
      <c r="J567" s="4"/>
      <c r="K567" s="4"/>
      <c r="L567" s="53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76"/>
      <c r="F568" s="53"/>
      <c r="G568" s="4"/>
      <c r="H568" s="4"/>
      <c r="I568" s="4"/>
      <c r="J568" s="4"/>
      <c r="K568" s="4"/>
      <c r="L568" s="53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76"/>
      <c r="F569" s="53"/>
      <c r="G569" s="4"/>
      <c r="H569" s="4"/>
      <c r="I569" s="4"/>
      <c r="J569" s="4"/>
      <c r="K569" s="4"/>
      <c r="L569" s="53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76"/>
      <c r="F570" s="53"/>
      <c r="G570" s="4"/>
      <c r="H570" s="4"/>
      <c r="I570" s="4"/>
      <c r="J570" s="4"/>
      <c r="K570" s="4"/>
      <c r="L570" s="53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76"/>
      <c r="F571" s="53"/>
      <c r="G571" s="4"/>
      <c r="H571" s="4"/>
      <c r="I571" s="4"/>
      <c r="J571" s="4"/>
      <c r="K571" s="4"/>
      <c r="L571" s="53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76"/>
      <c r="F572" s="53"/>
      <c r="G572" s="4"/>
      <c r="H572" s="4"/>
      <c r="I572" s="4"/>
      <c r="J572" s="4"/>
      <c r="K572" s="4"/>
      <c r="L572" s="53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76"/>
      <c r="F573" s="53"/>
      <c r="G573" s="4"/>
      <c r="H573" s="4"/>
      <c r="I573" s="4"/>
      <c r="J573" s="4"/>
      <c r="K573" s="4"/>
      <c r="L573" s="53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76"/>
      <c r="F574" s="53"/>
      <c r="G574" s="4"/>
      <c r="H574" s="4"/>
      <c r="I574" s="4"/>
      <c r="J574" s="4"/>
      <c r="K574" s="4"/>
      <c r="L574" s="53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76"/>
      <c r="F575" s="53"/>
      <c r="G575" s="4"/>
      <c r="H575" s="4"/>
      <c r="I575" s="4"/>
      <c r="J575" s="4"/>
      <c r="K575" s="4"/>
      <c r="L575" s="53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76"/>
      <c r="F576" s="53"/>
      <c r="G576" s="4"/>
      <c r="H576" s="4"/>
      <c r="I576" s="4"/>
      <c r="J576" s="4"/>
      <c r="K576" s="4"/>
      <c r="L576" s="53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76"/>
      <c r="F577" s="53"/>
      <c r="G577" s="4"/>
      <c r="H577" s="4"/>
      <c r="I577" s="4"/>
      <c r="J577" s="4"/>
      <c r="K577" s="4"/>
      <c r="L577" s="53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76"/>
      <c r="F578" s="53"/>
      <c r="G578" s="4"/>
      <c r="H578" s="4"/>
      <c r="I578" s="4"/>
      <c r="J578" s="4"/>
      <c r="K578" s="4"/>
      <c r="L578" s="53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76"/>
      <c r="F579" s="53"/>
      <c r="G579" s="4"/>
      <c r="H579" s="4"/>
      <c r="I579" s="4"/>
      <c r="J579" s="4"/>
      <c r="K579" s="4"/>
      <c r="L579" s="53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76"/>
      <c r="F580" s="53"/>
      <c r="G580" s="4"/>
      <c r="H580" s="4"/>
      <c r="I580" s="4"/>
      <c r="J580" s="4"/>
      <c r="K580" s="4"/>
      <c r="L580" s="53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76"/>
      <c r="F581" s="53"/>
      <c r="G581" s="4"/>
      <c r="H581" s="4"/>
      <c r="I581" s="4"/>
      <c r="J581" s="4"/>
      <c r="K581" s="4"/>
      <c r="L581" s="53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76"/>
      <c r="F582" s="53"/>
      <c r="G582" s="4"/>
      <c r="H582" s="4"/>
      <c r="I582" s="4"/>
      <c r="J582" s="4"/>
      <c r="K582" s="4"/>
      <c r="L582" s="53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76"/>
      <c r="F583" s="53"/>
      <c r="G583" s="4"/>
      <c r="H583" s="4"/>
      <c r="I583" s="4"/>
      <c r="J583" s="4"/>
      <c r="K583" s="4"/>
      <c r="L583" s="53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76"/>
      <c r="F584" s="53"/>
      <c r="G584" s="4"/>
      <c r="H584" s="4"/>
      <c r="I584" s="4"/>
      <c r="J584" s="4"/>
      <c r="K584" s="4"/>
      <c r="L584" s="53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76"/>
      <c r="F585" s="53"/>
      <c r="G585" s="4"/>
      <c r="H585" s="4"/>
      <c r="I585" s="4"/>
      <c r="J585" s="4"/>
      <c r="K585" s="4"/>
      <c r="L585" s="53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76"/>
      <c r="F586" s="53"/>
      <c r="G586" s="4"/>
      <c r="H586" s="4"/>
      <c r="I586" s="4"/>
      <c r="J586" s="4"/>
      <c r="K586" s="4"/>
      <c r="L586" s="53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76"/>
      <c r="F587" s="53"/>
      <c r="G587" s="4"/>
      <c r="H587" s="4"/>
      <c r="I587" s="4"/>
      <c r="J587" s="4"/>
      <c r="K587" s="4"/>
      <c r="L587" s="53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76"/>
      <c r="F588" s="53"/>
      <c r="G588" s="4"/>
      <c r="H588" s="4"/>
      <c r="I588" s="4"/>
      <c r="J588" s="4"/>
      <c r="K588" s="4"/>
      <c r="L588" s="53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76"/>
      <c r="F589" s="53"/>
      <c r="G589" s="4"/>
      <c r="H589" s="4"/>
      <c r="I589" s="4"/>
      <c r="J589" s="4"/>
      <c r="K589" s="4"/>
      <c r="L589" s="53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76"/>
      <c r="F590" s="53"/>
      <c r="G590" s="4"/>
      <c r="H590" s="4"/>
      <c r="I590" s="4"/>
      <c r="J590" s="4"/>
      <c r="K590" s="4"/>
      <c r="L590" s="53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76"/>
      <c r="F591" s="53"/>
      <c r="G591" s="4"/>
      <c r="H591" s="4"/>
      <c r="I591" s="4"/>
      <c r="J591" s="4"/>
      <c r="K591" s="4"/>
      <c r="L591" s="53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76"/>
      <c r="F592" s="53"/>
      <c r="G592" s="4"/>
      <c r="H592" s="4"/>
      <c r="I592" s="4"/>
      <c r="J592" s="4"/>
      <c r="K592" s="4"/>
      <c r="L592" s="53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76"/>
      <c r="F593" s="53"/>
      <c r="G593" s="4"/>
      <c r="H593" s="4"/>
      <c r="I593" s="4"/>
      <c r="J593" s="4"/>
      <c r="K593" s="4"/>
      <c r="L593" s="53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76"/>
      <c r="F594" s="53"/>
      <c r="G594" s="4"/>
      <c r="H594" s="4"/>
      <c r="I594" s="4"/>
      <c r="J594" s="4"/>
      <c r="K594" s="4"/>
      <c r="L594" s="53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76"/>
      <c r="F595" s="53"/>
      <c r="G595" s="4"/>
      <c r="H595" s="4"/>
      <c r="I595" s="4"/>
      <c r="J595" s="4"/>
      <c r="K595" s="4"/>
      <c r="L595" s="53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76"/>
      <c r="F596" s="53"/>
      <c r="G596" s="4"/>
      <c r="H596" s="4"/>
      <c r="I596" s="4"/>
      <c r="J596" s="4"/>
      <c r="K596" s="4"/>
      <c r="L596" s="53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76"/>
      <c r="F597" s="53"/>
      <c r="G597" s="4"/>
      <c r="H597" s="4"/>
      <c r="I597" s="4"/>
      <c r="J597" s="4"/>
      <c r="K597" s="4"/>
      <c r="L597" s="53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76"/>
      <c r="F598" s="53"/>
      <c r="G598" s="4"/>
      <c r="H598" s="4"/>
      <c r="I598" s="4"/>
      <c r="J598" s="4"/>
      <c r="K598" s="4"/>
      <c r="L598" s="53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76"/>
      <c r="F599" s="53"/>
      <c r="G599" s="4"/>
      <c r="H599" s="4"/>
      <c r="I599" s="4"/>
      <c r="J599" s="4"/>
      <c r="K599" s="4"/>
      <c r="L599" s="53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76"/>
      <c r="F600" s="53"/>
      <c r="G600" s="4"/>
      <c r="H600" s="4"/>
      <c r="I600" s="4"/>
      <c r="J600" s="4"/>
      <c r="K600" s="4"/>
      <c r="L600" s="53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76"/>
      <c r="F601" s="53"/>
      <c r="G601" s="4"/>
      <c r="H601" s="4"/>
      <c r="I601" s="4"/>
      <c r="J601" s="4"/>
      <c r="K601" s="4"/>
      <c r="L601" s="53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76"/>
      <c r="F602" s="53"/>
      <c r="G602" s="4"/>
      <c r="H602" s="4"/>
      <c r="I602" s="4"/>
      <c r="J602" s="4"/>
      <c r="K602" s="4"/>
      <c r="L602" s="53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76"/>
      <c r="F603" s="53"/>
      <c r="G603" s="4"/>
      <c r="H603" s="4"/>
      <c r="I603" s="4"/>
      <c r="J603" s="4"/>
      <c r="K603" s="4"/>
      <c r="L603" s="53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76"/>
      <c r="F604" s="53"/>
      <c r="G604" s="4"/>
      <c r="H604" s="4"/>
      <c r="I604" s="4"/>
      <c r="J604" s="4"/>
      <c r="K604" s="4"/>
      <c r="L604" s="53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76"/>
      <c r="F605" s="53"/>
      <c r="G605" s="4"/>
      <c r="H605" s="4"/>
      <c r="I605" s="4"/>
      <c r="J605" s="4"/>
      <c r="K605" s="4"/>
      <c r="L605" s="53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76"/>
      <c r="F606" s="53"/>
      <c r="G606" s="4"/>
      <c r="H606" s="4"/>
      <c r="I606" s="4"/>
      <c r="J606" s="4"/>
      <c r="K606" s="4"/>
      <c r="L606" s="53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76"/>
      <c r="F607" s="53"/>
      <c r="G607" s="4"/>
      <c r="H607" s="4"/>
      <c r="I607" s="4"/>
      <c r="J607" s="4"/>
      <c r="K607" s="4"/>
      <c r="L607" s="53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76"/>
      <c r="F608" s="53"/>
      <c r="G608" s="4"/>
      <c r="H608" s="4"/>
      <c r="I608" s="4"/>
      <c r="J608" s="4"/>
      <c r="K608" s="4"/>
      <c r="L608" s="53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76"/>
      <c r="F609" s="53"/>
      <c r="G609" s="4"/>
      <c r="H609" s="4"/>
      <c r="I609" s="4"/>
      <c r="J609" s="4"/>
      <c r="K609" s="4"/>
      <c r="L609" s="53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76"/>
      <c r="F610" s="53"/>
      <c r="G610" s="4"/>
      <c r="H610" s="4"/>
      <c r="I610" s="4"/>
      <c r="J610" s="4"/>
      <c r="K610" s="4"/>
      <c r="L610" s="53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76"/>
      <c r="F611" s="53"/>
      <c r="G611" s="4"/>
      <c r="H611" s="4"/>
      <c r="I611" s="4"/>
      <c r="J611" s="4"/>
      <c r="K611" s="4"/>
      <c r="L611" s="53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76"/>
      <c r="F612" s="53"/>
      <c r="G612" s="4"/>
      <c r="H612" s="4"/>
      <c r="I612" s="4"/>
      <c r="J612" s="4"/>
      <c r="K612" s="4"/>
      <c r="L612" s="53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76"/>
      <c r="F613" s="53"/>
      <c r="G613" s="4"/>
      <c r="H613" s="4"/>
      <c r="I613" s="4"/>
      <c r="J613" s="4"/>
      <c r="K613" s="4"/>
      <c r="L613" s="53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76"/>
      <c r="F614" s="53"/>
      <c r="G614" s="4"/>
      <c r="H614" s="4"/>
      <c r="I614" s="4"/>
      <c r="J614" s="4"/>
      <c r="K614" s="4"/>
      <c r="L614" s="53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76"/>
      <c r="F615" s="53"/>
      <c r="G615" s="4"/>
      <c r="H615" s="4"/>
      <c r="I615" s="4"/>
      <c r="J615" s="4"/>
      <c r="K615" s="4"/>
      <c r="L615" s="53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76"/>
      <c r="F616" s="53"/>
      <c r="G616" s="4"/>
      <c r="H616" s="4"/>
      <c r="I616" s="4"/>
      <c r="J616" s="4"/>
      <c r="K616" s="4"/>
      <c r="L616" s="53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76"/>
      <c r="F617" s="53"/>
      <c r="G617" s="4"/>
      <c r="H617" s="4"/>
      <c r="I617" s="4"/>
      <c r="J617" s="4"/>
      <c r="K617" s="4"/>
      <c r="L617" s="53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76"/>
      <c r="F618" s="53"/>
      <c r="G618" s="4"/>
      <c r="H618" s="4"/>
      <c r="I618" s="4"/>
      <c r="J618" s="4"/>
      <c r="K618" s="4"/>
      <c r="L618" s="53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76"/>
      <c r="F619" s="53"/>
      <c r="G619" s="4"/>
      <c r="H619" s="4"/>
      <c r="I619" s="4"/>
      <c r="J619" s="4"/>
      <c r="K619" s="4"/>
      <c r="L619" s="53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76"/>
      <c r="F620" s="53"/>
      <c r="G620" s="4"/>
      <c r="H620" s="4"/>
      <c r="I620" s="4"/>
      <c r="J620" s="4"/>
      <c r="K620" s="4"/>
      <c r="L620" s="53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76"/>
      <c r="F621" s="53"/>
      <c r="G621" s="4"/>
      <c r="H621" s="4"/>
      <c r="I621" s="4"/>
      <c r="J621" s="4"/>
      <c r="K621" s="4"/>
      <c r="L621" s="53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76"/>
      <c r="F622" s="53"/>
      <c r="G622" s="4"/>
      <c r="H622" s="4"/>
      <c r="I622" s="4"/>
      <c r="J622" s="4"/>
      <c r="K622" s="4"/>
      <c r="L622" s="53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76"/>
      <c r="F623" s="53"/>
      <c r="G623" s="4"/>
      <c r="H623" s="4"/>
      <c r="I623" s="4"/>
      <c r="J623" s="4"/>
      <c r="K623" s="4"/>
      <c r="L623" s="53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76"/>
      <c r="F624" s="53"/>
      <c r="G624" s="4"/>
      <c r="H624" s="4"/>
      <c r="I624" s="4"/>
      <c r="J624" s="4"/>
      <c r="K624" s="4"/>
      <c r="L624" s="53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76"/>
      <c r="F625" s="53"/>
      <c r="G625" s="4"/>
      <c r="H625" s="4"/>
      <c r="I625" s="4"/>
      <c r="J625" s="4"/>
      <c r="K625" s="4"/>
      <c r="L625" s="53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76"/>
      <c r="F626" s="53"/>
      <c r="G626" s="4"/>
      <c r="H626" s="4"/>
      <c r="I626" s="4"/>
      <c r="J626" s="4"/>
      <c r="K626" s="4"/>
      <c r="L626" s="53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76"/>
      <c r="F627" s="53"/>
      <c r="G627" s="4"/>
      <c r="H627" s="4"/>
      <c r="I627" s="4"/>
      <c r="J627" s="4"/>
      <c r="K627" s="4"/>
      <c r="L627" s="53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76"/>
      <c r="F628" s="53"/>
      <c r="G628" s="4"/>
      <c r="H628" s="4"/>
      <c r="I628" s="4"/>
      <c r="J628" s="4"/>
      <c r="K628" s="4"/>
      <c r="L628" s="53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76"/>
      <c r="F629" s="53"/>
      <c r="G629" s="4"/>
      <c r="H629" s="4"/>
      <c r="I629" s="4"/>
      <c r="J629" s="4"/>
      <c r="K629" s="4"/>
      <c r="L629" s="53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76"/>
      <c r="F630" s="53"/>
      <c r="G630" s="4"/>
      <c r="H630" s="4"/>
      <c r="I630" s="4"/>
      <c r="J630" s="4"/>
      <c r="K630" s="4"/>
      <c r="L630" s="53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76"/>
      <c r="F631" s="53"/>
      <c r="G631" s="4"/>
      <c r="H631" s="4"/>
      <c r="I631" s="4"/>
      <c r="J631" s="4"/>
      <c r="K631" s="4"/>
      <c r="L631" s="53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76"/>
      <c r="F632" s="53"/>
      <c r="G632" s="4"/>
      <c r="H632" s="4"/>
      <c r="I632" s="4"/>
      <c r="J632" s="4"/>
      <c r="K632" s="4"/>
      <c r="L632" s="53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76"/>
      <c r="F633" s="53"/>
      <c r="G633" s="4"/>
      <c r="H633" s="4"/>
      <c r="I633" s="4"/>
      <c r="J633" s="4"/>
      <c r="K633" s="4"/>
      <c r="L633" s="53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76"/>
      <c r="F634" s="53"/>
      <c r="G634" s="4"/>
      <c r="H634" s="4"/>
      <c r="I634" s="4"/>
      <c r="J634" s="4"/>
      <c r="K634" s="4"/>
      <c r="L634" s="53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76"/>
      <c r="F635" s="53"/>
      <c r="G635" s="4"/>
      <c r="H635" s="4"/>
      <c r="I635" s="4"/>
      <c r="J635" s="4"/>
      <c r="K635" s="4"/>
      <c r="L635" s="53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76"/>
      <c r="F636" s="53"/>
      <c r="G636" s="4"/>
      <c r="H636" s="4"/>
      <c r="I636" s="4"/>
      <c r="J636" s="4"/>
      <c r="K636" s="4"/>
      <c r="L636" s="53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76"/>
      <c r="F637" s="53"/>
      <c r="G637" s="4"/>
      <c r="H637" s="4"/>
      <c r="I637" s="4"/>
      <c r="J637" s="4"/>
      <c r="K637" s="4"/>
      <c r="L637" s="53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76"/>
      <c r="F638" s="53"/>
      <c r="G638" s="4"/>
      <c r="H638" s="4"/>
      <c r="I638" s="4"/>
      <c r="J638" s="4"/>
      <c r="K638" s="4"/>
      <c r="L638" s="53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76"/>
      <c r="F639" s="53"/>
      <c r="G639" s="4"/>
      <c r="H639" s="4"/>
      <c r="I639" s="4"/>
      <c r="J639" s="4"/>
      <c r="K639" s="4"/>
      <c r="L639" s="53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76"/>
      <c r="F640" s="53"/>
      <c r="G640" s="4"/>
      <c r="H640" s="4"/>
      <c r="I640" s="4"/>
      <c r="J640" s="4"/>
      <c r="K640" s="4"/>
      <c r="L640" s="53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76"/>
      <c r="F641" s="53"/>
      <c r="G641" s="4"/>
      <c r="H641" s="4"/>
      <c r="I641" s="4"/>
      <c r="J641" s="4"/>
      <c r="K641" s="4"/>
      <c r="L641" s="53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76"/>
      <c r="F642" s="53"/>
      <c r="G642" s="4"/>
      <c r="H642" s="4"/>
      <c r="I642" s="4"/>
      <c r="J642" s="4"/>
      <c r="K642" s="4"/>
      <c r="L642" s="53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76"/>
      <c r="F643" s="53"/>
      <c r="G643" s="4"/>
      <c r="H643" s="4"/>
      <c r="I643" s="4"/>
      <c r="J643" s="4"/>
      <c r="K643" s="4"/>
      <c r="L643" s="53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76"/>
      <c r="F644" s="53"/>
      <c r="G644" s="4"/>
      <c r="H644" s="4"/>
      <c r="I644" s="4"/>
      <c r="J644" s="4"/>
      <c r="K644" s="4"/>
      <c r="L644" s="53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76"/>
      <c r="F645" s="53"/>
      <c r="G645" s="4"/>
      <c r="H645" s="4"/>
      <c r="I645" s="4"/>
      <c r="J645" s="4"/>
      <c r="K645" s="4"/>
      <c r="L645" s="53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76"/>
      <c r="F646" s="53"/>
      <c r="G646" s="4"/>
      <c r="H646" s="4"/>
      <c r="I646" s="4"/>
      <c r="J646" s="4"/>
      <c r="K646" s="4"/>
      <c r="L646" s="53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76"/>
      <c r="F647" s="53"/>
      <c r="G647" s="4"/>
      <c r="H647" s="4"/>
      <c r="I647" s="4"/>
      <c r="J647" s="4"/>
      <c r="K647" s="4"/>
      <c r="L647" s="53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76"/>
      <c r="F648" s="53"/>
      <c r="G648" s="4"/>
      <c r="H648" s="4"/>
      <c r="I648" s="4"/>
      <c r="J648" s="4"/>
      <c r="K648" s="4"/>
      <c r="L648" s="53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76"/>
      <c r="F649" s="53"/>
      <c r="G649" s="4"/>
      <c r="H649" s="4"/>
      <c r="I649" s="4"/>
      <c r="J649" s="4"/>
      <c r="K649" s="4"/>
      <c r="L649" s="53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76"/>
      <c r="F650" s="53"/>
      <c r="G650" s="4"/>
      <c r="H650" s="4"/>
      <c r="I650" s="4"/>
      <c r="J650" s="4"/>
      <c r="K650" s="4"/>
      <c r="L650" s="53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76"/>
      <c r="F651" s="53"/>
      <c r="G651" s="4"/>
      <c r="H651" s="4"/>
      <c r="I651" s="4"/>
      <c r="J651" s="4"/>
      <c r="K651" s="4"/>
      <c r="L651" s="53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76"/>
      <c r="F652" s="53"/>
      <c r="G652" s="4"/>
      <c r="H652" s="4"/>
      <c r="I652" s="4"/>
      <c r="J652" s="4"/>
      <c r="K652" s="4"/>
      <c r="L652" s="53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76"/>
      <c r="F653" s="53"/>
      <c r="G653" s="4"/>
      <c r="H653" s="4"/>
      <c r="I653" s="4"/>
      <c r="J653" s="4"/>
      <c r="K653" s="4"/>
      <c r="L653" s="53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76"/>
      <c r="F654" s="53"/>
      <c r="G654" s="4"/>
      <c r="H654" s="4"/>
      <c r="I654" s="4"/>
      <c r="J654" s="4"/>
      <c r="K654" s="4"/>
      <c r="L654" s="53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76"/>
      <c r="F655" s="53"/>
      <c r="G655" s="4"/>
      <c r="H655" s="4"/>
      <c r="I655" s="4"/>
      <c r="J655" s="4"/>
      <c r="K655" s="4"/>
      <c r="L655" s="53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76"/>
      <c r="F656" s="53"/>
      <c r="G656" s="4"/>
      <c r="H656" s="4"/>
      <c r="I656" s="4"/>
      <c r="J656" s="4"/>
      <c r="K656" s="4"/>
      <c r="L656" s="53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76"/>
      <c r="F657" s="53"/>
      <c r="G657" s="4"/>
      <c r="H657" s="4"/>
      <c r="I657" s="4"/>
      <c r="J657" s="4"/>
      <c r="K657" s="4"/>
      <c r="L657" s="53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76"/>
      <c r="F658" s="53"/>
      <c r="G658" s="4"/>
      <c r="H658" s="4"/>
      <c r="I658" s="4"/>
      <c r="J658" s="4"/>
      <c r="K658" s="4"/>
      <c r="L658" s="53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76"/>
      <c r="F659" s="53"/>
      <c r="G659" s="4"/>
      <c r="H659" s="4"/>
      <c r="I659" s="4"/>
      <c r="J659" s="4"/>
      <c r="K659" s="4"/>
      <c r="L659" s="53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76"/>
      <c r="F660" s="53"/>
      <c r="G660" s="4"/>
      <c r="H660" s="4"/>
      <c r="I660" s="4"/>
      <c r="J660" s="4"/>
      <c r="K660" s="4"/>
      <c r="L660" s="53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76"/>
      <c r="F661" s="53"/>
      <c r="G661" s="4"/>
      <c r="H661" s="4"/>
      <c r="I661" s="4"/>
      <c r="J661" s="4"/>
      <c r="K661" s="4"/>
      <c r="L661" s="53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76"/>
      <c r="F662" s="53"/>
      <c r="G662" s="4"/>
      <c r="H662" s="4"/>
      <c r="I662" s="4"/>
      <c r="J662" s="4"/>
      <c r="K662" s="4"/>
      <c r="L662" s="53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76"/>
      <c r="F663" s="53"/>
      <c r="G663" s="4"/>
      <c r="H663" s="4"/>
      <c r="I663" s="4"/>
      <c r="J663" s="4"/>
      <c r="K663" s="4"/>
      <c r="L663" s="53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76"/>
      <c r="F664" s="53"/>
      <c r="G664" s="4"/>
      <c r="H664" s="4"/>
      <c r="I664" s="4"/>
      <c r="J664" s="4"/>
      <c r="K664" s="4"/>
      <c r="L664" s="53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76"/>
      <c r="F665" s="53"/>
      <c r="G665" s="4"/>
      <c r="H665" s="4"/>
      <c r="I665" s="4"/>
      <c r="J665" s="4"/>
      <c r="K665" s="4"/>
      <c r="L665" s="53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76"/>
      <c r="F666" s="53"/>
      <c r="G666" s="4"/>
      <c r="H666" s="4"/>
      <c r="I666" s="4"/>
      <c r="J666" s="4"/>
      <c r="K666" s="4"/>
      <c r="L666" s="53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76"/>
      <c r="F667" s="53"/>
      <c r="G667" s="4"/>
      <c r="H667" s="4"/>
      <c r="I667" s="4"/>
      <c r="J667" s="4"/>
      <c r="K667" s="4"/>
      <c r="L667" s="53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76"/>
      <c r="F668" s="53"/>
      <c r="G668" s="4"/>
      <c r="H668" s="4"/>
      <c r="I668" s="4"/>
      <c r="J668" s="4"/>
      <c r="K668" s="4"/>
      <c r="L668" s="53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76"/>
      <c r="F669" s="53"/>
      <c r="G669" s="4"/>
      <c r="H669" s="4"/>
      <c r="I669" s="4"/>
      <c r="J669" s="4"/>
      <c r="K669" s="4"/>
      <c r="L669" s="53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76"/>
      <c r="F670" s="53"/>
      <c r="G670" s="4"/>
      <c r="H670" s="4"/>
      <c r="I670" s="4"/>
      <c r="J670" s="4"/>
      <c r="K670" s="4"/>
      <c r="L670" s="53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76"/>
      <c r="F671" s="53"/>
      <c r="G671" s="4"/>
      <c r="H671" s="4"/>
      <c r="I671" s="4"/>
      <c r="J671" s="4"/>
      <c r="K671" s="4"/>
      <c r="L671" s="53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76"/>
      <c r="F672" s="53"/>
      <c r="G672" s="4"/>
      <c r="H672" s="4"/>
      <c r="I672" s="4"/>
      <c r="J672" s="4"/>
      <c r="K672" s="4"/>
      <c r="L672" s="53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76"/>
      <c r="F673" s="53"/>
      <c r="G673" s="4"/>
      <c r="H673" s="4"/>
      <c r="I673" s="4"/>
      <c r="J673" s="4"/>
      <c r="K673" s="4"/>
      <c r="L673" s="53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76"/>
      <c r="F674" s="53"/>
      <c r="G674" s="4"/>
      <c r="H674" s="4"/>
      <c r="I674" s="4"/>
      <c r="J674" s="4"/>
      <c r="K674" s="4"/>
      <c r="L674" s="53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76"/>
      <c r="F675" s="53"/>
      <c r="G675" s="4"/>
      <c r="H675" s="4"/>
      <c r="I675" s="4"/>
      <c r="J675" s="4"/>
      <c r="K675" s="4"/>
      <c r="L675" s="53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76"/>
      <c r="F676" s="53"/>
      <c r="G676" s="4"/>
      <c r="H676" s="4"/>
      <c r="I676" s="4"/>
      <c r="J676" s="4"/>
      <c r="K676" s="4"/>
      <c r="L676" s="53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76"/>
      <c r="F677" s="53"/>
      <c r="G677" s="4"/>
      <c r="H677" s="4"/>
      <c r="I677" s="4"/>
      <c r="J677" s="4"/>
      <c r="K677" s="4"/>
      <c r="L677" s="53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76"/>
      <c r="F678" s="53"/>
      <c r="G678" s="4"/>
      <c r="H678" s="4"/>
      <c r="I678" s="4"/>
      <c r="J678" s="4"/>
      <c r="K678" s="4"/>
      <c r="L678" s="53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76"/>
      <c r="F679" s="53"/>
      <c r="G679" s="4"/>
      <c r="H679" s="4"/>
      <c r="I679" s="4"/>
      <c r="J679" s="4"/>
      <c r="K679" s="4"/>
      <c r="L679" s="53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76"/>
      <c r="F680" s="53"/>
      <c r="G680" s="4"/>
      <c r="H680" s="4"/>
      <c r="I680" s="4"/>
      <c r="J680" s="4"/>
      <c r="K680" s="4"/>
      <c r="L680" s="53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76"/>
      <c r="F681" s="53"/>
      <c r="G681" s="4"/>
      <c r="H681" s="4"/>
      <c r="I681" s="4"/>
      <c r="J681" s="4"/>
      <c r="K681" s="4"/>
      <c r="L681" s="53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76"/>
      <c r="F682" s="53"/>
      <c r="G682" s="4"/>
      <c r="H682" s="4"/>
      <c r="I682" s="4"/>
      <c r="J682" s="4"/>
      <c r="K682" s="4"/>
      <c r="L682" s="53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76"/>
      <c r="F683" s="53"/>
      <c r="G683" s="4"/>
      <c r="H683" s="4"/>
      <c r="I683" s="4"/>
      <c r="J683" s="4"/>
      <c r="K683" s="4"/>
      <c r="L683" s="53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76"/>
      <c r="F684" s="53"/>
      <c r="G684" s="4"/>
      <c r="H684" s="4"/>
      <c r="I684" s="4"/>
      <c r="J684" s="4"/>
      <c r="K684" s="4"/>
      <c r="L684" s="53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76"/>
      <c r="F685" s="53"/>
      <c r="G685" s="4"/>
      <c r="H685" s="4"/>
      <c r="I685" s="4"/>
      <c r="J685" s="4"/>
      <c r="K685" s="4"/>
      <c r="L685" s="53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76"/>
      <c r="F686" s="53"/>
      <c r="G686" s="4"/>
      <c r="H686" s="4"/>
      <c r="I686" s="4"/>
      <c r="J686" s="4"/>
      <c r="K686" s="4"/>
      <c r="L686" s="53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76"/>
      <c r="F687" s="53"/>
      <c r="G687" s="4"/>
      <c r="H687" s="4"/>
      <c r="I687" s="4"/>
      <c r="J687" s="4"/>
      <c r="K687" s="4"/>
      <c r="L687" s="53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76"/>
      <c r="F688" s="53"/>
      <c r="G688" s="4"/>
      <c r="H688" s="4"/>
      <c r="I688" s="4"/>
      <c r="J688" s="4"/>
      <c r="K688" s="4"/>
      <c r="L688" s="53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76"/>
      <c r="F689" s="53"/>
      <c r="G689" s="4"/>
      <c r="H689" s="4"/>
      <c r="I689" s="4"/>
      <c r="J689" s="4"/>
      <c r="K689" s="4"/>
      <c r="L689" s="53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76"/>
      <c r="F690" s="53"/>
      <c r="G690" s="4"/>
      <c r="H690" s="4"/>
      <c r="I690" s="4"/>
      <c r="J690" s="4"/>
      <c r="K690" s="4"/>
      <c r="L690" s="53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76"/>
      <c r="F691" s="53"/>
      <c r="G691" s="4"/>
      <c r="H691" s="4"/>
      <c r="I691" s="4"/>
      <c r="J691" s="4"/>
      <c r="K691" s="4"/>
      <c r="L691" s="53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76"/>
      <c r="F692" s="53"/>
      <c r="G692" s="4"/>
      <c r="H692" s="4"/>
      <c r="I692" s="4"/>
      <c r="J692" s="4"/>
      <c r="K692" s="4"/>
      <c r="L692" s="53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76"/>
      <c r="F693" s="53"/>
      <c r="G693" s="4"/>
      <c r="H693" s="4"/>
      <c r="I693" s="4"/>
      <c r="J693" s="4"/>
      <c r="K693" s="4"/>
      <c r="L693" s="53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76"/>
      <c r="F694" s="53"/>
      <c r="G694" s="4"/>
      <c r="H694" s="4"/>
      <c r="I694" s="4"/>
      <c r="J694" s="4"/>
      <c r="K694" s="4"/>
      <c r="L694" s="53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76"/>
      <c r="F695" s="53"/>
      <c r="G695" s="4"/>
      <c r="H695" s="4"/>
      <c r="I695" s="4"/>
      <c r="J695" s="4"/>
      <c r="K695" s="4"/>
      <c r="L695" s="53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76"/>
      <c r="F696" s="53"/>
      <c r="G696" s="4"/>
      <c r="H696" s="4"/>
      <c r="I696" s="4"/>
      <c r="J696" s="4"/>
      <c r="K696" s="4"/>
      <c r="L696" s="53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76"/>
      <c r="F697" s="53"/>
      <c r="G697" s="4"/>
      <c r="H697" s="4"/>
      <c r="I697" s="4"/>
      <c r="J697" s="4"/>
      <c r="K697" s="4"/>
      <c r="L697" s="53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76"/>
      <c r="F698" s="53"/>
      <c r="G698" s="4"/>
      <c r="H698" s="4"/>
      <c r="I698" s="4"/>
      <c r="J698" s="4"/>
      <c r="K698" s="4"/>
      <c r="L698" s="53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76"/>
      <c r="F699" s="53"/>
      <c r="G699" s="4"/>
      <c r="H699" s="4"/>
      <c r="I699" s="4"/>
      <c r="J699" s="4"/>
      <c r="K699" s="4"/>
      <c r="L699" s="53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76"/>
      <c r="F700" s="53"/>
      <c r="G700" s="4"/>
      <c r="H700" s="4"/>
      <c r="I700" s="4"/>
      <c r="J700" s="4"/>
      <c r="K700" s="4"/>
      <c r="L700" s="53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76"/>
      <c r="F701" s="53"/>
      <c r="G701" s="4"/>
      <c r="H701" s="4"/>
      <c r="I701" s="4"/>
      <c r="J701" s="4"/>
      <c r="K701" s="4"/>
      <c r="L701" s="53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76"/>
      <c r="F702" s="53"/>
      <c r="G702" s="4"/>
      <c r="H702" s="4"/>
      <c r="I702" s="4"/>
      <c r="J702" s="4"/>
      <c r="K702" s="4"/>
      <c r="L702" s="53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76"/>
      <c r="F703" s="53"/>
      <c r="G703" s="4"/>
      <c r="H703" s="4"/>
      <c r="I703" s="4"/>
      <c r="J703" s="4"/>
      <c r="K703" s="4"/>
      <c r="L703" s="53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76"/>
      <c r="F704" s="53"/>
      <c r="G704" s="4"/>
      <c r="H704" s="4"/>
      <c r="I704" s="4"/>
      <c r="J704" s="4"/>
      <c r="K704" s="4"/>
      <c r="L704" s="53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76"/>
      <c r="F705" s="53"/>
      <c r="G705" s="4"/>
      <c r="H705" s="4"/>
      <c r="I705" s="4"/>
      <c r="J705" s="4"/>
      <c r="K705" s="4"/>
      <c r="L705" s="53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76"/>
      <c r="F706" s="53"/>
      <c r="G706" s="4"/>
      <c r="H706" s="4"/>
      <c r="I706" s="4"/>
      <c r="J706" s="4"/>
      <c r="K706" s="4"/>
      <c r="L706" s="53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76"/>
      <c r="F707" s="53"/>
      <c r="G707" s="4"/>
      <c r="H707" s="4"/>
      <c r="I707" s="4"/>
      <c r="J707" s="4"/>
      <c r="K707" s="4"/>
      <c r="L707" s="53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76"/>
      <c r="F708" s="53"/>
      <c r="G708" s="4"/>
      <c r="H708" s="4"/>
      <c r="I708" s="4"/>
      <c r="J708" s="4"/>
      <c r="K708" s="4"/>
      <c r="L708" s="53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76"/>
      <c r="F709" s="53"/>
      <c r="G709" s="4"/>
      <c r="H709" s="4"/>
      <c r="I709" s="4"/>
      <c r="J709" s="4"/>
      <c r="K709" s="4"/>
      <c r="L709" s="53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76"/>
      <c r="F710" s="53"/>
      <c r="G710" s="4"/>
      <c r="H710" s="4"/>
      <c r="I710" s="4"/>
      <c r="J710" s="4"/>
      <c r="K710" s="4"/>
      <c r="L710" s="53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76"/>
      <c r="F711" s="53"/>
      <c r="G711" s="4"/>
      <c r="H711" s="4"/>
      <c r="I711" s="4"/>
      <c r="J711" s="4"/>
      <c r="K711" s="4"/>
      <c r="L711" s="53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76"/>
      <c r="F712" s="53"/>
      <c r="G712" s="4"/>
      <c r="H712" s="4"/>
      <c r="I712" s="4"/>
      <c r="J712" s="4"/>
      <c r="K712" s="4"/>
      <c r="L712" s="53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76"/>
      <c r="F713" s="53"/>
      <c r="G713" s="4"/>
      <c r="H713" s="4"/>
      <c r="I713" s="4"/>
      <c r="J713" s="4"/>
      <c r="K713" s="4"/>
      <c r="L713" s="53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76"/>
      <c r="F714" s="53"/>
      <c r="G714" s="4"/>
      <c r="H714" s="4"/>
      <c r="I714" s="4"/>
      <c r="J714" s="4"/>
      <c r="K714" s="4"/>
      <c r="L714" s="53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76"/>
      <c r="F715" s="53"/>
      <c r="G715" s="4"/>
      <c r="H715" s="4"/>
      <c r="I715" s="4"/>
      <c r="J715" s="4"/>
      <c r="K715" s="4"/>
      <c r="L715" s="53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76"/>
      <c r="F716" s="53"/>
      <c r="G716" s="4"/>
      <c r="H716" s="4"/>
      <c r="I716" s="4"/>
      <c r="J716" s="4"/>
      <c r="K716" s="4"/>
      <c r="L716" s="53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76"/>
      <c r="F717" s="53"/>
      <c r="G717" s="4"/>
      <c r="H717" s="4"/>
      <c r="I717" s="4"/>
      <c r="J717" s="4"/>
      <c r="K717" s="4"/>
      <c r="L717" s="53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76"/>
      <c r="F718" s="53"/>
      <c r="G718" s="4"/>
      <c r="H718" s="4"/>
      <c r="I718" s="4"/>
      <c r="J718" s="4"/>
      <c r="K718" s="4"/>
      <c r="L718" s="53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76"/>
      <c r="F719" s="53"/>
      <c r="G719" s="4"/>
      <c r="H719" s="4"/>
      <c r="I719" s="4"/>
      <c r="J719" s="4"/>
      <c r="K719" s="4"/>
      <c r="L719" s="53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76"/>
      <c r="F720" s="53"/>
      <c r="G720" s="4"/>
      <c r="H720" s="4"/>
      <c r="I720" s="4"/>
      <c r="J720" s="4"/>
      <c r="K720" s="4"/>
      <c r="L720" s="53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76"/>
      <c r="F721" s="53"/>
      <c r="G721" s="4"/>
      <c r="H721" s="4"/>
      <c r="I721" s="4"/>
      <c r="J721" s="4"/>
      <c r="K721" s="4"/>
      <c r="L721" s="53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76"/>
      <c r="F722" s="53"/>
      <c r="G722" s="4"/>
      <c r="H722" s="4"/>
      <c r="I722" s="4"/>
      <c r="J722" s="4"/>
      <c r="K722" s="4"/>
      <c r="L722" s="53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76"/>
      <c r="F723" s="53"/>
      <c r="G723" s="4"/>
      <c r="H723" s="4"/>
      <c r="I723" s="4"/>
      <c r="J723" s="4"/>
      <c r="K723" s="4"/>
      <c r="L723" s="53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76"/>
      <c r="F724" s="53"/>
      <c r="G724" s="4"/>
      <c r="H724" s="4"/>
      <c r="I724" s="4"/>
      <c r="J724" s="4"/>
      <c r="K724" s="4"/>
      <c r="L724" s="53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76"/>
      <c r="F725" s="53"/>
      <c r="G725" s="4"/>
      <c r="H725" s="4"/>
      <c r="I725" s="4"/>
      <c r="J725" s="4"/>
      <c r="K725" s="4"/>
      <c r="L725" s="53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76"/>
      <c r="F726" s="53"/>
      <c r="G726" s="4"/>
      <c r="H726" s="4"/>
      <c r="I726" s="4"/>
      <c r="J726" s="4"/>
      <c r="K726" s="4"/>
      <c r="L726" s="53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76"/>
      <c r="F727" s="53"/>
      <c r="G727" s="4"/>
      <c r="H727" s="4"/>
      <c r="I727" s="4"/>
      <c r="J727" s="4"/>
      <c r="K727" s="4"/>
      <c r="L727" s="53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76"/>
      <c r="F728" s="53"/>
      <c r="G728" s="4"/>
      <c r="H728" s="4"/>
      <c r="I728" s="4"/>
      <c r="J728" s="4"/>
      <c r="K728" s="4"/>
      <c r="L728" s="53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76"/>
      <c r="F729" s="53"/>
      <c r="G729" s="4"/>
      <c r="H729" s="4"/>
      <c r="I729" s="4"/>
      <c r="J729" s="4"/>
      <c r="K729" s="4"/>
      <c r="L729" s="53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76"/>
      <c r="F730" s="53"/>
      <c r="G730" s="4"/>
      <c r="H730" s="4"/>
      <c r="I730" s="4"/>
      <c r="J730" s="4"/>
      <c r="K730" s="4"/>
      <c r="L730" s="53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76"/>
      <c r="F731" s="53"/>
      <c r="G731" s="4"/>
      <c r="H731" s="4"/>
      <c r="I731" s="4"/>
      <c r="J731" s="4"/>
      <c r="K731" s="4"/>
      <c r="L731" s="53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76"/>
      <c r="F732" s="53"/>
      <c r="G732" s="4"/>
      <c r="H732" s="4"/>
      <c r="I732" s="4"/>
      <c r="J732" s="4"/>
      <c r="K732" s="4"/>
      <c r="L732" s="53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76"/>
      <c r="F733" s="53"/>
      <c r="G733" s="4"/>
      <c r="H733" s="4"/>
      <c r="I733" s="4"/>
      <c r="J733" s="4"/>
      <c r="K733" s="4"/>
      <c r="L733" s="53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76"/>
      <c r="F734" s="53"/>
      <c r="G734" s="4"/>
      <c r="H734" s="4"/>
      <c r="I734" s="4"/>
      <c r="J734" s="4"/>
      <c r="K734" s="4"/>
      <c r="L734" s="53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76"/>
      <c r="F735" s="53"/>
      <c r="G735" s="4"/>
      <c r="H735" s="4"/>
      <c r="I735" s="4"/>
      <c r="J735" s="4"/>
      <c r="K735" s="4"/>
      <c r="L735" s="53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76"/>
      <c r="F736" s="53"/>
      <c r="G736" s="4"/>
      <c r="H736" s="4"/>
      <c r="I736" s="4"/>
      <c r="J736" s="4"/>
      <c r="K736" s="4"/>
      <c r="L736" s="53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76"/>
      <c r="F737" s="53"/>
      <c r="G737" s="4"/>
      <c r="H737" s="4"/>
      <c r="I737" s="4"/>
      <c r="J737" s="4"/>
      <c r="K737" s="4"/>
      <c r="L737" s="53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76"/>
      <c r="F738" s="53"/>
      <c r="G738" s="4"/>
      <c r="H738" s="4"/>
      <c r="I738" s="4"/>
      <c r="J738" s="4"/>
      <c r="K738" s="4"/>
      <c r="L738" s="53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76"/>
      <c r="F739" s="53"/>
      <c r="G739" s="4"/>
      <c r="H739" s="4"/>
      <c r="I739" s="4"/>
      <c r="J739" s="4"/>
      <c r="K739" s="4"/>
      <c r="L739" s="53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76"/>
      <c r="F740" s="53"/>
      <c r="G740" s="4"/>
      <c r="H740" s="4"/>
      <c r="I740" s="4"/>
      <c r="J740" s="4"/>
      <c r="K740" s="4"/>
      <c r="L740" s="53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76"/>
      <c r="F741" s="53"/>
      <c r="G741" s="4"/>
      <c r="H741" s="4"/>
      <c r="I741" s="4"/>
      <c r="J741" s="4"/>
      <c r="K741" s="4"/>
      <c r="L741" s="53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76"/>
      <c r="F742" s="53"/>
      <c r="G742" s="4"/>
      <c r="H742" s="4"/>
      <c r="I742" s="4"/>
      <c r="J742" s="4"/>
      <c r="K742" s="4"/>
      <c r="L742" s="53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76"/>
      <c r="F743" s="53"/>
      <c r="G743" s="4"/>
      <c r="H743" s="4"/>
      <c r="I743" s="4"/>
      <c r="J743" s="4"/>
      <c r="K743" s="4"/>
      <c r="L743" s="53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76"/>
      <c r="F744" s="53"/>
      <c r="G744" s="4"/>
      <c r="H744" s="4"/>
      <c r="I744" s="4"/>
      <c r="J744" s="4"/>
      <c r="K744" s="4"/>
      <c r="L744" s="53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76"/>
      <c r="F745" s="53"/>
      <c r="G745" s="4"/>
      <c r="H745" s="4"/>
      <c r="I745" s="4"/>
      <c r="J745" s="4"/>
      <c r="K745" s="4"/>
      <c r="L745" s="53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76"/>
      <c r="F746" s="53"/>
      <c r="G746" s="4"/>
      <c r="H746" s="4"/>
      <c r="I746" s="4"/>
      <c r="J746" s="4"/>
      <c r="K746" s="4"/>
      <c r="L746" s="53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76"/>
      <c r="F747" s="53"/>
      <c r="G747" s="4"/>
      <c r="H747" s="4"/>
      <c r="I747" s="4"/>
      <c r="J747" s="4"/>
      <c r="K747" s="4"/>
      <c r="L747" s="53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76"/>
      <c r="F748" s="53"/>
      <c r="G748" s="4"/>
      <c r="H748" s="4"/>
      <c r="I748" s="4"/>
      <c r="J748" s="4"/>
      <c r="K748" s="4"/>
      <c r="L748" s="53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76"/>
      <c r="F749" s="53"/>
      <c r="G749" s="4"/>
      <c r="H749" s="4"/>
      <c r="I749" s="4"/>
      <c r="J749" s="4"/>
      <c r="K749" s="4"/>
      <c r="L749" s="53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76"/>
      <c r="F750" s="53"/>
      <c r="G750" s="4"/>
      <c r="H750" s="4"/>
      <c r="I750" s="4"/>
      <c r="J750" s="4"/>
      <c r="K750" s="4"/>
      <c r="L750" s="53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76"/>
      <c r="F751" s="53"/>
      <c r="G751" s="4"/>
      <c r="H751" s="4"/>
      <c r="I751" s="4"/>
      <c r="J751" s="4"/>
      <c r="K751" s="4"/>
      <c r="L751" s="53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76"/>
      <c r="F752" s="53"/>
      <c r="G752" s="4"/>
      <c r="H752" s="4"/>
      <c r="I752" s="4"/>
      <c r="J752" s="4"/>
      <c r="K752" s="4"/>
      <c r="L752" s="53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76"/>
      <c r="F753" s="53"/>
      <c r="G753" s="4"/>
      <c r="H753" s="4"/>
      <c r="I753" s="4"/>
      <c r="J753" s="4"/>
      <c r="K753" s="4"/>
      <c r="L753" s="53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76"/>
      <c r="F754" s="53"/>
      <c r="G754" s="4"/>
      <c r="H754" s="4"/>
      <c r="I754" s="4"/>
      <c r="J754" s="4"/>
      <c r="K754" s="4"/>
      <c r="L754" s="53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76"/>
      <c r="F755" s="53"/>
      <c r="G755" s="4"/>
      <c r="H755" s="4"/>
      <c r="I755" s="4"/>
      <c r="J755" s="4"/>
      <c r="K755" s="4"/>
      <c r="L755" s="53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76"/>
      <c r="F756" s="53"/>
      <c r="G756" s="4"/>
      <c r="H756" s="4"/>
      <c r="I756" s="4"/>
      <c r="J756" s="4"/>
      <c r="K756" s="4"/>
      <c r="L756" s="53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76"/>
      <c r="F757" s="53"/>
      <c r="G757" s="4"/>
      <c r="H757" s="4"/>
      <c r="I757" s="4"/>
      <c r="J757" s="4"/>
      <c r="K757" s="4"/>
      <c r="L757" s="53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76"/>
      <c r="F758" s="53"/>
      <c r="G758" s="4"/>
      <c r="H758" s="4"/>
      <c r="I758" s="4"/>
      <c r="J758" s="4"/>
      <c r="K758" s="4"/>
      <c r="L758" s="53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76"/>
      <c r="F759" s="53"/>
      <c r="G759" s="4"/>
      <c r="H759" s="4"/>
      <c r="I759" s="4"/>
      <c r="J759" s="4"/>
      <c r="K759" s="4"/>
      <c r="L759" s="53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76"/>
      <c r="F760" s="53"/>
      <c r="G760" s="4"/>
      <c r="H760" s="4"/>
      <c r="I760" s="4"/>
      <c r="J760" s="4"/>
      <c r="K760" s="4"/>
      <c r="L760" s="53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76"/>
      <c r="F761" s="53"/>
      <c r="G761" s="4"/>
      <c r="H761" s="4"/>
      <c r="I761" s="4"/>
      <c r="J761" s="4"/>
      <c r="K761" s="4"/>
      <c r="L761" s="53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76"/>
      <c r="F762" s="53"/>
      <c r="G762" s="4"/>
      <c r="H762" s="4"/>
      <c r="I762" s="4"/>
      <c r="J762" s="4"/>
      <c r="K762" s="4"/>
      <c r="L762" s="53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76"/>
      <c r="F763" s="53"/>
      <c r="G763" s="4"/>
      <c r="H763" s="4"/>
      <c r="I763" s="4"/>
      <c r="J763" s="4"/>
      <c r="K763" s="4"/>
      <c r="L763" s="53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76"/>
      <c r="F764" s="53"/>
      <c r="G764" s="4"/>
      <c r="H764" s="4"/>
      <c r="I764" s="4"/>
      <c r="J764" s="4"/>
      <c r="K764" s="4"/>
      <c r="L764" s="53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76"/>
      <c r="F765" s="53"/>
      <c r="G765" s="4"/>
      <c r="H765" s="4"/>
      <c r="I765" s="4"/>
      <c r="J765" s="4"/>
      <c r="K765" s="4"/>
      <c r="L765" s="53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76"/>
      <c r="F766" s="53"/>
      <c r="G766" s="4"/>
      <c r="H766" s="4"/>
      <c r="I766" s="4"/>
      <c r="J766" s="4"/>
      <c r="K766" s="4"/>
      <c r="L766" s="53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76"/>
      <c r="F767" s="53"/>
      <c r="G767" s="4"/>
      <c r="H767" s="4"/>
      <c r="I767" s="4"/>
      <c r="J767" s="4"/>
      <c r="K767" s="4"/>
      <c r="L767" s="53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76"/>
      <c r="F768" s="53"/>
      <c r="G768" s="4"/>
      <c r="H768" s="4"/>
      <c r="I768" s="4"/>
      <c r="J768" s="4"/>
      <c r="K768" s="4"/>
      <c r="L768" s="53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76"/>
      <c r="F769" s="53"/>
      <c r="G769" s="4"/>
      <c r="H769" s="4"/>
      <c r="I769" s="4"/>
      <c r="J769" s="4"/>
      <c r="K769" s="4"/>
      <c r="L769" s="53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76"/>
      <c r="F770" s="53"/>
      <c r="G770" s="4"/>
      <c r="H770" s="4"/>
      <c r="I770" s="4"/>
      <c r="J770" s="4"/>
      <c r="K770" s="4"/>
      <c r="L770" s="53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76"/>
      <c r="F771" s="53"/>
      <c r="G771" s="4"/>
      <c r="H771" s="4"/>
      <c r="I771" s="4"/>
      <c r="J771" s="4"/>
      <c r="K771" s="4"/>
      <c r="L771" s="53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76"/>
      <c r="F772" s="53"/>
      <c r="G772" s="4"/>
      <c r="H772" s="4"/>
      <c r="I772" s="4"/>
      <c r="J772" s="4"/>
      <c r="K772" s="4"/>
      <c r="L772" s="53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76"/>
      <c r="F773" s="53"/>
      <c r="G773" s="4"/>
      <c r="H773" s="4"/>
      <c r="I773" s="4"/>
      <c r="J773" s="4"/>
      <c r="K773" s="4"/>
      <c r="L773" s="53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76"/>
      <c r="F774" s="53"/>
      <c r="G774" s="4"/>
      <c r="H774" s="4"/>
      <c r="I774" s="4"/>
      <c r="J774" s="4"/>
      <c r="K774" s="4"/>
      <c r="L774" s="53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76"/>
      <c r="F775" s="53"/>
      <c r="G775" s="4"/>
      <c r="H775" s="4"/>
      <c r="I775" s="4"/>
      <c r="J775" s="4"/>
      <c r="K775" s="4"/>
      <c r="L775" s="53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76"/>
      <c r="F776" s="53"/>
      <c r="G776" s="4"/>
      <c r="H776" s="4"/>
      <c r="I776" s="4"/>
      <c r="J776" s="4"/>
      <c r="K776" s="4"/>
      <c r="L776" s="53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76"/>
      <c r="F777" s="53"/>
      <c r="G777" s="4"/>
      <c r="H777" s="4"/>
      <c r="I777" s="4"/>
      <c r="J777" s="4"/>
      <c r="K777" s="4"/>
      <c r="L777" s="53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76"/>
      <c r="F778" s="53"/>
      <c r="G778" s="4"/>
      <c r="H778" s="4"/>
      <c r="I778" s="4"/>
      <c r="J778" s="4"/>
      <c r="K778" s="4"/>
      <c r="L778" s="53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76"/>
      <c r="F779" s="53"/>
      <c r="G779" s="4"/>
      <c r="H779" s="4"/>
      <c r="I779" s="4"/>
      <c r="J779" s="4"/>
      <c r="K779" s="4"/>
      <c r="L779" s="53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76"/>
      <c r="F780" s="53"/>
      <c r="G780" s="4"/>
      <c r="H780" s="4"/>
      <c r="I780" s="4"/>
      <c r="J780" s="4"/>
      <c r="K780" s="4"/>
      <c r="L780" s="53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76"/>
      <c r="F781" s="53"/>
      <c r="G781" s="4"/>
      <c r="H781" s="4"/>
      <c r="I781" s="4"/>
      <c r="J781" s="4"/>
      <c r="K781" s="4"/>
      <c r="L781" s="53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76"/>
      <c r="F782" s="53"/>
      <c r="G782" s="4"/>
      <c r="H782" s="4"/>
      <c r="I782" s="4"/>
      <c r="J782" s="4"/>
      <c r="K782" s="4"/>
      <c r="L782" s="53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76"/>
      <c r="F783" s="53"/>
      <c r="G783" s="4"/>
      <c r="H783" s="4"/>
      <c r="I783" s="4"/>
      <c r="J783" s="4"/>
      <c r="K783" s="4"/>
      <c r="L783" s="53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76"/>
      <c r="F784" s="53"/>
      <c r="G784" s="4"/>
      <c r="H784" s="4"/>
      <c r="I784" s="4"/>
      <c r="J784" s="4"/>
      <c r="K784" s="4"/>
      <c r="L784" s="53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76"/>
      <c r="F785" s="53"/>
      <c r="G785" s="4"/>
      <c r="H785" s="4"/>
      <c r="I785" s="4"/>
      <c r="J785" s="4"/>
      <c r="K785" s="4"/>
      <c r="L785" s="53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76"/>
      <c r="F786" s="53"/>
      <c r="G786" s="4"/>
      <c r="H786" s="4"/>
      <c r="I786" s="4"/>
      <c r="J786" s="4"/>
      <c r="K786" s="4"/>
      <c r="L786" s="53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76"/>
      <c r="F787" s="53"/>
      <c r="G787" s="4"/>
      <c r="H787" s="4"/>
      <c r="I787" s="4"/>
      <c r="J787" s="4"/>
      <c r="K787" s="4"/>
      <c r="L787" s="53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76"/>
      <c r="F788" s="53"/>
      <c r="G788" s="4"/>
      <c r="H788" s="4"/>
      <c r="I788" s="4"/>
      <c r="J788" s="4"/>
      <c r="K788" s="4"/>
      <c r="L788" s="53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76"/>
      <c r="F789" s="53"/>
      <c r="G789" s="4"/>
      <c r="H789" s="4"/>
      <c r="I789" s="4"/>
      <c r="J789" s="4"/>
      <c r="K789" s="4"/>
      <c r="L789" s="53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76"/>
      <c r="F790" s="53"/>
      <c r="G790" s="4"/>
      <c r="H790" s="4"/>
      <c r="I790" s="4"/>
      <c r="J790" s="4"/>
      <c r="K790" s="4"/>
      <c r="L790" s="53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76"/>
      <c r="F791" s="53"/>
      <c r="G791" s="4"/>
      <c r="H791" s="4"/>
      <c r="I791" s="4"/>
      <c r="J791" s="4"/>
      <c r="K791" s="4"/>
      <c r="L791" s="53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76"/>
      <c r="F792" s="53"/>
      <c r="G792" s="4"/>
      <c r="H792" s="4"/>
      <c r="I792" s="4"/>
      <c r="J792" s="4"/>
      <c r="K792" s="4"/>
      <c r="L792" s="53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76"/>
      <c r="F793" s="53"/>
      <c r="G793" s="4"/>
      <c r="H793" s="4"/>
      <c r="I793" s="4"/>
      <c r="J793" s="4"/>
      <c r="K793" s="4"/>
      <c r="L793" s="53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76"/>
      <c r="F794" s="53"/>
      <c r="G794" s="4"/>
      <c r="H794" s="4"/>
      <c r="I794" s="4"/>
      <c r="J794" s="4"/>
      <c r="K794" s="4"/>
      <c r="L794" s="53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76"/>
      <c r="F795" s="53"/>
      <c r="G795" s="4"/>
      <c r="H795" s="4"/>
      <c r="I795" s="4"/>
      <c r="J795" s="4"/>
      <c r="K795" s="4"/>
      <c r="L795" s="53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76"/>
      <c r="F796" s="53"/>
      <c r="G796" s="4"/>
      <c r="H796" s="4"/>
      <c r="I796" s="4"/>
      <c r="J796" s="4"/>
      <c r="K796" s="4"/>
      <c r="L796" s="53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76"/>
      <c r="F797" s="53"/>
      <c r="G797" s="4"/>
      <c r="H797" s="4"/>
      <c r="I797" s="4"/>
      <c r="J797" s="4"/>
      <c r="K797" s="4"/>
      <c r="L797" s="53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76"/>
      <c r="F798" s="53"/>
      <c r="G798" s="4"/>
      <c r="H798" s="4"/>
      <c r="I798" s="4"/>
      <c r="J798" s="4"/>
      <c r="K798" s="4"/>
      <c r="L798" s="53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76"/>
      <c r="F799" s="53"/>
      <c r="G799" s="4"/>
      <c r="H799" s="4"/>
      <c r="I799" s="4"/>
      <c r="J799" s="4"/>
      <c r="K799" s="4"/>
      <c r="L799" s="53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76"/>
      <c r="F800" s="53"/>
      <c r="G800" s="4"/>
      <c r="H800" s="4"/>
      <c r="I800" s="4"/>
      <c r="J800" s="4"/>
      <c r="K800" s="4"/>
      <c r="L800" s="53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76"/>
      <c r="F801" s="53"/>
      <c r="G801" s="4"/>
      <c r="H801" s="4"/>
      <c r="I801" s="4"/>
      <c r="J801" s="4"/>
      <c r="K801" s="4"/>
      <c r="L801" s="53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76"/>
      <c r="F802" s="53"/>
      <c r="G802" s="4"/>
      <c r="H802" s="4"/>
      <c r="I802" s="4"/>
      <c r="J802" s="4"/>
      <c r="K802" s="4"/>
      <c r="L802" s="53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76"/>
      <c r="F803" s="53"/>
      <c r="G803" s="4"/>
      <c r="H803" s="4"/>
      <c r="I803" s="4"/>
      <c r="J803" s="4"/>
      <c r="K803" s="4"/>
      <c r="L803" s="53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76"/>
      <c r="F804" s="53"/>
      <c r="G804" s="4"/>
      <c r="H804" s="4"/>
      <c r="I804" s="4"/>
      <c r="J804" s="4"/>
      <c r="K804" s="4"/>
      <c r="L804" s="53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76"/>
      <c r="F805" s="53"/>
      <c r="G805" s="4"/>
      <c r="H805" s="4"/>
      <c r="I805" s="4"/>
      <c r="J805" s="4"/>
      <c r="K805" s="4"/>
      <c r="L805" s="53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76"/>
      <c r="F806" s="53"/>
      <c r="G806" s="4"/>
      <c r="H806" s="4"/>
      <c r="I806" s="4"/>
      <c r="J806" s="4"/>
      <c r="K806" s="4"/>
      <c r="L806" s="53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76"/>
      <c r="F807" s="53"/>
      <c r="G807" s="4"/>
      <c r="H807" s="4"/>
      <c r="I807" s="4"/>
      <c r="J807" s="4"/>
      <c r="K807" s="4"/>
      <c r="L807" s="53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76"/>
      <c r="F808" s="53"/>
      <c r="G808" s="4"/>
      <c r="H808" s="4"/>
      <c r="I808" s="4"/>
      <c r="J808" s="4"/>
      <c r="K808" s="4"/>
      <c r="L808" s="53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76"/>
      <c r="F809" s="53"/>
      <c r="G809" s="4"/>
      <c r="H809" s="4"/>
      <c r="I809" s="4"/>
      <c r="J809" s="4"/>
      <c r="K809" s="4"/>
      <c r="L809" s="53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76"/>
      <c r="F810" s="53"/>
      <c r="G810" s="4"/>
      <c r="H810" s="4"/>
      <c r="I810" s="4"/>
      <c r="J810" s="4"/>
      <c r="K810" s="4"/>
      <c r="L810" s="53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76"/>
      <c r="F811" s="53"/>
      <c r="G811" s="4"/>
      <c r="H811" s="4"/>
      <c r="I811" s="4"/>
      <c r="J811" s="4"/>
      <c r="K811" s="4"/>
      <c r="L811" s="53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76"/>
      <c r="F812" s="53"/>
      <c r="G812" s="4"/>
      <c r="H812" s="4"/>
      <c r="I812" s="4"/>
      <c r="J812" s="4"/>
      <c r="K812" s="4"/>
      <c r="L812" s="53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76"/>
      <c r="F813" s="53"/>
      <c r="G813" s="4"/>
      <c r="H813" s="4"/>
      <c r="I813" s="4"/>
      <c r="J813" s="4"/>
      <c r="K813" s="4"/>
      <c r="L813" s="53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76"/>
      <c r="F814" s="53"/>
      <c r="G814" s="4"/>
      <c r="H814" s="4"/>
      <c r="I814" s="4"/>
      <c r="J814" s="4"/>
      <c r="K814" s="4"/>
      <c r="L814" s="53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76"/>
      <c r="F815" s="53"/>
      <c r="G815" s="4"/>
      <c r="H815" s="4"/>
      <c r="I815" s="4"/>
      <c r="J815" s="4"/>
      <c r="K815" s="4"/>
      <c r="L815" s="53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76"/>
      <c r="F816" s="53"/>
      <c r="G816" s="4"/>
      <c r="H816" s="4"/>
      <c r="I816" s="4"/>
      <c r="J816" s="4"/>
      <c r="K816" s="4"/>
      <c r="L816" s="53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76"/>
      <c r="F817" s="53"/>
      <c r="G817" s="4"/>
      <c r="H817" s="4"/>
      <c r="I817" s="4"/>
      <c r="J817" s="4"/>
      <c r="K817" s="4"/>
      <c r="L817" s="53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76"/>
      <c r="F818" s="53"/>
      <c r="G818" s="4"/>
      <c r="H818" s="4"/>
      <c r="I818" s="4"/>
      <c r="J818" s="4"/>
      <c r="K818" s="4"/>
      <c r="L818" s="53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76"/>
      <c r="F819" s="53"/>
      <c r="G819" s="4"/>
      <c r="H819" s="4"/>
      <c r="I819" s="4"/>
      <c r="J819" s="4"/>
      <c r="K819" s="4"/>
      <c r="L819" s="53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76"/>
      <c r="F820" s="53"/>
      <c r="G820" s="4"/>
      <c r="H820" s="4"/>
      <c r="I820" s="4"/>
      <c r="J820" s="4"/>
      <c r="K820" s="4"/>
      <c r="L820" s="53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76"/>
      <c r="F821" s="53"/>
      <c r="G821" s="4"/>
      <c r="H821" s="4"/>
      <c r="I821" s="4"/>
      <c r="J821" s="4"/>
      <c r="K821" s="4"/>
      <c r="L821" s="53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76"/>
      <c r="F822" s="53"/>
      <c r="G822" s="4"/>
      <c r="H822" s="4"/>
      <c r="I822" s="4"/>
      <c r="J822" s="4"/>
      <c r="K822" s="4"/>
      <c r="L822" s="53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76"/>
      <c r="F823" s="53"/>
      <c r="G823" s="4"/>
      <c r="H823" s="4"/>
      <c r="I823" s="4"/>
      <c r="J823" s="4"/>
      <c r="K823" s="4"/>
      <c r="L823" s="53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76"/>
      <c r="F824" s="53"/>
      <c r="G824" s="4"/>
      <c r="H824" s="4"/>
      <c r="I824" s="4"/>
      <c r="J824" s="4"/>
      <c r="K824" s="4"/>
      <c r="L824" s="53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76"/>
      <c r="F825" s="53"/>
      <c r="G825" s="4"/>
      <c r="H825" s="4"/>
      <c r="I825" s="4"/>
      <c r="J825" s="4"/>
      <c r="K825" s="4"/>
      <c r="L825" s="53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76"/>
      <c r="F826" s="53"/>
      <c r="G826" s="4"/>
      <c r="H826" s="4"/>
      <c r="I826" s="4"/>
      <c r="J826" s="4"/>
      <c r="K826" s="4"/>
      <c r="L826" s="53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76"/>
      <c r="F827" s="53"/>
      <c r="G827" s="4"/>
      <c r="H827" s="4"/>
      <c r="I827" s="4"/>
      <c r="J827" s="4"/>
      <c r="K827" s="4"/>
      <c r="L827" s="53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76"/>
      <c r="F828" s="53"/>
      <c r="G828" s="4"/>
      <c r="H828" s="4"/>
      <c r="I828" s="4"/>
      <c r="J828" s="4"/>
      <c r="K828" s="4"/>
      <c r="L828" s="53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76"/>
      <c r="F829" s="53"/>
      <c r="G829" s="4"/>
      <c r="H829" s="4"/>
      <c r="I829" s="4"/>
      <c r="J829" s="4"/>
      <c r="K829" s="4"/>
      <c r="L829" s="53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76"/>
      <c r="F830" s="53"/>
      <c r="G830" s="4"/>
      <c r="H830" s="4"/>
      <c r="I830" s="4"/>
      <c r="J830" s="4"/>
      <c r="K830" s="4"/>
      <c r="L830" s="53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76"/>
      <c r="F831" s="53"/>
      <c r="G831" s="4"/>
      <c r="H831" s="4"/>
      <c r="I831" s="4"/>
      <c r="J831" s="4"/>
      <c r="K831" s="4"/>
      <c r="L831" s="53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76"/>
      <c r="F832" s="53"/>
      <c r="G832" s="4"/>
      <c r="H832" s="4"/>
      <c r="I832" s="4"/>
      <c r="J832" s="4"/>
      <c r="K832" s="4"/>
      <c r="L832" s="53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76"/>
      <c r="F833" s="53"/>
      <c r="G833" s="4"/>
      <c r="H833" s="4"/>
      <c r="I833" s="4"/>
      <c r="J833" s="4"/>
      <c r="K833" s="4"/>
      <c r="L833" s="53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76"/>
      <c r="F834" s="53"/>
      <c r="G834" s="4"/>
      <c r="H834" s="4"/>
      <c r="I834" s="4"/>
      <c r="J834" s="4"/>
      <c r="K834" s="4"/>
      <c r="L834" s="53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76"/>
      <c r="F835" s="53"/>
      <c r="G835" s="4"/>
      <c r="H835" s="4"/>
      <c r="I835" s="4"/>
      <c r="J835" s="4"/>
      <c r="K835" s="4"/>
      <c r="L835" s="53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76"/>
      <c r="F836" s="53"/>
      <c r="G836" s="4"/>
      <c r="H836" s="4"/>
      <c r="I836" s="4"/>
      <c r="J836" s="4"/>
      <c r="K836" s="4"/>
      <c r="L836" s="53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76"/>
      <c r="F837" s="53"/>
      <c r="G837" s="4"/>
      <c r="H837" s="4"/>
      <c r="I837" s="4"/>
      <c r="J837" s="4"/>
      <c r="K837" s="4"/>
      <c r="L837" s="53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76"/>
      <c r="F838" s="53"/>
      <c r="G838" s="4"/>
      <c r="H838" s="4"/>
      <c r="I838" s="4"/>
      <c r="J838" s="4"/>
      <c r="K838" s="4"/>
      <c r="L838" s="53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76"/>
      <c r="F839" s="53"/>
      <c r="G839" s="4"/>
      <c r="H839" s="4"/>
      <c r="I839" s="4"/>
      <c r="J839" s="4"/>
      <c r="K839" s="4"/>
      <c r="L839" s="53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76"/>
      <c r="F840" s="53"/>
      <c r="G840" s="4"/>
      <c r="H840" s="4"/>
      <c r="I840" s="4"/>
      <c r="J840" s="4"/>
      <c r="K840" s="4"/>
      <c r="L840" s="53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76"/>
      <c r="F841" s="53"/>
      <c r="G841" s="4"/>
      <c r="H841" s="4"/>
      <c r="I841" s="4"/>
      <c r="J841" s="4"/>
      <c r="K841" s="4"/>
      <c r="L841" s="53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76"/>
      <c r="F842" s="53"/>
      <c r="G842" s="4"/>
      <c r="H842" s="4"/>
      <c r="I842" s="4"/>
      <c r="J842" s="4"/>
      <c r="K842" s="4"/>
      <c r="L842" s="53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76"/>
      <c r="F843" s="53"/>
      <c r="G843" s="4"/>
      <c r="H843" s="4"/>
      <c r="I843" s="4"/>
      <c r="J843" s="4"/>
      <c r="K843" s="4"/>
      <c r="L843" s="53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76"/>
      <c r="F844" s="53"/>
      <c r="G844" s="4"/>
      <c r="H844" s="4"/>
      <c r="I844" s="4"/>
      <c r="J844" s="4"/>
      <c r="K844" s="4"/>
      <c r="L844" s="53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76"/>
      <c r="F845" s="53"/>
      <c r="G845" s="4"/>
      <c r="H845" s="4"/>
      <c r="I845" s="4"/>
      <c r="J845" s="4"/>
      <c r="K845" s="4"/>
      <c r="L845" s="53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76"/>
      <c r="F846" s="53"/>
      <c r="G846" s="4"/>
      <c r="H846" s="4"/>
      <c r="I846" s="4"/>
      <c r="J846" s="4"/>
      <c r="K846" s="4"/>
      <c r="L846" s="53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76"/>
      <c r="F847" s="53"/>
      <c r="G847" s="4"/>
      <c r="H847" s="4"/>
      <c r="I847" s="4"/>
      <c r="J847" s="4"/>
      <c r="K847" s="4"/>
      <c r="L847" s="53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76"/>
      <c r="F848" s="53"/>
      <c r="G848" s="4"/>
      <c r="H848" s="4"/>
      <c r="I848" s="4"/>
      <c r="J848" s="4"/>
      <c r="K848" s="4"/>
      <c r="L848" s="53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76"/>
      <c r="F849" s="53"/>
      <c r="G849" s="4"/>
      <c r="H849" s="4"/>
      <c r="I849" s="4"/>
      <c r="J849" s="4"/>
      <c r="K849" s="4"/>
      <c r="L849" s="53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76"/>
      <c r="F850" s="53"/>
      <c r="G850" s="4"/>
      <c r="H850" s="4"/>
      <c r="I850" s="4"/>
      <c r="J850" s="4"/>
      <c r="K850" s="4"/>
      <c r="L850" s="53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76"/>
      <c r="F851" s="53"/>
      <c r="G851" s="4"/>
      <c r="H851" s="4"/>
      <c r="I851" s="4"/>
      <c r="J851" s="4"/>
      <c r="K851" s="4"/>
      <c r="L851" s="53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76"/>
      <c r="F852" s="53"/>
      <c r="G852" s="4"/>
      <c r="H852" s="4"/>
      <c r="I852" s="4"/>
      <c r="J852" s="4"/>
      <c r="K852" s="4"/>
      <c r="L852" s="53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76"/>
      <c r="F853" s="53"/>
      <c r="G853" s="4"/>
      <c r="H853" s="4"/>
      <c r="I853" s="4"/>
      <c r="J853" s="4"/>
      <c r="K853" s="4"/>
      <c r="L853" s="53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76"/>
      <c r="F854" s="53"/>
      <c r="G854" s="4"/>
      <c r="H854" s="4"/>
      <c r="I854" s="4"/>
      <c r="J854" s="4"/>
      <c r="K854" s="4"/>
      <c r="L854" s="53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76"/>
      <c r="F855" s="53"/>
      <c r="G855" s="4"/>
      <c r="H855" s="4"/>
      <c r="I855" s="4"/>
      <c r="J855" s="4"/>
      <c r="K855" s="4"/>
      <c r="L855" s="53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76"/>
      <c r="F856" s="53"/>
      <c r="G856" s="4"/>
      <c r="H856" s="4"/>
      <c r="I856" s="4"/>
      <c r="J856" s="4"/>
      <c r="K856" s="4"/>
      <c r="L856" s="53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76"/>
      <c r="F857" s="53"/>
      <c r="G857" s="4"/>
      <c r="H857" s="4"/>
      <c r="I857" s="4"/>
      <c r="J857" s="4"/>
      <c r="K857" s="4"/>
      <c r="L857" s="53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76"/>
      <c r="F858" s="53"/>
      <c r="G858" s="4"/>
      <c r="H858" s="4"/>
      <c r="I858" s="4"/>
      <c r="J858" s="4"/>
      <c r="K858" s="4"/>
      <c r="L858" s="53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76"/>
      <c r="F859" s="53"/>
      <c r="G859" s="4"/>
      <c r="H859" s="4"/>
      <c r="I859" s="4"/>
      <c r="J859" s="4"/>
      <c r="K859" s="4"/>
      <c r="L859" s="53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76"/>
      <c r="F860" s="53"/>
      <c r="G860" s="4"/>
      <c r="H860" s="4"/>
      <c r="I860" s="4"/>
      <c r="J860" s="4"/>
      <c r="K860" s="4"/>
      <c r="L860" s="53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76"/>
      <c r="F861" s="53"/>
      <c r="G861" s="4"/>
      <c r="H861" s="4"/>
      <c r="I861" s="4"/>
      <c r="J861" s="4"/>
      <c r="K861" s="4"/>
      <c r="L861" s="53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76"/>
      <c r="F862" s="53"/>
      <c r="G862" s="4"/>
      <c r="H862" s="4"/>
      <c r="I862" s="4"/>
      <c r="J862" s="4"/>
      <c r="K862" s="4"/>
      <c r="L862" s="53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76"/>
      <c r="F863" s="53"/>
      <c r="G863" s="4"/>
      <c r="H863" s="4"/>
      <c r="I863" s="4"/>
      <c r="J863" s="4"/>
      <c r="K863" s="4"/>
      <c r="L863" s="53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76"/>
      <c r="F864" s="53"/>
      <c r="G864" s="4"/>
      <c r="H864" s="4"/>
      <c r="I864" s="4"/>
      <c r="J864" s="4"/>
      <c r="K864" s="4"/>
      <c r="L864" s="53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76"/>
      <c r="F865" s="53"/>
      <c r="G865" s="4"/>
      <c r="H865" s="4"/>
      <c r="I865" s="4"/>
      <c r="J865" s="4"/>
      <c r="K865" s="4"/>
      <c r="L865" s="53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76"/>
      <c r="F866" s="53"/>
      <c r="G866" s="4"/>
      <c r="H866" s="4"/>
      <c r="I866" s="4"/>
      <c r="J866" s="4"/>
      <c r="K866" s="4"/>
      <c r="L866" s="53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76"/>
      <c r="F867" s="53"/>
      <c r="G867" s="4"/>
      <c r="H867" s="4"/>
      <c r="I867" s="4"/>
      <c r="J867" s="4"/>
      <c r="K867" s="4"/>
      <c r="L867" s="53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76"/>
      <c r="F868" s="53"/>
      <c r="G868" s="4"/>
      <c r="H868" s="4"/>
      <c r="I868" s="4"/>
      <c r="J868" s="4"/>
      <c r="K868" s="4"/>
      <c r="L868" s="53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76"/>
      <c r="F869" s="53"/>
      <c r="G869" s="4"/>
      <c r="H869" s="4"/>
      <c r="I869" s="4"/>
      <c r="J869" s="4"/>
      <c r="K869" s="4"/>
      <c r="L869" s="53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76"/>
      <c r="F870" s="53"/>
      <c r="G870" s="4"/>
      <c r="H870" s="4"/>
      <c r="I870" s="4"/>
      <c r="J870" s="4"/>
      <c r="K870" s="4"/>
      <c r="L870" s="53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76"/>
      <c r="F871" s="53"/>
      <c r="G871" s="4"/>
      <c r="H871" s="4"/>
      <c r="I871" s="4"/>
      <c r="J871" s="4"/>
      <c r="K871" s="4"/>
      <c r="L871" s="53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76"/>
      <c r="F872" s="53"/>
      <c r="G872" s="4"/>
      <c r="H872" s="4"/>
      <c r="I872" s="4"/>
      <c r="J872" s="4"/>
      <c r="K872" s="4"/>
      <c r="L872" s="53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76"/>
      <c r="F873" s="53"/>
      <c r="G873" s="4"/>
      <c r="H873" s="4"/>
      <c r="I873" s="4"/>
      <c r="J873" s="4"/>
      <c r="K873" s="4"/>
      <c r="L873" s="53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76"/>
      <c r="F874" s="53"/>
      <c r="G874" s="4"/>
      <c r="H874" s="4"/>
      <c r="I874" s="4"/>
      <c r="J874" s="4"/>
      <c r="K874" s="4"/>
      <c r="L874" s="53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76"/>
      <c r="F875" s="53"/>
      <c r="G875" s="4"/>
      <c r="H875" s="4"/>
      <c r="I875" s="4"/>
      <c r="J875" s="4"/>
      <c r="K875" s="4"/>
      <c r="L875" s="53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76"/>
      <c r="F876" s="53"/>
      <c r="G876" s="4"/>
      <c r="H876" s="4"/>
      <c r="I876" s="4"/>
      <c r="J876" s="4"/>
      <c r="K876" s="4"/>
      <c r="L876" s="53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76"/>
      <c r="F877" s="53"/>
      <c r="G877" s="4"/>
      <c r="H877" s="4"/>
      <c r="I877" s="4"/>
      <c r="J877" s="4"/>
      <c r="K877" s="4"/>
      <c r="L877" s="53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76"/>
      <c r="F878" s="53"/>
      <c r="G878" s="4"/>
      <c r="H878" s="4"/>
      <c r="I878" s="4"/>
      <c r="J878" s="4"/>
      <c r="K878" s="4"/>
      <c r="L878" s="53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76"/>
      <c r="F879" s="53"/>
      <c r="G879" s="4"/>
      <c r="H879" s="4"/>
      <c r="I879" s="4"/>
      <c r="J879" s="4"/>
      <c r="K879" s="4"/>
      <c r="L879" s="53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76"/>
      <c r="F880" s="53"/>
      <c r="G880" s="4"/>
      <c r="H880" s="4"/>
      <c r="I880" s="4"/>
      <c r="J880" s="4"/>
      <c r="K880" s="4"/>
      <c r="L880" s="53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76"/>
      <c r="F881" s="53"/>
      <c r="G881" s="4"/>
      <c r="H881" s="4"/>
      <c r="I881" s="4"/>
      <c r="J881" s="4"/>
      <c r="K881" s="4"/>
      <c r="L881" s="53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76"/>
      <c r="F882" s="53"/>
      <c r="G882" s="4"/>
      <c r="H882" s="4"/>
      <c r="I882" s="4"/>
      <c r="J882" s="4"/>
      <c r="K882" s="4"/>
      <c r="L882" s="53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76"/>
      <c r="F883" s="53"/>
      <c r="G883" s="4"/>
      <c r="H883" s="4"/>
      <c r="I883" s="4"/>
      <c r="J883" s="4"/>
      <c r="K883" s="4"/>
      <c r="L883" s="53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76"/>
      <c r="F884" s="53"/>
      <c r="G884" s="4"/>
      <c r="H884" s="4"/>
      <c r="I884" s="4"/>
      <c r="J884" s="4"/>
      <c r="K884" s="4"/>
      <c r="L884" s="53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76"/>
      <c r="F885" s="53"/>
      <c r="G885" s="4"/>
      <c r="H885" s="4"/>
      <c r="I885" s="4"/>
      <c r="J885" s="4"/>
      <c r="K885" s="4"/>
      <c r="L885" s="53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76"/>
      <c r="F886" s="53"/>
      <c r="G886" s="4"/>
      <c r="H886" s="4"/>
      <c r="I886" s="4"/>
      <c r="J886" s="4"/>
      <c r="K886" s="4"/>
      <c r="L886" s="53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76"/>
      <c r="F887" s="53"/>
      <c r="G887" s="4"/>
      <c r="H887" s="4"/>
      <c r="I887" s="4"/>
      <c r="J887" s="4"/>
      <c r="K887" s="4"/>
      <c r="L887" s="53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76"/>
      <c r="F888" s="53"/>
      <c r="G888" s="4"/>
      <c r="H888" s="4"/>
      <c r="I888" s="4"/>
      <c r="J888" s="4"/>
      <c r="K888" s="4"/>
      <c r="L888" s="53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76"/>
      <c r="F889" s="53"/>
      <c r="G889" s="4"/>
      <c r="H889" s="4"/>
      <c r="I889" s="4"/>
      <c r="J889" s="4"/>
      <c r="K889" s="4"/>
      <c r="L889" s="53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76"/>
      <c r="F890" s="53"/>
      <c r="G890" s="4"/>
      <c r="H890" s="4"/>
      <c r="I890" s="4"/>
      <c r="J890" s="4"/>
      <c r="K890" s="4"/>
      <c r="L890" s="53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76"/>
      <c r="F891" s="53"/>
      <c r="G891" s="4"/>
      <c r="H891" s="4"/>
      <c r="I891" s="4"/>
      <c r="J891" s="4"/>
      <c r="K891" s="4"/>
      <c r="L891" s="53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76"/>
      <c r="F892" s="53"/>
      <c r="G892" s="4"/>
      <c r="H892" s="4"/>
      <c r="I892" s="4"/>
      <c r="J892" s="4"/>
      <c r="K892" s="4"/>
      <c r="L892" s="53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76"/>
      <c r="F893" s="53"/>
      <c r="G893" s="4"/>
      <c r="H893" s="4"/>
      <c r="I893" s="4"/>
      <c r="J893" s="4"/>
      <c r="K893" s="4"/>
      <c r="L893" s="53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76"/>
      <c r="F894" s="53"/>
      <c r="G894" s="4"/>
      <c r="H894" s="4"/>
      <c r="I894" s="4"/>
      <c r="J894" s="4"/>
      <c r="K894" s="4"/>
      <c r="L894" s="53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76"/>
      <c r="F895" s="53"/>
      <c r="G895" s="4"/>
      <c r="H895" s="4"/>
      <c r="I895" s="4"/>
      <c r="J895" s="4"/>
      <c r="K895" s="4"/>
      <c r="L895" s="53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76"/>
      <c r="F896" s="53"/>
      <c r="G896" s="4"/>
      <c r="H896" s="4"/>
      <c r="I896" s="4"/>
      <c r="J896" s="4"/>
      <c r="K896" s="4"/>
      <c r="L896" s="53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76"/>
      <c r="F897" s="53"/>
      <c r="G897" s="4"/>
      <c r="H897" s="4"/>
      <c r="I897" s="4"/>
      <c r="J897" s="4"/>
      <c r="K897" s="4"/>
      <c r="L897" s="53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76"/>
      <c r="F898" s="53"/>
      <c r="G898" s="4"/>
      <c r="H898" s="4"/>
      <c r="I898" s="4"/>
      <c r="J898" s="4"/>
      <c r="K898" s="4"/>
      <c r="L898" s="53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76"/>
      <c r="F899" s="53"/>
      <c r="G899" s="4"/>
      <c r="H899" s="4"/>
      <c r="I899" s="4"/>
      <c r="J899" s="4"/>
      <c r="K899" s="4"/>
      <c r="L899" s="53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76"/>
      <c r="F900" s="53"/>
      <c r="G900" s="4"/>
      <c r="H900" s="4"/>
      <c r="I900" s="4"/>
      <c r="J900" s="4"/>
      <c r="K900" s="4"/>
      <c r="L900" s="53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76"/>
      <c r="F901" s="53"/>
      <c r="G901" s="4"/>
      <c r="H901" s="4"/>
      <c r="I901" s="4"/>
      <c r="J901" s="4"/>
      <c r="K901" s="4"/>
      <c r="L901" s="53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76"/>
      <c r="F902" s="53"/>
      <c r="G902" s="4"/>
      <c r="H902" s="4"/>
      <c r="I902" s="4"/>
      <c r="J902" s="4"/>
      <c r="K902" s="4"/>
      <c r="L902" s="53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76"/>
      <c r="F903" s="53"/>
      <c r="G903" s="4"/>
      <c r="H903" s="4"/>
      <c r="I903" s="4"/>
      <c r="J903" s="4"/>
      <c r="K903" s="4"/>
      <c r="L903" s="53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76"/>
      <c r="F904" s="53"/>
      <c r="G904" s="4"/>
      <c r="H904" s="4"/>
      <c r="I904" s="4"/>
      <c r="J904" s="4"/>
      <c r="K904" s="4"/>
      <c r="L904" s="53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76"/>
      <c r="F905" s="53"/>
      <c r="G905" s="4"/>
      <c r="H905" s="4"/>
      <c r="I905" s="4"/>
      <c r="J905" s="4"/>
      <c r="K905" s="4"/>
      <c r="L905" s="53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76"/>
      <c r="F906" s="53"/>
      <c r="G906" s="4"/>
      <c r="H906" s="4"/>
      <c r="I906" s="4"/>
      <c r="J906" s="4"/>
      <c r="K906" s="4"/>
      <c r="L906" s="53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76"/>
      <c r="F907" s="53"/>
      <c r="G907" s="4"/>
      <c r="H907" s="4"/>
      <c r="I907" s="4"/>
      <c r="J907" s="4"/>
      <c r="K907" s="4"/>
      <c r="L907" s="53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76"/>
      <c r="F908" s="53"/>
      <c r="G908" s="4"/>
      <c r="H908" s="4"/>
      <c r="I908" s="4"/>
      <c r="J908" s="4"/>
      <c r="K908" s="4"/>
      <c r="L908" s="53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76"/>
      <c r="F909" s="53"/>
      <c r="G909" s="4"/>
      <c r="H909" s="4"/>
      <c r="I909" s="4"/>
      <c r="J909" s="4"/>
      <c r="K909" s="4"/>
      <c r="L909" s="53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76"/>
      <c r="F910" s="53"/>
      <c r="G910" s="4"/>
      <c r="H910" s="4"/>
      <c r="I910" s="4"/>
      <c r="J910" s="4"/>
      <c r="K910" s="4"/>
      <c r="L910" s="53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76"/>
      <c r="F911" s="53"/>
      <c r="G911" s="4"/>
      <c r="H911" s="4"/>
      <c r="I911" s="4"/>
      <c r="J911" s="4"/>
      <c r="K911" s="4"/>
      <c r="L911" s="53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76"/>
      <c r="F912" s="53"/>
      <c r="G912" s="4"/>
      <c r="H912" s="4"/>
      <c r="I912" s="4"/>
      <c r="J912" s="4"/>
      <c r="K912" s="4"/>
      <c r="L912" s="53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76"/>
      <c r="F913" s="53"/>
      <c r="G913" s="4"/>
      <c r="H913" s="4"/>
      <c r="I913" s="4"/>
      <c r="J913" s="4"/>
      <c r="K913" s="4"/>
      <c r="L913" s="53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76"/>
      <c r="F914" s="53"/>
      <c r="G914" s="4"/>
      <c r="H914" s="4"/>
      <c r="I914" s="4"/>
      <c r="J914" s="4"/>
      <c r="K914" s="4"/>
      <c r="L914" s="53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76"/>
      <c r="F915" s="53"/>
      <c r="G915" s="4"/>
      <c r="H915" s="4"/>
      <c r="I915" s="4"/>
      <c r="J915" s="4"/>
      <c r="K915" s="4"/>
      <c r="L915" s="53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76"/>
      <c r="F916" s="53"/>
      <c r="G916" s="4"/>
      <c r="H916" s="4"/>
      <c r="I916" s="4"/>
      <c r="J916" s="4"/>
      <c r="K916" s="4"/>
      <c r="L916" s="53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76"/>
      <c r="F917" s="53"/>
      <c r="G917" s="4"/>
      <c r="H917" s="4"/>
      <c r="I917" s="4"/>
      <c r="J917" s="4"/>
      <c r="K917" s="4"/>
      <c r="L917" s="53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76"/>
      <c r="F918" s="53"/>
      <c r="G918" s="4"/>
      <c r="H918" s="4"/>
      <c r="I918" s="4"/>
      <c r="J918" s="4"/>
      <c r="K918" s="4"/>
      <c r="L918" s="53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76"/>
      <c r="F919" s="53"/>
      <c r="G919" s="4"/>
      <c r="H919" s="4"/>
      <c r="I919" s="4"/>
      <c r="J919" s="4"/>
      <c r="K919" s="4"/>
      <c r="L919" s="53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76"/>
      <c r="F920" s="53"/>
      <c r="G920" s="4"/>
      <c r="H920" s="4"/>
      <c r="I920" s="4"/>
      <c r="J920" s="4"/>
      <c r="K920" s="4"/>
      <c r="L920" s="53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76"/>
      <c r="F921" s="53"/>
      <c r="G921" s="4"/>
      <c r="H921" s="4"/>
      <c r="I921" s="4"/>
      <c r="J921" s="4"/>
      <c r="K921" s="4"/>
      <c r="L921" s="53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76"/>
      <c r="F922" s="53"/>
      <c r="G922" s="4"/>
      <c r="H922" s="4"/>
      <c r="I922" s="4"/>
      <c r="J922" s="4"/>
      <c r="K922" s="4"/>
      <c r="L922" s="53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76"/>
      <c r="F923" s="53"/>
      <c r="G923" s="4"/>
      <c r="H923" s="4"/>
      <c r="I923" s="4"/>
      <c r="J923" s="4"/>
      <c r="K923" s="4"/>
      <c r="L923" s="53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76"/>
      <c r="F924" s="53"/>
      <c r="G924" s="4"/>
      <c r="H924" s="4"/>
      <c r="I924" s="4"/>
      <c r="J924" s="4"/>
      <c r="K924" s="4"/>
      <c r="L924" s="53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76"/>
      <c r="F925" s="53"/>
      <c r="G925" s="4"/>
      <c r="H925" s="4"/>
      <c r="I925" s="4"/>
      <c r="J925" s="4"/>
      <c r="K925" s="4"/>
      <c r="L925" s="53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76"/>
      <c r="F926" s="53"/>
      <c r="G926" s="4"/>
      <c r="H926" s="4"/>
      <c r="I926" s="4"/>
      <c r="J926" s="4"/>
      <c r="K926" s="4"/>
      <c r="L926" s="53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76"/>
      <c r="F927" s="53"/>
      <c r="G927" s="4"/>
      <c r="H927" s="4"/>
      <c r="I927" s="4"/>
      <c r="J927" s="4"/>
      <c r="K927" s="4"/>
      <c r="L927" s="53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76"/>
      <c r="F928" s="53"/>
      <c r="G928" s="4"/>
      <c r="H928" s="4"/>
      <c r="I928" s="4"/>
      <c r="J928" s="4"/>
      <c r="K928" s="4"/>
      <c r="L928" s="53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76"/>
      <c r="F929" s="53"/>
      <c r="G929" s="4"/>
      <c r="H929" s="4"/>
      <c r="I929" s="4"/>
      <c r="J929" s="4"/>
      <c r="K929" s="4"/>
      <c r="L929" s="53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76"/>
      <c r="F930" s="53"/>
      <c r="G930" s="4"/>
      <c r="H930" s="4"/>
      <c r="I930" s="4"/>
      <c r="J930" s="4"/>
      <c r="K930" s="4"/>
      <c r="L930" s="53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76"/>
      <c r="F931" s="53"/>
      <c r="G931" s="4"/>
      <c r="H931" s="4"/>
      <c r="I931" s="4"/>
      <c r="J931" s="4"/>
      <c r="K931" s="4"/>
      <c r="L931" s="53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76"/>
      <c r="F932" s="53"/>
      <c r="G932" s="4"/>
      <c r="H932" s="4"/>
      <c r="I932" s="4"/>
      <c r="J932" s="4"/>
      <c r="K932" s="4"/>
      <c r="L932" s="53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76"/>
      <c r="F933" s="53"/>
      <c r="G933" s="4"/>
      <c r="H933" s="4"/>
      <c r="I933" s="4"/>
      <c r="J933" s="4"/>
      <c r="K933" s="4"/>
      <c r="L933" s="53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76"/>
      <c r="F934" s="53"/>
      <c r="G934" s="4"/>
      <c r="H934" s="4"/>
      <c r="I934" s="4"/>
      <c r="J934" s="4"/>
      <c r="K934" s="4"/>
      <c r="L934" s="53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76"/>
      <c r="F935" s="53"/>
      <c r="G935" s="4"/>
      <c r="H935" s="4"/>
      <c r="I935" s="4"/>
      <c r="J935" s="4"/>
      <c r="K935" s="4"/>
      <c r="L935" s="53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76"/>
      <c r="F936" s="53"/>
      <c r="G936" s="4"/>
      <c r="H936" s="4"/>
      <c r="I936" s="4"/>
      <c r="J936" s="4"/>
      <c r="K936" s="4"/>
      <c r="L936" s="53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76"/>
      <c r="F937" s="53"/>
      <c r="G937" s="4"/>
      <c r="H937" s="4"/>
      <c r="I937" s="4"/>
      <c r="J937" s="4"/>
      <c r="K937" s="4"/>
      <c r="L937" s="53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76"/>
      <c r="F938" s="53"/>
      <c r="G938" s="4"/>
      <c r="H938" s="4"/>
      <c r="I938" s="4"/>
      <c r="J938" s="4"/>
      <c r="K938" s="4"/>
      <c r="L938" s="53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76"/>
      <c r="F939" s="53"/>
      <c r="G939" s="4"/>
      <c r="H939" s="4"/>
      <c r="I939" s="4"/>
      <c r="J939" s="4"/>
      <c r="K939" s="4"/>
      <c r="L939" s="53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76"/>
      <c r="F940" s="53"/>
      <c r="G940" s="4"/>
      <c r="H940" s="4"/>
      <c r="I940" s="4"/>
      <c r="J940" s="4"/>
      <c r="K940" s="4"/>
      <c r="L940" s="53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76"/>
      <c r="F941" s="53"/>
      <c r="G941" s="4"/>
      <c r="H941" s="4"/>
      <c r="I941" s="4"/>
      <c r="J941" s="4"/>
      <c r="K941" s="4"/>
      <c r="L941" s="53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76"/>
      <c r="F942" s="53"/>
      <c r="G942" s="4"/>
      <c r="H942" s="4"/>
      <c r="I942" s="4"/>
      <c r="J942" s="4"/>
      <c r="K942" s="4"/>
      <c r="L942" s="53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76"/>
      <c r="F943" s="53"/>
      <c r="G943" s="4"/>
      <c r="H943" s="4"/>
      <c r="I943" s="4"/>
      <c r="J943" s="4"/>
      <c r="K943" s="4"/>
      <c r="L943" s="53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76"/>
      <c r="F944" s="53"/>
      <c r="G944" s="4"/>
      <c r="H944" s="4"/>
      <c r="I944" s="4"/>
      <c r="J944" s="4"/>
      <c r="K944" s="4"/>
      <c r="L944" s="53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76"/>
      <c r="F945" s="53"/>
      <c r="G945" s="4"/>
      <c r="H945" s="4"/>
      <c r="I945" s="4"/>
      <c r="J945" s="4"/>
      <c r="K945" s="4"/>
      <c r="L945" s="53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76"/>
      <c r="F946" s="53"/>
      <c r="G946" s="4"/>
      <c r="H946" s="4"/>
      <c r="I946" s="4"/>
      <c r="J946" s="4"/>
      <c r="K946" s="4"/>
      <c r="L946" s="53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76"/>
      <c r="F947" s="53"/>
      <c r="G947" s="4"/>
      <c r="H947" s="4"/>
      <c r="I947" s="4"/>
      <c r="J947" s="4"/>
      <c r="K947" s="4"/>
      <c r="L947" s="53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76"/>
      <c r="F948" s="53"/>
      <c r="G948" s="4"/>
      <c r="H948" s="4"/>
      <c r="I948" s="4"/>
      <c r="J948" s="4"/>
      <c r="K948" s="4"/>
      <c r="L948" s="53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76"/>
      <c r="F949" s="53"/>
      <c r="G949" s="4"/>
      <c r="H949" s="4"/>
      <c r="I949" s="4"/>
      <c r="J949" s="4"/>
      <c r="K949" s="4"/>
      <c r="L949" s="53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76"/>
      <c r="F950" s="53"/>
      <c r="G950" s="4"/>
      <c r="H950" s="4"/>
      <c r="I950" s="4"/>
      <c r="J950" s="4"/>
      <c r="K950" s="4"/>
      <c r="L950" s="53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76"/>
      <c r="F951" s="53"/>
      <c r="G951" s="4"/>
      <c r="H951" s="4"/>
      <c r="I951" s="4"/>
      <c r="J951" s="4"/>
      <c r="K951" s="4"/>
      <c r="L951" s="53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76"/>
      <c r="F952" s="53"/>
      <c r="G952" s="4"/>
      <c r="H952" s="4"/>
      <c r="I952" s="4"/>
      <c r="J952" s="4"/>
      <c r="K952" s="4"/>
      <c r="L952" s="53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76"/>
      <c r="F953" s="53"/>
      <c r="G953" s="4"/>
      <c r="H953" s="4"/>
      <c r="I953" s="4"/>
      <c r="J953" s="4"/>
      <c r="K953" s="4"/>
      <c r="L953" s="53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76"/>
      <c r="F954" s="53"/>
      <c r="G954" s="4"/>
      <c r="H954" s="4"/>
      <c r="I954" s="4"/>
      <c r="J954" s="4"/>
      <c r="K954" s="4"/>
      <c r="L954" s="53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76"/>
      <c r="F955" s="53"/>
      <c r="G955" s="4"/>
      <c r="H955" s="4"/>
      <c r="I955" s="4"/>
      <c r="J955" s="4"/>
      <c r="K955" s="4"/>
      <c r="L955" s="53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76"/>
      <c r="F956" s="53"/>
      <c r="G956" s="4"/>
      <c r="H956" s="4"/>
      <c r="I956" s="4"/>
      <c r="J956" s="4"/>
      <c r="K956" s="4"/>
      <c r="L956" s="53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76"/>
      <c r="F957" s="53"/>
      <c r="G957" s="4"/>
      <c r="H957" s="4"/>
      <c r="I957" s="4"/>
      <c r="J957" s="4"/>
      <c r="K957" s="4"/>
      <c r="L957" s="53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76"/>
      <c r="F958" s="53"/>
      <c r="G958" s="4"/>
      <c r="H958" s="4"/>
      <c r="I958" s="4"/>
      <c r="J958" s="4"/>
      <c r="K958" s="4"/>
      <c r="L958" s="53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76"/>
      <c r="F959" s="53"/>
      <c r="G959" s="4"/>
      <c r="H959" s="4"/>
      <c r="I959" s="4"/>
      <c r="J959" s="4"/>
      <c r="K959" s="4"/>
      <c r="L959" s="53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76"/>
      <c r="F960" s="53"/>
      <c r="G960" s="4"/>
      <c r="H960" s="4"/>
      <c r="I960" s="4"/>
      <c r="J960" s="4"/>
      <c r="K960" s="4"/>
      <c r="L960" s="53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76"/>
      <c r="F961" s="53"/>
      <c r="G961" s="4"/>
      <c r="H961" s="4"/>
      <c r="I961" s="4"/>
      <c r="J961" s="4"/>
      <c r="K961" s="4"/>
      <c r="L961" s="53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76"/>
      <c r="F962" s="53"/>
      <c r="G962" s="4"/>
      <c r="H962" s="4"/>
      <c r="I962" s="4"/>
      <c r="J962" s="4"/>
      <c r="K962" s="4"/>
      <c r="L962" s="53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76"/>
      <c r="F963" s="53"/>
      <c r="G963" s="4"/>
      <c r="H963" s="4"/>
      <c r="I963" s="4"/>
      <c r="J963" s="4"/>
      <c r="K963" s="4"/>
      <c r="L963" s="53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76"/>
      <c r="F964" s="53"/>
      <c r="G964" s="4"/>
      <c r="H964" s="4"/>
      <c r="I964" s="4"/>
      <c r="J964" s="4"/>
      <c r="K964" s="4"/>
      <c r="L964" s="53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76"/>
      <c r="F965" s="53"/>
      <c r="G965" s="4"/>
      <c r="H965" s="4"/>
      <c r="I965" s="4"/>
      <c r="J965" s="4"/>
      <c r="K965" s="4"/>
      <c r="L965" s="53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76"/>
      <c r="F966" s="53"/>
      <c r="G966" s="4"/>
      <c r="H966" s="4"/>
      <c r="I966" s="4"/>
      <c r="J966" s="4"/>
      <c r="K966" s="4"/>
      <c r="L966" s="53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76"/>
      <c r="F967" s="53"/>
      <c r="G967" s="4"/>
      <c r="H967" s="4"/>
      <c r="I967" s="4"/>
      <c r="J967" s="4"/>
      <c r="K967" s="4"/>
      <c r="L967" s="53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76"/>
      <c r="F968" s="53"/>
      <c r="G968" s="4"/>
      <c r="H968" s="4"/>
      <c r="I968" s="4"/>
      <c r="J968" s="4"/>
      <c r="K968" s="4"/>
      <c r="L968" s="53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76"/>
      <c r="F969" s="53"/>
      <c r="G969" s="4"/>
      <c r="H969" s="4"/>
      <c r="I969" s="4"/>
      <c r="J969" s="4"/>
      <c r="K969" s="4"/>
      <c r="L969" s="53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76"/>
      <c r="F970" s="53"/>
      <c r="G970" s="4"/>
      <c r="H970" s="4"/>
      <c r="I970" s="4"/>
      <c r="J970" s="4"/>
      <c r="K970" s="4"/>
      <c r="L970" s="53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76"/>
      <c r="F971" s="53"/>
      <c r="G971" s="4"/>
      <c r="H971" s="4"/>
      <c r="I971" s="4"/>
      <c r="J971" s="4"/>
      <c r="K971" s="4"/>
      <c r="L971" s="53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76"/>
      <c r="F972" s="53"/>
      <c r="G972" s="4"/>
      <c r="H972" s="4"/>
      <c r="I972" s="4"/>
      <c r="J972" s="4"/>
      <c r="K972" s="4"/>
      <c r="L972" s="53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76"/>
      <c r="F973" s="53"/>
      <c r="G973" s="4"/>
      <c r="H973" s="4"/>
      <c r="I973" s="4"/>
      <c r="J973" s="4"/>
      <c r="K973" s="4"/>
      <c r="L973" s="53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76"/>
      <c r="F974" s="53"/>
      <c r="G974" s="4"/>
      <c r="H974" s="4"/>
      <c r="I974" s="4"/>
      <c r="J974" s="4"/>
      <c r="K974" s="4"/>
      <c r="L974" s="53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76"/>
      <c r="F975" s="53"/>
      <c r="G975" s="4"/>
      <c r="H975" s="4"/>
      <c r="I975" s="4"/>
      <c r="J975" s="4"/>
      <c r="K975" s="4"/>
      <c r="L975" s="53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76"/>
      <c r="F976" s="53"/>
      <c r="G976" s="4"/>
      <c r="H976" s="4"/>
      <c r="I976" s="4"/>
      <c r="J976" s="4"/>
      <c r="K976" s="4"/>
      <c r="L976" s="53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76"/>
      <c r="F977" s="53"/>
      <c r="G977" s="4"/>
      <c r="H977" s="4"/>
      <c r="I977" s="4"/>
      <c r="J977" s="4"/>
      <c r="K977" s="4"/>
      <c r="L977" s="53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76"/>
      <c r="F978" s="53"/>
      <c r="G978" s="4"/>
      <c r="H978" s="4"/>
      <c r="I978" s="4"/>
      <c r="J978" s="4"/>
      <c r="K978" s="4"/>
      <c r="L978" s="53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76"/>
      <c r="F979" s="53"/>
      <c r="G979" s="4"/>
      <c r="H979" s="4"/>
      <c r="I979" s="4"/>
      <c r="J979" s="4"/>
      <c r="K979" s="4"/>
      <c r="L979" s="53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76"/>
      <c r="F980" s="53"/>
      <c r="G980" s="4"/>
      <c r="H980" s="4"/>
      <c r="I980" s="4"/>
      <c r="J980" s="4"/>
      <c r="K980" s="4"/>
      <c r="L980" s="53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76"/>
      <c r="F981" s="53"/>
      <c r="G981" s="4"/>
      <c r="H981" s="4"/>
      <c r="I981" s="4"/>
      <c r="J981" s="4"/>
      <c r="K981" s="4"/>
      <c r="L981" s="53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76"/>
      <c r="F982" s="53"/>
      <c r="G982" s="4"/>
      <c r="H982" s="4"/>
      <c r="I982" s="4"/>
      <c r="J982" s="4"/>
      <c r="K982" s="4"/>
      <c r="L982" s="53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76"/>
      <c r="F983" s="53"/>
      <c r="G983" s="4"/>
      <c r="H983" s="4"/>
      <c r="I983" s="4"/>
      <c r="J983" s="4"/>
      <c r="K983" s="4"/>
      <c r="L983" s="53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76"/>
      <c r="F984" s="53"/>
      <c r="G984" s="4"/>
      <c r="H984" s="4"/>
      <c r="I984" s="4"/>
      <c r="J984" s="4"/>
      <c r="K984" s="4"/>
      <c r="L984" s="53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76"/>
      <c r="F985" s="53"/>
      <c r="G985" s="4"/>
      <c r="H985" s="4"/>
      <c r="I985" s="4"/>
      <c r="J985" s="4"/>
      <c r="K985" s="4"/>
      <c r="L985" s="53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76"/>
      <c r="F986" s="53"/>
      <c r="G986" s="4"/>
      <c r="H986" s="4"/>
      <c r="I986" s="4"/>
      <c r="J986" s="4"/>
      <c r="K986" s="4"/>
      <c r="L986" s="53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76"/>
      <c r="F987" s="53"/>
      <c r="G987" s="4"/>
      <c r="H987" s="4"/>
      <c r="I987" s="4"/>
      <c r="J987" s="4"/>
      <c r="K987" s="4"/>
      <c r="L987" s="53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76"/>
      <c r="F988" s="53"/>
      <c r="G988" s="4"/>
      <c r="H988" s="4"/>
      <c r="I988" s="4"/>
      <c r="J988" s="4"/>
      <c r="K988" s="4"/>
      <c r="L988" s="53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76"/>
      <c r="F989" s="53"/>
      <c r="G989" s="4"/>
      <c r="H989" s="4"/>
      <c r="I989" s="4"/>
      <c r="J989" s="4"/>
      <c r="K989" s="4"/>
      <c r="L989" s="53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76"/>
      <c r="F990" s="53"/>
      <c r="G990" s="4"/>
      <c r="H990" s="4"/>
      <c r="I990" s="4"/>
      <c r="J990" s="4"/>
      <c r="K990" s="4"/>
      <c r="L990" s="53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76"/>
      <c r="F991" s="53"/>
      <c r="G991" s="4"/>
      <c r="H991" s="4"/>
      <c r="I991" s="4"/>
      <c r="J991" s="4"/>
      <c r="K991" s="4"/>
      <c r="L991" s="53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76"/>
      <c r="F992" s="53"/>
      <c r="G992" s="4"/>
      <c r="H992" s="4"/>
      <c r="I992" s="4"/>
      <c r="J992" s="4"/>
      <c r="K992" s="4"/>
      <c r="L992" s="53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76"/>
      <c r="F993" s="53"/>
      <c r="G993" s="4"/>
      <c r="H993" s="4"/>
      <c r="I993" s="4"/>
      <c r="J993" s="4"/>
      <c r="K993" s="4"/>
      <c r="L993" s="53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76"/>
      <c r="F994" s="53"/>
      <c r="G994" s="4"/>
      <c r="H994" s="4"/>
      <c r="I994" s="4"/>
      <c r="J994" s="4"/>
      <c r="K994" s="4"/>
      <c r="L994" s="53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76"/>
      <c r="F995" s="53"/>
      <c r="G995" s="4"/>
      <c r="H995" s="4"/>
      <c r="I995" s="4"/>
      <c r="J995" s="4"/>
      <c r="K995" s="4"/>
      <c r="L995" s="53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76"/>
      <c r="F996" s="53"/>
      <c r="G996" s="4"/>
      <c r="H996" s="4"/>
      <c r="I996" s="4"/>
      <c r="J996" s="4"/>
      <c r="K996" s="4"/>
      <c r="L996" s="53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76"/>
      <c r="F997" s="53"/>
      <c r="G997" s="4"/>
      <c r="H997" s="4"/>
      <c r="I997" s="4"/>
      <c r="J997" s="4"/>
      <c r="K997" s="4"/>
      <c r="L997" s="53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76"/>
      <c r="F998" s="53"/>
      <c r="G998" s="4"/>
      <c r="H998" s="4"/>
      <c r="I998" s="4"/>
      <c r="J998" s="4"/>
      <c r="K998" s="4"/>
      <c r="L998" s="53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76"/>
      <c r="F999" s="53"/>
      <c r="G999" s="4"/>
      <c r="H999" s="4"/>
      <c r="I999" s="4"/>
      <c r="J999" s="4"/>
      <c r="K999" s="4"/>
      <c r="L999" s="53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76"/>
      <c r="F1000" s="53"/>
      <c r="G1000" s="4"/>
      <c r="H1000" s="4"/>
      <c r="I1000" s="4"/>
      <c r="J1000" s="4"/>
      <c r="K1000" s="4"/>
      <c r="L1000" s="53"/>
      <c r="P1000" s="4"/>
      <c r="Q1000" s="4"/>
      <c r="R1000" s="4"/>
      <c r="S1000" s="4"/>
      <c r="T1000" s="4"/>
      <c r="U1000" s="4"/>
      <c r="V1000" s="4"/>
    </row>
  </sheetData>
  <mergeCells count="2">
    <mergeCell ref="A1:H1"/>
    <mergeCell ref="A2:H2"/>
  </mergeCells>
  <conditionalFormatting sqref="D5:D25 D28:D39">
    <cfRule type="containsBlanks" dxfId="0" priority="1">
      <formula>LEN(TRIM(D5))=0</formula>
    </cfRule>
  </conditionalFormatting>
  <conditionalFormatting sqref="F5:F25 F28:F39">
    <cfRule type="cellIs" dxfId="1" priority="2" operator="equal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11.13"/>
    <col customWidth="1" min="3" max="3" width="14.25"/>
    <col customWidth="1" min="4" max="4" width="8.63"/>
    <col customWidth="1" min="5" max="5" width="14.63"/>
    <col customWidth="1" min="6" max="6" width="7.5"/>
    <col customWidth="1" min="7" max="7" width="5.13"/>
    <col customWidth="1" min="8" max="8" width="13.25"/>
    <col customWidth="1" min="9" max="9" width="15.88"/>
    <col customWidth="1" min="10" max="10" width="8.63"/>
    <col customWidth="1" min="11" max="11" width="14.63"/>
    <col customWidth="1" min="12" max="12" width="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P1" s="4"/>
      <c r="Q1" s="4"/>
      <c r="R1" s="4"/>
      <c r="S1" s="4"/>
      <c r="T1" s="4"/>
      <c r="U1" s="4"/>
      <c r="V1" s="4"/>
    </row>
    <row r="2">
      <c r="A2" s="5" t="s">
        <v>62</v>
      </c>
      <c r="P2" s="4"/>
      <c r="Q2" s="4"/>
      <c r="R2" s="4"/>
      <c r="S2" s="4"/>
      <c r="T2" s="4"/>
      <c r="U2" s="4"/>
      <c r="V2" s="4"/>
    </row>
    <row r="3">
      <c r="A3" s="8" t="s">
        <v>4</v>
      </c>
      <c r="B3" s="10"/>
      <c r="C3" s="10"/>
      <c r="D3" s="10"/>
      <c r="E3" s="10"/>
      <c r="F3" s="10"/>
      <c r="G3" s="10"/>
      <c r="H3" s="13"/>
      <c r="P3" s="4"/>
      <c r="Q3" s="4"/>
      <c r="R3" s="4"/>
      <c r="S3" s="4"/>
      <c r="T3" s="4"/>
      <c r="U3" s="4"/>
      <c r="V3" s="4"/>
    </row>
    <row r="4">
      <c r="A4" s="15" t="s">
        <v>6</v>
      </c>
      <c r="B4" s="17" t="s">
        <v>7</v>
      </c>
      <c r="C4" s="19" t="s">
        <v>8</v>
      </c>
      <c r="D4" s="21" t="s">
        <v>9</v>
      </c>
      <c r="E4" s="23" t="s">
        <v>10</v>
      </c>
      <c r="F4" s="24" t="s">
        <v>11</v>
      </c>
      <c r="H4" s="26" t="s">
        <v>12</v>
      </c>
      <c r="P4" s="4"/>
      <c r="Q4" s="4"/>
      <c r="R4" s="4"/>
      <c r="S4" s="4"/>
      <c r="T4" s="4"/>
      <c r="U4" s="4"/>
      <c r="V4" s="4"/>
    </row>
    <row r="5">
      <c r="A5" s="29" t="s">
        <v>13</v>
      </c>
      <c r="B5" s="30" t="s">
        <v>14</v>
      </c>
      <c r="C5" s="32">
        <v>46262.99930555555</v>
      </c>
      <c r="D5" s="33" t="s">
        <v>15</v>
      </c>
      <c r="E5" s="32">
        <f t="shared" ref="E5:E25" si="1">IF(D5&lt;&gt;"",IF(E5="",NOW(),E5),"")</f>
        <v>46261.11159</v>
      </c>
      <c r="F5" s="37">
        <f t="shared" ref="F5:F25" si="2">if(D5 = "", 0,IF(E5&lt;C5,0.5,0))</f>
        <v>0.5</v>
      </c>
      <c r="H5" s="38">
        <f t="shared" ref="H5:H6" si="3">if(D5 &lt;&gt; "", ABS(E5-C5), "0")</f>
        <v>1.887717407</v>
      </c>
      <c r="P5" s="4"/>
      <c r="Q5" s="4"/>
      <c r="R5" s="4"/>
      <c r="S5" s="4"/>
      <c r="T5" s="4"/>
      <c r="U5" s="4"/>
      <c r="V5" s="4"/>
    </row>
    <row r="6">
      <c r="A6" s="39" t="s">
        <v>16</v>
      </c>
      <c r="B6" s="30" t="s">
        <v>14</v>
      </c>
      <c r="C6" s="32">
        <v>46262.99930555555</v>
      </c>
      <c r="D6" s="33" t="s">
        <v>15</v>
      </c>
      <c r="E6" s="32">
        <f t="shared" si="1"/>
        <v>46261.11164</v>
      </c>
      <c r="F6" s="37">
        <f t="shared" si="2"/>
        <v>0.5</v>
      </c>
      <c r="H6" s="38">
        <f t="shared" si="3"/>
        <v>1.887666007</v>
      </c>
      <c r="P6" s="4"/>
      <c r="Q6" s="4"/>
      <c r="R6" s="4"/>
      <c r="S6" s="4"/>
      <c r="T6" s="4"/>
      <c r="U6" s="4"/>
      <c r="V6" s="4"/>
    </row>
    <row r="7">
      <c r="A7" s="39" t="s">
        <v>17</v>
      </c>
      <c r="B7" s="30" t="s">
        <v>18</v>
      </c>
      <c r="C7" s="32">
        <v>46234.99930555555</v>
      </c>
      <c r="D7" s="33" t="s">
        <v>15</v>
      </c>
      <c r="E7" s="32">
        <f t="shared" si="1"/>
        <v>46233.56243</v>
      </c>
      <c r="F7" s="37">
        <f t="shared" si="2"/>
        <v>0.5</v>
      </c>
      <c r="H7" s="38">
        <f>IF(D7 &lt;&gt; "", ABS(E7-C7), "0")</f>
        <v>1.436873935</v>
      </c>
      <c r="P7" s="4"/>
      <c r="Q7" s="4"/>
      <c r="R7" s="4"/>
      <c r="S7" s="4"/>
      <c r="T7" s="4"/>
      <c r="U7" s="4"/>
      <c r="V7" s="4"/>
    </row>
    <row r="8">
      <c r="A8" s="39" t="s">
        <v>19</v>
      </c>
      <c r="B8" s="30" t="s">
        <v>20</v>
      </c>
      <c r="C8" s="32">
        <v>46234.99930555555</v>
      </c>
      <c r="D8" s="33" t="s">
        <v>21</v>
      </c>
      <c r="E8" s="88">
        <f t="shared" si="1"/>
        <v>46234.21996</v>
      </c>
      <c r="F8" s="37">
        <f t="shared" si="2"/>
        <v>0.5</v>
      </c>
      <c r="H8" s="62">
        <f t="shared" ref="H8:H25" si="4">if(D8 &lt;&gt; "", ABS(E8-C8), "0")</f>
        <v>0.7793444907</v>
      </c>
      <c r="P8" s="4"/>
      <c r="Q8" s="4"/>
      <c r="R8" s="4"/>
      <c r="S8" s="4"/>
      <c r="T8" s="4"/>
      <c r="U8" s="4"/>
      <c r="V8" s="4"/>
    </row>
    <row r="9">
      <c r="A9" s="39" t="s">
        <v>22</v>
      </c>
      <c r="B9" s="30" t="s">
        <v>23</v>
      </c>
      <c r="C9" s="32">
        <v>46239.99930555555</v>
      </c>
      <c r="D9" s="33" t="s">
        <v>21</v>
      </c>
      <c r="E9" s="32">
        <f t="shared" si="1"/>
        <v>46239.28804</v>
      </c>
      <c r="F9" s="37">
        <f t="shared" si="2"/>
        <v>0.5</v>
      </c>
      <c r="H9" s="38">
        <f t="shared" si="4"/>
        <v>0.7112675926</v>
      </c>
      <c r="P9" s="4"/>
      <c r="Q9" s="4"/>
      <c r="R9" s="4"/>
      <c r="S9" s="4"/>
      <c r="T9" s="4"/>
      <c r="U9" s="4"/>
      <c r="V9" s="4"/>
    </row>
    <row r="10">
      <c r="A10" s="39" t="s">
        <v>24</v>
      </c>
      <c r="B10" s="30" t="s">
        <v>23</v>
      </c>
      <c r="C10" s="32">
        <v>46239.99930555555</v>
      </c>
      <c r="D10" s="33" t="s">
        <v>21</v>
      </c>
      <c r="E10" s="32">
        <f t="shared" si="1"/>
        <v>46239.28807</v>
      </c>
      <c r="F10" s="37">
        <f t="shared" si="2"/>
        <v>0.5</v>
      </c>
      <c r="H10" s="38">
        <f t="shared" si="4"/>
        <v>0.7112390278</v>
      </c>
      <c r="P10" s="4"/>
      <c r="Q10" s="4"/>
      <c r="R10" s="4"/>
      <c r="S10" s="4"/>
      <c r="T10" s="4"/>
      <c r="U10" s="4"/>
      <c r="V10" s="4"/>
    </row>
    <row r="11">
      <c r="A11" s="39" t="s">
        <v>25</v>
      </c>
      <c r="B11" s="30" t="s">
        <v>14</v>
      </c>
      <c r="C11" s="32">
        <v>46241.99930555555</v>
      </c>
      <c r="D11" s="33" t="s">
        <v>15</v>
      </c>
      <c r="E11" s="32">
        <f t="shared" si="1"/>
        <v>46240.01944</v>
      </c>
      <c r="F11" s="37">
        <f t="shared" si="2"/>
        <v>0.5</v>
      </c>
      <c r="H11" s="38">
        <f t="shared" si="4"/>
        <v>1.979869201</v>
      </c>
      <c r="P11" s="4"/>
      <c r="Q11" s="4"/>
      <c r="R11" s="4"/>
      <c r="S11" s="4"/>
      <c r="T11" s="4"/>
      <c r="U11" s="4"/>
      <c r="V11" s="4"/>
    </row>
    <row r="12">
      <c r="A12" s="49" t="s">
        <v>26</v>
      </c>
      <c r="B12" s="30" t="s">
        <v>14</v>
      </c>
      <c r="C12" s="32">
        <v>46241.99930555555</v>
      </c>
      <c r="D12" s="33" t="s">
        <v>15</v>
      </c>
      <c r="E12" s="32">
        <f t="shared" si="1"/>
        <v>46240.01948</v>
      </c>
      <c r="F12" s="37">
        <f t="shared" si="2"/>
        <v>0.5</v>
      </c>
      <c r="H12" s="38">
        <f t="shared" si="4"/>
        <v>1.979821944</v>
      </c>
      <c r="P12" s="4"/>
      <c r="Q12" s="4"/>
      <c r="R12" s="4"/>
      <c r="S12" s="4"/>
      <c r="T12" s="4"/>
      <c r="U12" s="4"/>
      <c r="V12" s="4"/>
    </row>
    <row r="13">
      <c r="A13" s="49" t="s">
        <v>27</v>
      </c>
      <c r="B13" s="30" t="s">
        <v>23</v>
      </c>
      <c r="C13" s="32">
        <v>46244.99930555555</v>
      </c>
      <c r="D13" s="33" t="s">
        <v>15</v>
      </c>
      <c r="E13" s="32">
        <f t="shared" si="1"/>
        <v>46267.3109</v>
      </c>
      <c r="F13" s="37">
        <f t="shared" si="2"/>
        <v>0</v>
      </c>
      <c r="H13" s="38">
        <f t="shared" si="4"/>
        <v>22.31159663</v>
      </c>
      <c r="P13" s="4"/>
      <c r="Q13" s="4"/>
      <c r="R13" s="4"/>
      <c r="S13" s="4"/>
      <c r="T13" s="4"/>
      <c r="U13" s="4"/>
      <c r="V13" s="4"/>
    </row>
    <row r="14">
      <c r="A14" s="49" t="s">
        <v>29</v>
      </c>
      <c r="B14" s="30" t="s">
        <v>30</v>
      </c>
      <c r="C14" s="32">
        <v>46246.99930555555</v>
      </c>
      <c r="D14" s="33" t="s">
        <v>21</v>
      </c>
      <c r="E14" s="32">
        <f t="shared" si="1"/>
        <v>46244.40273</v>
      </c>
      <c r="F14" s="37">
        <f t="shared" si="2"/>
        <v>0.5</v>
      </c>
      <c r="H14" s="38">
        <f t="shared" si="4"/>
        <v>2.596578912</v>
      </c>
      <c r="P14" s="4"/>
      <c r="Q14" s="4"/>
      <c r="R14" s="4"/>
      <c r="S14" s="4"/>
      <c r="T14" s="4"/>
      <c r="U14" s="4"/>
      <c r="V14" s="4"/>
    </row>
    <row r="15">
      <c r="A15" s="49" t="s">
        <v>32</v>
      </c>
      <c r="B15" s="30" t="s">
        <v>20</v>
      </c>
      <c r="C15" s="32">
        <v>46246.99930555555</v>
      </c>
      <c r="D15" s="33" t="s">
        <v>21</v>
      </c>
      <c r="E15" s="32">
        <f t="shared" si="1"/>
        <v>46245.4742</v>
      </c>
      <c r="F15" s="37">
        <f t="shared" si="2"/>
        <v>0.5</v>
      </c>
      <c r="H15" s="38">
        <f t="shared" si="4"/>
        <v>1.525109734</v>
      </c>
      <c r="P15" s="4"/>
      <c r="Q15" s="4"/>
      <c r="R15" s="4"/>
      <c r="S15" s="4"/>
      <c r="T15" s="4"/>
      <c r="U15" s="4"/>
      <c r="V15" s="4"/>
    </row>
    <row r="16">
      <c r="A16" s="49" t="s">
        <v>33</v>
      </c>
      <c r="B16" s="30" t="s">
        <v>20</v>
      </c>
      <c r="C16" s="32">
        <v>46248.99930555555</v>
      </c>
      <c r="D16" s="33" t="s">
        <v>21</v>
      </c>
      <c r="E16" s="32">
        <f t="shared" si="1"/>
        <v>46245.47467</v>
      </c>
      <c r="F16" s="37">
        <f t="shared" si="2"/>
        <v>0.5</v>
      </c>
      <c r="H16" s="38">
        <f t="shared" si="4"/>
        <v>3.524634838</v>
      </c>
      <c r="P16" s="4"/>
      <c r="Q16" s="4"/>
      <c r="R16" s="4"/>
      <c r="S16" s="4"/>
      <c r="T16" s="4"/>
      <c r="U16" s="4"/>
      <c r="V16" s="4"/>
    </row>
    <row r="17">
      <c r="A17" s="49" t="s">
        <v>34</v>
      </c>
      <c r="B17" s="30" t="s">
        <v>30</v>
      </c>
      <c r="C17" s="32">
        <v>46248.99930555555</v>
      </c>
      <c r="D17" s="33" t="s">
        <v>21</v>
      </c>
      <c r="E17" s="32">
        <f t="shared" si="1"/>
        <v>46244.40281</v>
      </c>
      <c r="F17" s="37">
        <f t="shared" si="2"/>
        <v>0.5</v>
      </c>
      <c r="G17" s="4"/>
      <c r="H17" s="38">
        <f t="shared" si="4"/>
        <v>4.596495127</v>
      </c>
      <c r="I17" s="4"/>
      <c r="J17" s="4"/>
      <c r="K17" s="4"/>
      <c r="L17" s="53"/>
      <c r="P17" s="4"/>
      <c r="Q17" s="4"/>
      <c r="R17" s="4"/>
      <c r="S17" s="4"/>
      <c r="T17" s="4"/>
      <c r="U17" s="4"/>
      <c r="V17" s="4"/>
    </row>
    <row r="18">
      <c r="A18" s="49" t="s">
        <v>35</v>
      </c>
      <c r="B18" s="30" t="s">
        <v>14</v>
      </c>
      <c r="C18" s="32">
        <v>46252.99930555555</v>
      </c>
      <c r="D18" s="33" t="s">
        <v>15</v>
      </c>
      <c r="E18" s="32">
        <f t="shared" si="1"/>
        <v>46251.11517</v>
      </c>
      <c r="F18" s="37">
        <f t="shared" si="2"/>
        <v>0.5</v>
      </c>
      <c r="G18" s="4"/>
      <c r="H18" s="38">
        <f t="shared" si="4"/>
        <v>1.884134398</v>
      </c>
      <c r="I18" s="4"/>
      <c r="J18" s="70">
        <v>100.0</v>
      </c>
      <c r="K18" s="4"/>
      <c r="L18" s="53"/>
      <c r="P18" s="4"/>
      <c r="Q18" s="4"/>
      <c r="R18" s="4"/>
      <c r="S18" s="4"/>
      <c r="T18" s="4"/>
      <c r="U18" s="4"/>
      <c r="V18" s="4"/>
    </row>
    <row r="19">
      <c r="A19" s="49" t="s">
        <v>36</v>
      </c>
      <c r="B19" s="30" t="s">
        <v>18</v>
      </c>
      <c r="C19" s="32">
        <v>46252.99930555555</v>
      </c>
      <c r="D19" s="33" t="s">
        <v>15</v>
      </c>
      <c r="E19" s="32">
        <f t="shared" si="1"/>
        <v>46251.57617</v>
      </c>
      <c r="F19" s="37">
        <f t="shared" si="2"/>
        <v>0.5</v>
      </c>
      <c r="G19" s="4"/>
      <c r="H19" s="38">
        <f t="shared" si="4"/>
        <v>1.423130961</v>
      </c>
      <c r="I19" s="4"/>
      <c r="J19" s="70">
        <v>0.0</v>
      </c>
      <c r="K19" s="4"/>
      <c r="L19" s="53"/>
      <c r="P19" s="4"/>
      <c r="Q19" s="4"/>
      <c r="R19" s="4"/>
      <c r="S19" s="4"/>
      <c r="T19" s="4"/>
      <c r="U19" s="4"/>
      <c r="V19" s="4"/>
    </row>
    <row r="20">
      <c r="A20" s="49" t="s">
        <v>38</v>
      </c>
      <c r="B20" s="30" t="s">
        <v>30</v>
      </c>
      <c r="C20" s="32">
        <v>46255.99930555555</v>
      </c>
      <c r="D20" s="33" t="s">
        <v>21</v>
      </c>
      <c r="E20" s="32">
        <f t="shared" si="1"/>
        <v>46254.46291</v>
      </c>
      <c r="F20" s="37">
        <f t="shared" si="2"/>
        <v>0.5</v>
      </c>
      <c r="G20" s="4"/>
      <c r="H20" s="38">
        <f t="shared" si="4"/>
        <v>1.536399213</v>
      </c>
      <c r="I20" s="4"/>
      <c r="J20" s="4"/>
      <c r="K20" s="4"/>
      <c r="L20" s="53"/>
      <c r="P20" s="4"/>
      <c r="Q20" s="4"/>
      <c r="R20" s="4"/>
      <c r="S20" s="4"/>
      <c r="T20" s="4"/>
      <c r="U20" s="4"/>
      <c r="V20" s="4"/>
    </row>
    <row r="21">
      <c r="A21" s="49" t="s">
        <v>39</v>
      </c>
      <c r="B21" s="30" t="s">
        <v>18</v>
      </c>
      <c r="C21" s="32">
        <v>46255.99930555555</v>
      </c>
      <c r="D21" s="33" t="s">
        <v>15</v>
      </c>
      <c r="E21" s="32">
        <f t="shared" si="1"/>
        <v>46254.58513</v>
      </c>
      <c r="F21" s="37">
        <f t="shared" si="2"/>
        <v>0.5</v>
      </c>
      <c r="G21" s="4"/>
      <c r="H21" s="38">
        <f t="shared" si="4"/>
        <v>1.414178565</v>
      </c>
      <c r="I21" s="4"/>
      <c r="J21" s="4"/>
      <c r="K21" s="4"/>
      <c r="L21" s="53"/>
      <c r="P21" s="4"/>
      <c r="Q21" s="4"/>
      <c r="R21" s="4"/>
      <c r="S21" s="4"/>
      <c r="T21" s="4"/>
      <c r="U21" s="4"/>
      <c r="V21" s="4"/>
    </row>
    <row r="22">
      <c r="A22" s="49" t="s">
        <v>40</v>
      </c>
      <c r="B22" s="89" t="s">
        <v>63</v>
      </c>
      <c r="C22" s="32">
        <v>46255.99930555555</v>
      </c>
      <c r="D22" s="33" t="s">
        <v>15</v>
      </c>
      <c r="E22" s="32">
        <f t="shared" si="1"/>
        <v>46267.31098</v>
      </c>
      <c r="F22" s="37">
        <f t="shared" si="2"/>
        <v>0</v>
      </c>
      <c r="G22" s="4"/>
      <c r="H22" s="38">
        <f t="shared" si="4"/>
        <v>11.31167635</v>
      </c>
      <c r="I22" s="4"/>
      <c r="J22" s="4"/>
      <c r="K22" s="4"/>
      <c r="L22" s="53"/>
      <c r="P22" s="4"/>
      <c r="Q22" s="4"/>
      <c r="R22" s="4"/>
      <c r="S22" s="4"/>
      <c r="T22" s="4"/>
      <c r="U22" s="4"/>
      <c r="V22" s="4"/>
    </row>
    <row r="23">
      <c r="A23" s="49" t="s">
        <v>41</v>
      </c>
      <c r="B23" s="30" t="s">
        <v>18</v>
      </c>
      <c r="C23" s="32">
        <v>46255.99930555555</v>
      </c>
      <c r="D23" s="33" t="s">
        <v>15</v>
      </c>
      <c r="E23" s="32">
        <f t="shared" si="1"/>
        <v>46254.58518</v>
      </c>
      <c r="F23" s="37">
        <f t="shared" si="2"/>
        <v>0.5</v>
      </c>
      <c r="G23" s="4"/>
      <c r="H23" s="38">
        <f t="shared" si="4"/>
        <v>1.414129421</v>
      </c>
      <c r="I23" s="4"/>
      <c r="J23" s="4"/>
      <c r="K23" s="4"/>
      <c r="L23" s="53"/>
      <c r="P23" s="4"/>
      <c r="Q23" s="4"/>
      <c r="R23" s="4"/>
      <c r="S23" s="4"/>
      <c r="T23" s="4"/>
      <c r="U23" s="4"/>
      <c r="V23" s="4"/>
    </row>
    <row r="24">
      <c r="A24" s="49" t="s">
        <v>42</v>
      </c>
      <c r="B24" s="89" t="s">
        <v>63</v>
      </c>
      <c r="C24" s="32">
        <v>46260.99930555555</v>
      </c>
      <c r="D24" s="33" t="s">
        <v>15</v>
      </c>
      <c r="E24" s="32">
        <f t="shared" si="1"/>
        <v>46267.31101</v>
      </c>
      <c r="F24" s="37">
        <f t="shared" si="2"/>
        <v>0</v>
      </c>
      <c r="G24" s="4"/>
      <c r="H24" s="38">
        <f t="shared" si="4"/>
        <v>6.311705301</v>
      </c>
      <c r="I24" s="4"/>
      <c r="J24" s="4"/>
      <c r="K24" s="4"/>
      <c r="L24" s="53"/>
      <c r="P24" s="4"/>
      <c r="Q24" s="4"/>
      <c r="R24" s="4"/>
      <c r="S24" s="4"/>
      <c r="T24" s="4"/>
      <c r="U24" s="4"/>
      <c r="V24" s="4"/>
    </row>
    <row r="25">
      <c r="A25" s="55" t="s">
        <v>43</v>
      </c>
      <c r="B25" s="89" t="s">
        <v>18</v>
      </c>
      <c r="C25" s="32">
        <v>46260.99930555555</v>
      </c>
      <c r="D25" s="56" t="s">
        <v>15</v>
      </c>
      <c r="E25" s="32">
        <f t="shared" si="1"/>
        <v>46259.50701</v>
      </c>
      <c r="F25" s="37">
        <f t="shared" si="2"/>
        <v>0.5</v>
      </c>
      <c r="G25" s="4"/>
      <c r="H25" s="58">
        <f t="shared" si="4"/>
        <v>1.49229956</v>
      </c>
      <c r="I25" s="4"/>
      <c r="J25" s="4"/>
      <c r="K25" s="4"/>
      <c r="L25" s="53"/>
      <c r="P25" s="4"/>
      <c r="Q25" s="4"/>
      <c r="R25" s="4"/>
      <c r="S25" s="4"/>
      <c r="T25" s="4"/>
      <c r="U25" s="4"/>
      <c r="V25" s="4"/>
    </row>
    <row r="26">
      <c r="A26" s="87" t="s">
        <v>44</v>
      </c>
      <c r="B26" s="60"/>
      <c r="C26" s="87"/>
      <c r="D26" s="87"/>
      <c r="E26" s="87"/>
      <c r="F26" s="87"/>
      <c r="G26" s="87"/>
      <c r="H26" s="87"/>
      <c r="I26" s="4"/>
      <c r="J26" s="4"/>
      <c r="K26" s="4"/>
      <c r="L26" s="53"/>
      <c r="P26" s="4"/>
      <c r="Q26" s="4"/>
      <c r="R26" s="4"/>
      <c r="S26" s="4"/>
      <c r="T26" s="4"/>
      <c r="U26" s="4"/>
      <c r="V26" s="4"/>
    </row>
    <row r="27">
      <c r="A27" s="63" t="s">
        <v>6</v>
      </c>
      <c r="B27" s="17" t="s">
        <v>7</v>
      </c>
      <c r="C27" s="64" t="s">
        <v>8</v>
      </c>
      <c r="D27" s="65" t="s">
        <v>9</v>
      </c>
      <c r="E27" s="27" t="s">
        <v>10</v>
      </c>
      <c r="F27" s="28" t="s">
        <v>11</v>
      </c>
      <c r="G27" s="4"/>
      <c r="H27" s="26" t="s">
        <v>12</v>
      </c>
      <c r="K27" s="4"/>
      <c r="L27" s="53"/>
      <c r="P27" s="4"/>
      <c r="Q27" s="4"/>
      <c r="R27" s="4"/>
      <c r="S27" s="4"/>
      <c r="T27" s="4"/>
      <c r="U27" s="4"/>
      <c r="V27" s="4"/>
    </row>
    <row r="28">
      <c r="A28" s="29" t="s">
        <v>45</v>
      </c>
      <c r="B28" s="30" t="s">
        <v>20</v>
      </c>
      <c r="C28" s="32">
        <v>46262.99930555555</v>
      </c>
      <c r="D28" s="33" t="s">
        <v>21</v>
      </c>
      <c r="E28" s="32">
        <f t="shared" ref="E28:E39" si="5">IF(D28&lt;&gt;"",IF(E28="",NOW(),E28),"")</f>
        <v>46261.11187</v>
      </c>
      <c r="F28" s="37">
        <f t="shared" ref="F28:F39" si="6">if(D28 = "", 0,IF(E28&lt;C28,0.5,0))</f>
        <v>0.5</v>
      </c>
      <c r="G28" s="4"/>
      <c r="H28" s="38">
        <f t="shared" ref="H28:H29" si="7">if(D28 &lt;&gt; "", ABS(E28-C28), "0")</f>
        <v>1.887431725</v>
      </c>
      <c r="K28" s="4"/>
      <c r="L28" s="53"/>
      <c r="P28" s="4"/>
      <c r="Q28" s="4"/>
      <c r="R28" s="4"/>
      <c r="S28" s="4"/>
      <c r="T28" s="4"/>
      <c r="U28" s="4"/>
      <c r="V28" s="4"/>
    </row>
    <row r="29">
      <c r="A29" s="68" t="s">
        <v>46</v>
      </c>
      <c r="B29" s="30" t="s">
        <v>20</v>
      </c>
      <c r="C29" s="32">
        <v>46262.99930555555</v>
      </c>
      <c r="D29" s="33" t="s">
        <v>21</v>
      </c>
      <c r="E29" s="32">
        <f t="shared" si="5"/>
        <v>46261.11191</v>
      </c>
      <c r="F29" s="37">
        <f t="shared" si="6"/>
        <v>0.5</v>
      </c>
      <c r="G29" s="4"/>
      <c r="H29" s="38">
        <f t="shared" si="7"/>
        <v>1.887394363</v>
      </c>
      <c r="K29" s="4"/>
      <c r="L29" s="53"/>
      <c r="P29" s="4"/>
      <c r="Q29" s="4"/>
      <c r="R29" s="4"/>
      <c r="S29" s="4"/>
      <c r="T29" s="4"/>
      <c r="U29" s="4"/>
      <c r="V29" s="4"/>
    </row>
    <row r="30">
      <c r="A30" s="68" t="s">
        <v>47</v>
      </c>
      <c r="B30" s="89" t="s">
        <v>14</v>
      </c>
      <c r="C30" s="32">
        <v>46234.99930555555</v>
      </c>
      <c r="D30" s="33" t="s">
        <v>21</v>
      </c>
      <c r="E30" s="32">
        <f t="shared" si="5"/>
        <v>46234.44469</v>
      </c>
      <c r="F30" s="37">
        <f t="shared" si="6"/>
        <v>0.5</v>
      </c>
      <c r="G30" s="4"/>
      <c r="H30" s="38">
        <f>IF(D30 &lt;&gt; "", ABS(E30-C30), "0")</f>
        <v>0.5546109143</v>
      </c>
      <c r="K30" s="4"/>
      <c r="L30" s="53"/>
      <c r="P30" s="4"/>
      <c r="Q30" s="4"/>
      <c r="R30" s="4"/>
      <c r="S30" s="4"/>
      <c r="T30" s="4"/>
      <c r="U30" s="4"/>
      <c r="V30" s="4"/>
    </row>
    <row r="31">
      <c r="A31" s="68" t="s">
        <v>48</v>
      </c>
      <c r="B31" s="30" t="s">
        <v>14</v>
      </c>
      <c r="C31" s="32">
        <v>46239.99930555555</v>
      </c>
      <c r="D31" s="33" t="s">
        <v>15</v>
      </c>
      <c r="E31" s="32">
        <f t="shared" si="5"/>
        <v>46238.01844</v>
      </c>
      <c r="F31" s="37">
        <f t="shared" si="6"/>
        <v>0.5</v>
      </c>
      <c r="G31" s="4"/>
      <c r="H31" s="38">
        <f t="shared" ref="H31:H39" si="8">if(D31 &lt;&gt; "", ABS(E31-C31), "0")</f>
        <v>1.980862894</v>
      </c>
      <c r="I31" s="86" t="s">
        <v>31</v>
      </c>
      <c r="K31" s="4"/>
      <c r="L31" s="53"/>
      <c r="P31" s="4"/>
      <c r="Q31" s="4"/>
      <c r="R31" s="4"/>
      <c r="S31" s="4"/>
      <c r="T31" s="4"/>
      <c r="U31" s="4"/>
      <c r="V31" s="4"/>
    </row>
    <row r="32">
      <c r="A32" s="69" t="s">
        <v>50</v>
      </c>
      <c r="B32" s="30" t="s">
        <v>23</v>
      </c>
      <c r="C32" s="32">
        <v>46241.99930555555</v>
      </c>
      <c r="D32" s="33"/>
      <c r="E32" s="32" t="str">
        <f t="shared" si="5"/>
        <v/>
      </c>
      <c r="F32" s="37">
        <f t="shared" si="6"/>
        <v>0</v>
      </c>
      <c r="G32" s="4"/>
      <c r="H32" s="38" t="str">
        <f t="shared" si="8"/>
        <v>0</v>
      </c>
      <c r="K32" s="4"/>
      <c r="L32" s="53"/>
      <c r="P32" s="4"/>
      <c r="Q32" s="4"/>
      <c r="R32" s="4"/>
      <c r="S32" s="4"/>
      <c r="T32" s="4"/>
      <c r="U32" s="4"/>
      <c r="V32" s="4"/>
    </row>
    <row r="33">
      <c r="A33" s="69" t="s">
        <v>51</v>
      </c>
      <c r="B33" s="30" t="s">
        <v>20</v>
      </c>
      <c r="C33" s="32">
        <v>46246.99930555555</v>
      </c>
      <c r="D33" s="33" t="s">
        <v>21</v>
      </c>
      <c r="E33" s="32">
        <f t="shared" si="5"/>
        <v>46245.47426</v>
      </c>
      <c r="F33" s="37">
        <f t="shared" si="6"/>
        <v>0.5</v>
      </c>
      <c r="G33" s="4"/>
      <c r="H33" s="38">
        <f t="shared" si="8"/>
        <v>1.525050278</v>
      </c>
      <c r="K33" s="4"/>
      <c r="L33" s="53"/>
      <c r="P33" s="4"/>
      <c r="Q33" s="4"/>
      <c r="R33" s="4"/>
      <c r="S33" s="4"/>
      <c r="T33" s="4"/>
      <c r="U33" s="4"/>
      <c r="V33" s="4"/>
    </row>
    <row r="34">
      <c r="A34" s="69" t="s">
        <v>52</v>
      </c>
      <c r="B34" s="30" t="s">
        <v>14</v>
      </c>
      <c r="C34" s="32">
        <v>46248.99930555555</v>
      </c>
      <c r="D34" s="33" t="s">
        <v>15</v>
      </c>
      <c r="E34" s="32">
        <f t="shared" si="5"/>
        <v>46247.11605</v>
      </c>
      <c r="F34" s="37">
        <f t="shared" si="6"/>
        <v>0.5</v>
      </c>
      <c r="G34" s="4"/>
      <c r="H34" s="38">
        <f t="shared" si="8"/>
        <v>1.883251944</v>
      </c>
      <c r="I34" s="4"/>
      <c r="J34" s="4"/>
      <c r="K34" s="4"/>
      <c r="L34" s="53"/>
      <c r="P34" s="4"/>
      <c r="Q34" s="4"/>
      <c r="R34" s="4"/>
      <c r="S34" s="4"/>
      <c r="T34" s="4"/>
      <c r="U34" s="4"/>
      <c r="V34" s="4"/>
    </row>
    <row r="35">
      <c r="A35" s="69" t="s">
        <v>53</v>
      </c>
      <c r="B35" s="30" t="s">
        <v>20</v>
      </c>
      <c r="C35" s="32">
        <v>46252.99930555555</v>
      </c>
      <c r="D35" s="33" t="s">
        <v>21</v>
      </c>
      <c r="E35" s="32">
        <f t="shared" si="5"/>
        <v>46252.04698</v>
      </c>
      <c r="F35" s="37">
        <f t="shared" si="6"/>
        <v>0.5</v>
      </c>
      <c r="G35" s="4"/>
      <c r="H35" s="38">
        <f t="shared" si="8"/>
        <v>0.9523232523</v>
      </c>
      <c r="I35" s="70"/>
      <c r="J35" s="70"/>
      <c r="K35" s="4"/>
      <c r="L35" s="71"/>
      <c r="P35" s="4"/>
      <c r="Q35" s="4"/>
      <c r="R35" s="4"/>
      <c r="S35" s="4"/>
      <c r="T35" s="4"/>
      <c r="U35" s="4"/>
      <c r="V35" s="4"/>
    </row>
    <row r="36">
      <c r="A36" s="69" t="s">
        <v>54</v>
      </c>
      <c r="B36" s="30" t="s">
        <v>55</v>
      </c>
      <c r="C36" s="32">
        <v>46255.99930555555</v>
      </c>
      <c r="D36" s="33" t="s">
        <v>21</v>
      </c>
      <c r="E36" s="32">
        <f t="shared" si="5"/>
        <v>46255.24827</v>
      </c>
      <c r="F36" s="37">
        <f t="shared" si="6"/>
        <v>0.5</v>
      </c>
      <c r="G36" s="4"/>
      <c r="H36" s="38">
        <f t="shared" si="8"/>
        <v>0.7510356597</v>
      </c>
      <c r="J36" s="70"/>
      <c r="K36" s="70"/>
      <c r="L36" s="72"/>
      <c r="P36" s="4"/>
      <c r="Q36" s="4"/>
      <c r="R36" s="4"/>
      <c r="S36" s="4"/>
      <c r="T36" s="4"/>
      <c r="U36" s="4"/>
      <c r="V36" s="4"/>
    </row>
    <row r="37">
      <c r="A37" s="69" t="s">
        <v>56</v>
      </c>
      <c r="B37" s="30" t="s">
        <v>55</v>
      </c>
      <c r="C37" s="32">
        <v>46255.99930555555</v>
      </c>
      <c r="D37" s="33" t="s">
        <v>64</v>
      </c>
      <c r="E37" s="32">
        <f t="shared" si="5"/>
        <v>46255.24828</v>
      </c>
      <c r="F37" s="37">
        <f t="shared" si="6"/>
        <v>0.5</v>
      </c>
      <c r="G37" s="4"/>
      <c r="H37" s="38">
        <f t="shared" si="8"/>
        <v>0.7510258565</v>
      </c>
      <c r="J37" s="70"/>
      <c r="K37" s="70"/>
      <c r="L37" s="72"/>
      <c r="P37" s="4"/>
      <c r="Q37" s="4"/>
      <c r="R37" s="4"/>
      <c r="S37" s="4"/>
      <c r="T37" s="4"/>
      <c r="U37" s="4"/>
      <c r="V37" s="4"/>
    </row>
    <row r="38">
      <c r="A38" s="69" t="s">
        <v>57</v>
      </c>
      <c r="B38" s="30" t="s">
        <v>55</v>
      </c>
      <c r="C38" s="32">
        <v>46260.99930555555</v>
      </c>
      <c r="D38" s="33" t="s">
        <v>21</v>
      </c>
      <c r="E38" s="32">
        <f t="shared" si="5"/>
        <v>46260.29118</v>
      </c>
      <c r="F38" s="37">
        <f t="shared" si="6"/>
        <v>0.5</v>
      </c>
      <c r="G38" s="4"/>
      <c r="H38" s="38">
        <f t="shared" si="8"/>
        <v>0.7081281134</v>
      </c>
      <c r="J38" s="70"/>
      <c r="K38" s="70"/>
      <c r="L38" s="72"/>
      <c r="P38" s="4"/>
      <c r="Q38" s="4"/>
      <c r="R38" s="4"/>
      <c r="S38" s="4"/>
      <c r="T38" s="4"/>
      <c r="U38" s="4"/>
      <c r="V38" s="4"/>
    </row>
    <row r="39">
      <c r="A39" s="69" t="s">
        <v>58</v>
      </c>
      <c r="B39" s="89" t="s">
        <v>65</v>
      </c>
      <c r="C39" s="32">
        <v>46260.99930555555</v>
      </c>
      <c r="D39" s="33" t="s">
        <v>21</v>
      </c>
      <c r="E39" s="32">
        <f t="shared" si="5"/>
        <v>46267.34349</v>
      </c>
      <c r="F39" s="37">
        <f t="shared" si="6"/>
        <v>0</v>
      </c>
      <c r="G39" s="4"/>
      <c r="H39" s="38">
        <f t="shared" si="8"/>
        <v>6.344179549</v>
      </c>
      <c r="J39" s="70"/>
      <c r="K39" s="70"/>
      <c r="L39" s="72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76"/>
      <c r="F40" s="53"/>
      <c r="G40" s="4"/>
      <c r="H40" s="4"/>
      <c r="J40" s="70"/>
      <c r="K40" s="70"/>
      <c r="L40" s="72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76"/>
      <c r="F41" s="53"/>
      <c r="G41" s="4"/>
      <c r="H41" s="4"/>
      <c r="J41" s="70"/>
      <c r="K41" s="70"/>
      <c r="L41" s="72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76"/>
      <c r="F42" s="53"/>
      <c r="G42" s="4"/>
      <c r="H42" s="4"/>
      <c r="I42" s="4"/>
      <c r="J42" s="4"/>
      <c r="K42" s="4"/>
      <c r="L42" s="53"/>
      <c r="P42" s="4"/>
      <c r="Q42" s="4"/>
      <c r="R42" s="4"/>
      <c r="S42" s="4"/>
      <c r="T42" s="4"/>
      <c r="U42" s="4"/>
      <c r="V42" s="4"/>
    </row>
    <row r="43">
      <c r="C43" s="4"/>
      <c r="D43" s="4"/>
      <c r="E43" s="76"/>
      <c r="F43" s="53"/>
      <c r="G43" s="4"/>
      <c r="H43" s="4"/>
      <c r="I43" s="4"/>
      <c r="J43" s="4"/>
      <c r="K43" s="4"/>
      <c r="L43" s="53"/>
      <c r="P43" s="4"/>
      <c r="Q43" s="4"/>
      <c r="R43" s="4"/>
      <c r="S43" s="4"/>
      <c r="T43" s="4"/>
      <c r="U43" s="4"/>
      <c r="V43" s="4"/>
    </row>
    <row r="44">
      <c r="C44" s="4"/>
      <c r="D44" s="4"/>
      <c r="E44" s="76"/>
      <c r="F44" s="53"/>
      <c r="G44" s="4"/>
      <c r="H44" s="4"/>
      <c r="I44" s="4"/>
      <c r="J44" s="4"/>
      <c r="K44" s="4"/>
      <c r="L44" s="53"/>
      <c r="P44" s="4"/>
      <c r="Q44" s="4"/>
      <c r="R44" s="4"/>
      <c r="S44" s="4"/>
      <c r="T44" s="4"/>
      <c r="U44" s="4"/>
      <c r="V44" s="4"/>
    </row>
    <row r="45">
      <c r="C45" s="4"/>
      <c r="D45" s="4"/>
      <c r="E45" s="76"/>
      <c r="F45" s="53"/>
      <c r="G45" s="4"/>
      <c r="H45" s="4"/>
      <c r="I45" s="4"/>
      <c r="J45" s="4"/>
      <c r="K45" s="4"/>
      <c r="L45" s="53"/>
      <c r="P45" s="4"/>
      <c r="Q45" s="4"/>
      <c r="R45" s="4"/>
      <c r="S45" s="4"/>
      <c r="T45" s="4"/>
      <c r="U45" s="4"/>
      <c r="V45" s="4"/>
    </row>
    <row r="46">
      <c r="C46" s="4"/>
      <c r="D46" s="4"/>
      <c r="E46" s="76"/>
      <c r="F46" s="53"/>
      <c r="G46" s="4"/>
      <c r="H46" s="4"/>
      <c r="I46" s="4"/>
      <c r="J46" s="4"/>
      <c r="K46" s="4"/>
      <c r="L46" s="53"/>
      <c r="P46" s="4"/>
      <c r="Q46" s="4"/>
      <c r="R46" s="4"/>
      <c r="S46" s="4"/>
      <c r="T46" s="4"/>
      <c r="U46" s="4"/>
      <c r="V46" s="4"/>
    </row>
    <row r="47">
      <c r="C47" s="4"/>
      <c r="D47" s="4"/>
      <c r="E47" s="76"/>
      <c r="F47" s="53"/>
      <c r="G47" s="4"/>
      <c r="H47" s="4"/>
      <c r="I47" s="4"/>
      <c r="J47" s="4"/>
      <c r="K47" s="4"/>
      <c r="L47" s="53"/>
      <c r="P47" s="4"/>
      <c r="Q47" s="4"/>
      <c r="R47" s="4"/>
      <c r="S47" s="4"/>
      <c r="T47" s="4"/>
      <c r="U47" s="4"/>
      <c r="V47" s="4"/>
    </row>
    <row r="48">
      <c r="C48" s="4"/>
      <c r="D48" s="4"/>
      <c r="E48" s="76"/>
      <c r="F48" s="53"/>
      <c r="G48" s="4"/>
      <c r="H48" s="4"/>
      <c r="I48" s="4"/>
      <c r="J48" s="4"/>
      <c r="K48" s="4"/>
      <c r="L48" s="53"/>
      <c r="P48" s="4"/>
      <c r="Q48" s="4"/>
      <c r="R48" s="4"/>
      <c r="S48" s="4"/>
      <c r="T48" s="4"/>
      <c r="U48" s="4"/>
      <c r="V48" s="4"/>
    </row>
    <row r="49">
      <c r="C49" s="4"/>
      <c r="D49" s="4"/>
      <c r="E49" s="76"/>
      <c r="F49" s="53"/>
      <c r="G49" s="4"/>
      <c r="H49" s="4"/>
      <c r="I49" s="4"/>
      <c r="J49" s="4"/>
      <c r="K49" s="4"/>
      <c r="L49" s="53"/>
      <c r="P49" s="4"/>
      <c r="Q49" s="4"/>
      <c r="R49" s="4"/>
      <c r="S49" s="4"/>
      <c r="T49" s="4"/>
      <c r="U49" s="4"/>
      <c r="V49" s="4"/>
    </row>
    <row r="50">
      <c r="C50" s="4"/>
      <c r="D50" s="4"/>
      <c r="E50" s="76"/>
      <c r="F50" s="53"/>
      <c r="G50" s="4"/>
      <c r="H50" s="4"/>
      <c r="I50" s="4"/>
      <c r="J50" s="4"/>
      <c r="K50" s="4"/>
      <c r="L50" s="53"/>
      <c r="P50" s="4"/>
      <c r="Q50" s="4"/>
      <c r="R50" s="4"/>
      <c r="S50" s="4"/>
      <c r="T50" s="4"/>
      <c r="U50" s="4"/>
      <c r="V50" s="4"/>
    </row>
    <row r="51">
      <c r="C51" s="4"/>
      <c r="D51" s="4"/>
      <c r="E51" s="76"/>
      <c r="F51" s="53"/>
      <c r="G51" s="4"/>
      <c r="H51" s="4"/>
      <c r="I51" s="4"/>
      <c r="J51" s="4"/>
      <c r="K51" s="4"/>
      <c r="L51" s="53"/>
      <c r="P51" s="4"/>
      <c r="Q51" s="4"/>
      <c r="R51" s="4"/>
      <c r="S51" s="4"/>
      <c r="T51" s="4"/>
      <c r="U51" s="4"/>
      <c r="V51" s="4"/>
    </row>
    <row r="52">
      <c r="C52" s="4"/>
      <c r="D52" s="4"/>
      <c r="E52" s="76"/>
      <c r="F52" s="53"/>
      <c r="G52" s="4"/>
      <c r="H52" s="4"/>
      <c r="I52" s="4"/>
      <c r="J52" s="4"/>
      <c r="K52" s="4"/>
      <c r="L52" s="53"/>
      <c r="P52" s="4"/>
      <c r="Q52" s="4"/>
      <c r="R52" s="4"/>
      <c r="S52" s="4"/>
      <c r="T52" s="4"/>
      <c r="U52" s="4"/>
      <c r="V52" s="4"/>
    </row>
    <row r="53">
      <c r="C53" s="4"/>
      <c r="D53" s="4"/>
      <c r="E53" s="76"/>
      <c r="F53" s="53"/>
      <c r="G53" s="4"/>
      <c r="H53" s="4"/>
      <c r="I53" s="4"/>
      <c r="J53" s="4"/>
      <c r="K53" s="4"/>
      <c r="L53" s="53"/>
      <c r="P53" s="4"/>
      <c r="Q53" s="4"/>
      <c r="R53" s="4"/>
      <c r="S53" s="4"/>
      <c r="T53" s="4"/>
      <c r="U53" s="4"/>
      <c r="V53" s="4"/>
    </row>
    <row r="54">
      <c r="C54" s="4"/>
      <c r="D54" s="4"/>
      <c r="E54" s="76"/>
      <c r="F54" s="53"/>
      <c r="G54" s="4"/>
      <c r="H54" s="4"/>
      <c r="I54" s="4"/>
      <c r="J54" s="4"/>
      <c r="K54" s="4"/>
      <c r="L54" s="53"/>
      <c r="P54" s="4"/>
      <c r="Q54" s="4"/>
      <c r="R54" s="4"/>
      <c r="S54" s="4"/>
      <c r="T54" s="4"/>
      <c r="U54" s="4"/>
      <c r="V54" s="4"/>
    </row>
    <row r="55">
      <c r="C55" s="4"/>
      <c r="D55" s="4"/>
      <c r="E55" s="76"/>
      <c r="F55" s="53"/>
      <c r="G55" s="4"/>
      <c r="H55" s="4"/>
      <c r="I55" s="4"/>
      <c r="J55" s="4"/>
      <c r="K55" s="4"/>
      <c r="L55" s="53"/>
      <c r="P55" s="4"/>
      <c r="Q55" s="4"/>
      <c r="R55" s="4"/>
      <c r="S55" s="4"/>
      <c r="T55" s="4"/>
      <c r="U55" s="4"/>
      <c r="V55" s="4"/>
    </row>
    <row r="56">
      <c r="C56" s="4"/>
      <c r="D56" s="4"/>
      <c r="E56" s="76"/>
      <c r="F56" s="53"/>
      <c r="G56" s="4"/>
      <c r="H56" s="4"/>
      <c r="I56" s="4"/>
      <c r="J56" s="4"/>
      <c r="K56" s="4"/>
      <c r="L56" s="53"/>
      <c r="P56" s="4"/>
      <c r="Q56" s="4"/>
      <c r="R56" s="4"/>
      <c r="S56" s="4"/>
      <c r="T56" s="4"/>
      <c r="U56" s="4"/>
      <c r="V56" s="4"/>
    </row>
    <row r="57">
      <c r="C57" s="4"/>
      <c r="D57" s="4"/>
      <c r="E57" s="76"/>
      <c r="F57" s="53"/>
      <c r="G57" s="4"/>
      <c r="H57" s="4"/>
      <c r="I57" s="4"/>
      <c r="J57" s="4"/>
      <c r="K57" s="4"/>
      <c r="L57" s="53"/>
      <c r="P57" s="4"/>
      <c r="Q57" s="4"/>
      <c r="R57" s="4"/>
      <c r="S57" s="4"/>
      <c r="T57" s="4"/>
      <c r="U57" s="4"/>
      <c r="V57" s="4"/>
    </row>
    <row r="58">
      <c r="C58" s="4"/>
      <c r="D58" s="4"/>
      <c r="E58" s="76"/>
      <c r="F58" s="53"/>
      <c r="G58" s="4"/>
      <c r="H58" s="4"/>
      <c r="I58" s="4"/>
      <c r="J58" s="4"/>
      <c r="K58" s="4"/>
      <c r="L58" s="53"/>
      <c r="P58" s="4"/>
      <c r="Q58" s="4"/>
      <c r="R58" s="4"/>
      <c r="S58" s="4"/>
      <c r="T58" s="4"/>
      <c r="U58" s="4"/>
      <c r="V58" s="4"/>
    </row>
    <row r="59">
      <c r="C59" s="4"/>
      <c r="D59" s="4"/>
      <c r="E59" s="76"/>
      <c r="F59" s="53"/>
      <c r="G59" s="4"/>
      <c r="H59" s="4"/>
      <c r="I59" s="4"/>
      <c r="J59" s="4"/>
      <c r="K59" s="4"/>
      <c r="L59" s="53"/>
      <c r="P59" s="4"/>
      <c r="Q59" s="4"/>
      <c r="R59" s="4"/>
      <c r="S59" s="4"/>
      <c r="T59" s="4"/>
      <c r="U59" s="4"/>
      <c r="V59" s="4"/>
    </row>
    <row r="60">
      <c r="C60" s="4"/>
      <c r="D60" s="4"/>
      <c r="E60" s="76"/>
      <c r="F60" s="53"/>
      <c r="G60" s="4"/>
      <c r="H60" s="4"/>
      <c r="I60" s="4"/>
      <c r="J60" s="4"/>
      <c r="K60" s="4"/>
      <c r="L60" s="53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76"/>
      <c r="F61" s="53"/>
      <c r="G61" s="4"/>
      <c r="H61" s="4"/>
      <c r="I61" s="4"/>
      <c r="J61" s="4"/>
      <c r="K61" s="4"/>
      <c r="L61" s="53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76"/>
      <c r="F62" s="53"/>
      <c r="G62" s="4"/>
      <c r="H62" s="4"/>
      <c r="I62" s="4"/>
      <c r="J62" s="4"/>
      <c r="K62" s="4"/>
      <c r="L62" s="53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76"/>
      <c r="F63" s="53"/>
      <c r="G63" s="4"/>
      <c r="H63" s="4"/>
      <c r="I63" s="4"/>
      <c r="J63" s="4"/>
      <c r="K63" s="4"/>
      <c r="L63" s="53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76"/>
      <c r="F64" s="53"/>
      <c r="G64" s="4"/>
      <c r="H64" s="4"/>
      <c r="I64" s="4"/>
      <c r="J64" s="4"/>
      <c r="K64" s="4"/>
      <c r="L64" s="53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76"/>
      <c r="F65" s="53"/>
      <c r="G65" s="4"/>
      <c r="H65" s="4"/>
      <c r="I65" s="4"/>
      <c r="J65" s="4"/>
      <c r="K65" s="4"/>
      <c r="L65" s="53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76"/>
      <c r="F66" s="53"/>
      <c r="G66" s="4"/>
      <c r="H66" s="4"/>
      <c r="I66" s="4"/>
      <c r="J66" s="4"/>
      <c r="K66" s="4"/>
      <c r="L66" s="53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76"/>
      <c r="F67" s="53"/>
      <c r="G67" s="4"/>
      <c r="H67" s="4"/>
      <c r="I67" s="4"/>
      <c r="J67" s="4"/>
      <c r="K67" s="4"/>
      <c r="L67" s="53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76"/>
      <c r="F68" s="53"/>
      <c r="G68" s="4"/>
      <c r="H68" s="4"/>
      <c r="I68" s="4"/>
      <c r="J68" s="4"/>
      <c r="K68" s="4"/>
      <c r="L68" s="53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76"/>
      <c r="F69" s="53"/>
      <c r="G69" s="4"/>
      <c r="H69" s="4"/>
      <c r="I69" s="4"/>
      <c r="J69" s="4"/>
      <c r="K69" s="4"/>
      <c r="L69" s="53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76"/>
      <c r="F70" s="53"/>
      <c r="G70" s="4"/>
      <c r="H70" s="4"/>
      <c r="I70" s="4"/>
      <c r="J70" s="4"/>
      <c r="K70" s="4"/>
      <c r="L70" s="53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76"/>
      <c r="F71" s="53"/>
      <c r="G71" s="4"/>
      <c r="H71" s="4"/>
      <c r="I71" s="4"/>
      <c r="J71" s="4"/>
      <c r="K71" s="4"/>
      <c r="L71" s="53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76"/>
      <c r="F72" s="53"/>
      <c r="G72" s="4"/>
      <c r="H72" s="4"/>
      <c r="I72" s="4"/>
      <c r="J72" s="4"/>
      <c r="K72" s="4"/>
      <c r="L72" s="53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76"/>
      <c r="F73" s="53"/>
      <c r="G73" s="4"/>
      <c r="H73" s="4"/>
      <c r="I73" s="4"/>
      <c r="J73" s="4"/>
      <c r="K73" s="4"/>
      <c r="L73" s="53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76"/>
      <c r="F74" s="53"/>
      <c r="G74" s="4"/>
      <c r="H74" s="4"/>
      <c r="I74" s="4"/>
      <c r="J74" s="4"/>
      <c r="K74" s="4"/>
      <c r="L74" s="53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76"/>
      <c r="F75" s="53"/>
      <c r="G75" s="4"/>
      <c r="H75" s="4"/>
      <c r="I75" s="4"/>
      <c r="J75" s="4"/>
      <c r="K75" s="4"/>
      <c r="L75" s="53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76"/>
      <c r="F76" s="53"/>
      <c r="G76" s="4"/>
      <c r="H76" s="4"/>
      <c r="I76" s="4"/>
      <c r="J76" s="4"/>
      <c r="K76" s="4"/>
      <c r="L76" s="53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76"/>
      <c r="F77" s="53"/>
      <c r="G77" s="4"/>
      <c r="H77" s="4"/>
      <c r="I77" s="4"/>
      <c r="J77" s="4"/>
      <c r="K77" s="4"/>
      <c r="L77" s="53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76"/>
      <c r="F78" s="53"/>
      <c r="G78" s="4"/>
      <c r="H78" s="4"/>
      <c r="I78" s="4"/>
      <c r="J78" s="4"/>
      <c r="K78" s="4"/>
      <c r="L78" s="53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76"/>
      <c r="F79" s="53"/>
      <c r="G79" s="4"/>
      <c r="H79" s="4"/>
      <c r="I79" s="4"/>
      <c r="J79" s="4"/>
      <c r="K79" s="4"/>
      <c r="L79" s="53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76"/>
      <c r="F80" s="53"/>
      <c r="G80" s="4"/>
      <c r="H80" s="4"/>
      <c r="I80" s="4"/>
      <c r="J80" s="4"/>
      <c r="K80" s="4"/>
      <c r="L80" s="53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76"/>
      <c r="F81" s="53"/>
      <c r="G81" s="4"/>
      <c r="H81" s="4"/>
      <c r="I81" s="4"/>
      <c r="J81" s="4"/>
      <c r="K81" s="4"/>
      <c r="L81" s="53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76"/>
      <c r="F82" s="53"/>
      <c r="G82" s="4"/>
      <c r="H82" s="4"/>
      <c r="I82" s="4"/>
      <c r="J82" s="4"/>
      <c r="K82" s="4"/>
      <c r="L82" s="53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76"/>
      <c r="F83" s="53"/>
      <c r="G83" s="4"/>
      <c r="H83" s="4"/>
      <c r="I83" s="4"/>
      <c r="J83" s="4"/>
      <c r="K83" s="4"/>
      <c r="L83" s="53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76"/>
      <c r="F84" s="53"/>
      <c r="G84" s="4"/>
      <c r="H84" s="4"/>
      <c r="I84" s="4"/>
      <c r="J84" s="4"/>
      <c r="K84" s="4"/>
      <c r="L84" s="53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76"/>
      <c r="F85" s="53"/>
      <c r="G85" s="4"/>
      <c r="H85" s="4"/>
      <c r="I85" s="4"/>
      <c r="J85" s="4"/>
      <c r="K85" s="4"/>
      <c r="L85" s="53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76"/>
      <c r="F86" s="53"/>
      <c r="G86" s="4"/>
      <c r="H86" s="4"/>
      <c r="I86" s="4"/>
      <c r="J86" s="4"/>
      <c r="K86" s="4"/>
      <c r="L86" s="53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76"/>
      <c r="F87" s="53"/>
      <c r="G87" s="4"/>
      <c r="H87" s="4"/>
      <c r="I87" s="4"/>
      <c r="J87" s="4"/>
      <c r="K87" s="4"/>
      <c r="L87" s="53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76"/>
      <c r="F88" s="53"/>
      <c r="G88" s="4"/>
      <c r="H88" s="4"/>
      <c r="I88" s="4"/>
      <c r="J88" s="4"/>
      <c r="K88" s="4"/>
      <c r="L88" s="53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76"/>
      <c r="F89" s="53"/>
      <c r="G89" s="4"/>
      <c r="H89" s="4"/>
      <c r="I89" s="4"/>
      <c r="J89" s="4"/>
      <c r="K89" s="4"/>
      <c r="L89" s="53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76"/>
      <c r="F90" s="53"/>
      <c r="G90" s="4"/>
      <c r="H90" s="4"/>
      <c r="I90" s="4"/>
      <c r="J90" s="4"/>
      <c r="K90" s="4"/>
      <c r="L90" s="53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76"/>
      <c r="F91" s="53"/>
      <c r="G91" s="4"/>
      <c r="H91" s="4"/>
      <c r="I91" s="4"/>
      <c r="J91" s="4"/>
      <c r="K91" s="4"/>
      <c r="L91" s="53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76"/>
      <c r="F92" s="53"/>
      <c r="G92" s="4"/>
      <c r="H92" s="4"/>
      <c r="I92" s="4"/>
      <c r="J92" s="4"/>
      <c r="K92" s="4"/>
      <c r="L92" s="53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76"/>
      <c r="F93" s="53"/>
      <c r="G93" s="4"/>
      <c r="H93" s="4"/>
      <c r="I93" s="4"/>
      <c r="J93" s="4"/>
      <c r="K93" s="4"/>
      <c r="L93" s="53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76"/>
      <c r="F94" s="53"/>
      <c r="G94" s="4"/>
      <c r="H94" s="4"/>
      <c r="I94" s="4"/>
      <c r="J94" s="4"/>
      <c r="K94" s="4"/>
      <c r="L94" s="53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76"/>
      <c r="F95" s="53"/>
      <c r="G95" s="4"/>
      <c r="H95" s="4"/>
      <c r="I95" s="4"/>
      <c r="J95" s="4"/>
      <c r="K95" s="4"/>
      <c r="L95" s="53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76"/>
      <c r="F96" s="53"/>
      <c r="G96" s="4"/>
      <c r="H96" s="4"/>
      <c r="I96" s="4"/>
      <c r="J96" s="4"/>
      <c r="K96" s="4"/>
      <c r="L96" s="53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76"/>
      <c r="F97" s="53"/>
      <c r="G97" s="4"/>
      <c r="H97" s="4"/>
      <c r="I97" s="4"/>
      <c r="J97" s="4"/>
      <c r="K97" s="4"/>
      <c r="L97" s="53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76"/>
      <c r="F98" s="53"/>
      <c r="G98" s="4"/>
      <c r="H98" s="4"/>
      <c r="I98" s="4"/>
      <c r="J98" s="4"/>
      <c r="K98" s="4"/>
      <c r="L98" s="53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76"/>
      <c r="F99" s="53"/>
      <c r="G99" s="4"/>
      <c r="H99" s="4"/>
      <c r="I99" s="4"/>
      <c r="J99" s="4"/>
      <c r="K99" s="4"/>
      <c r="L99" s="53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76"/>
      <c r="F100" s="53"/>
      <c r="G100" s="4"/>
      <c r="H100" s="4"/>
      <c r="I100" s="4"/>
      <c r="J100" s="4"/>
      <c r="K100" s="4"/>
      <c r="L100" s="53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76"/>
      <c r="F101" s="53"/>
      <c r="G101" s="4"/>
      <c r="H101" s="4"/>
      <c r="I101" s="4"/>
      <c r="J101" s="4"/>
      <c r="K101" s="4"/>
      <c r="L101" s="53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76"/>
      <c r="F102" s="53"/>
      <c r="G102" s="4"/>
      <c r="H102" s="4"/>
      <c r="I102" s="4"/>
      <c r="J102" s="4"/>
      <c r="K102" s="4"/>
      <c r="L102" s="53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76"/>
      <c r="F103" s="53"/>
      <c r="G103" s="4"/>
      <c r="H103" s="4"/>
      <c r="I103" s="4"/>
      <c r="J103" s="4"/>
      <c r="K103" s="4"/>
      <c r="L103" s="53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76"/>
      <c r="F104" s="53"/>
      <c r="G104" s="4"/>
      <c r="H104" s="4"/>
      <c r="I104" s="4"/>
      <c r="J104" s="4"/>
      <c r="K104" s="4"/>
      <c r="L104" s="53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76"/>
      <c r="F105" s="53"/>
      <c r="G105" s="4"/>
      <c r="H105" s="4"/>
      <c r="I105" s="4"/>
      <c r="J105" s="4"/>
      <c r="K105" s="4"/>
      <c r="L105" s="53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76"/>
      <c r="F106" s="53"/>
      <c r="G106" s="4"/>
      <c r="H106" s="4"/>
      <c r="I106" s="4"/>
      <c r="J106" s="4"/>
      <c r="K106" s="4"/>
      <c r="L106" s="53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76"/>
      <c r="F107" s="53"/>
      <c r="G107" s="4"/>
      <c r="H107" s="4"/>
      <c r="I107" s="4"/>
      <c r="J107" s="4"/>
      <c r="K107" s="4"/>
      <c r="L107" s="53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76"/>
      <c r="F108" s="53"/>
      <c r="G108" s="4"/>
      <c r="H108" s="4"/>
      <c r="I108" s="4"/>
      <c r="J108" s="4"/>
      <c r="K108" s="4"/>
      <c r="L108" s="53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76"/>
      <c r="F109" s="53"/>
      <c r="G109" s="4"/>
      <c r="H109" s="4"/>
      <c r="I109" s="4"/>
      <c r="J109" s="4"/>
      <c r="K109" s="4"/>
      <c r="L109" s="53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76"/>
      <c r="F110" s="53"/>
      <c r="G110" s="4"/>
      <c r="H110" s="4"/>
      <c r="I110" s="4"/>
      <c r="J110" s="4"/>
      <c r="K110" s="4"/>
      <c r="L110" s="53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76"/>
      <c r="F111" s="53"/>
      <c r="G111" s="4"/>
      <c r="H111" s="4"/>
      <c r="I111" s="4"/>
      <c r="J111" s="4"/>
      <c r="K111" s="4"/>
      <c r="L111" s="53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76"/>
      <c r="F112" s="53"/>
      <c r="G112" s="4"/>
      <c r="H112" s="4"/>
      <c r="I112" s="4"/>
      <c r="J112" s="4"/>
      <c r="K112" s="4"/>
      <c r="L112" s="53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76"/>
      <c r="F113" s="53"/>
      <c r="G113" s="4"/>
      <c r="H113" s="4"/>
      <c r="I113" s="4"/>
      <c r="J113" s="4"/>
      <c r="K113" s="4"/>
      <c r="L113" s="53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76"/>
      <c r="F114" s="53"/>
      <c r="G114" s="4"/>
      <c r="H114" s="4"/>
      <c r="I114" s="4"/>
      <c r="J114" s="4"/>
      <c r="K114" s="4"/>
      <c r="L114" s="53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76"/>
      <c r="F115" s="53"/>
      <c r="G115" s="4"/>
      <c r="H115" s="4"/>
      <c r="I115" s="4"/>
      <c r="J115" s="4"/>
      <c r="K115" s="4"/>
      <c r="L115" s="53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76"/>
      <c r="F116" s="53"/>
      <c r="G116" s="4"/>
      <c r="H116" s="4"/>
      <c r="I116" s="4"/>
      <c r="J116" s="4"/>
      <c r="K116" s="4"/>
      <c r="L116" s="53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76"/>
      <c r="F117" s="53"/>
      <c r="G117" s="4"/>
      <c r="H117" s="4"/>
      <c r="I117" s="4"/>
      <c r="J117" s="4"/>
      <c r="K117" s="4"/>
      <c r="L117" s="53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76"/>
      <c r="F118" s="53"/>
      <c r="G118" s="4"/>
      <c r="H118" s="4"/>
      <c r="I118" s="4"/>
      <c r="J118" s="4"/>
      <c r="K118" s="4"/>
      <c r="L118" s="53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76"/>
      <c r="F119" s="53"/>
      <c r="G119" s="4"/>
      <c r="H119" s="4"/>
      <c r="I119" s="4"/>
      <c r="J119" s="4"/>
      <c r="K119" s="4"/>
      <c r="L119" s="53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76"/>
      <c r="F120" s="53"/>
      <c r="G120" s="4"/>
      <c r="H120" s="4"/>
      <c r="I120" s="4"/>
      <c r="J120" s="4"/>
      <c r="K120" s="4"/>
      <c r="L120" s="53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76"/>
      <c r="F121" s="53"/>
      <c r="G121" s="4"/>
      <c r="H121" s="4"/>
      <c r="I121" s="4"/>
      <c r="J121" s="4"/>
      <c r="K121" s="4"/>
      <c r="L121" s="53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76"/>
      <c r="F122" s="53"/>
      <c r="G122" s="4"/>
      <c r="H122" s="4"/>
      <c r="I122" s="4"/>
      <c r="J122" s="4"/>
      <c r="K122" s="4"/>
      <c r="L122" s="53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76"/>
      <c r="F123" s="53"/>
      <c r="G123" s="4"/>
      <c r="H123" s="4"/>
      <c r="I123" s="4"/>
      <c r="J123" s="4"/>
      <c r="K123" s="4"/>
      <c r="L123" s="53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76"/>
      <c r="F124" s="53"/>
      <c r="G124" s="4"/>
      <c r="H124" s="4"/>
      <c r="I124" s="4"/>
      <c r="J124" s="4"/>
      <c r="K124" s="4"/>
      <c r="L124" s="53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76"/>
      <c r="F125" s="53"/>
      <c r="G125" s="4"/>
      <c r="H125" s="4"/>
      <c r="I125" s="4"/>
      <c r="J125" s="4"/>
      <c r="K125" s="4"/>
      <c r="L125" s="53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76"/>
      <c r="F126" s="53"/>
      <c r="G126" s="4"/>
      <c r="H126" s="4"/>
      <c r="I126" s="4"/>
      <c r="J126" s="4"/>
      <c r="K126" s="4"/>
      <c r="L126" s="53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76"/>
      <c r="F127" s="53"/>
      <c r="G127" s="4"/>
      <c r="H127" s="4"/>
      <c r="I127" s="4"/>
      <c r="J127" s="4"/>
      <c r="K127" s="4"/>
      <c r="L127" s="53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76"/>
      <c r="F128" s="53"/>
      <c r="G128" s="4"/>
      <c r="H128" s="4"/>
      <c r="I128" s="4"/>
      <c r="J128" s="4"/>
      <c r="K128" s="4"/>
      <c r="L128" s="53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76"/>
      <c r="F129" s="53"/>
      <c r="G129" s="4"/>
      <c r="H129" s="4"/>
      <c r="I129" s="4"/>
      <c r="J129" s="4"/>
      <c r="K129" s="4"/>
      <c r="L129" s="53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76"/>
      <c r="F130" s="53"/>
      <c r="G130" s="4"/>
      <c r="H130" s="4"/>
      <c r="I130" s="4"/>
      <c r="J130" s="4"/>
      <c r="K130" s="4"/>
      <c r="L130" s="53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76"/>
      <c r="F131" s="53"/>
      <c r="G131" s="4"/>
      <c r="H131" s="4"/>
      <c r="I131" s="4"/>
      <c r="J131" s="4"/>
      <c r="K131" s="4"/>
      <c r="L131" s="53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76"/>
      <c r="F132" s="53"/>
      <c r="G132" s="4"/>
      <c r="H132" s="4"/>
      <c r="I132" s="4"/>
      <c r="J132" s="4"/>
      <c r="K132" s="4"/>
      <c r="L132" s="53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76"/>
      <c r="F133" s="53"/>
      <c r="G133" s="4"/>
      <c r="H133" s="4"/>
      <c r="I133" s="4"/>
      <c r="J133" s="4"/>
      <c r="K133" s="4"/>
      <c r="L133" s="53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76"/>
      <c r="F134" s="53"/>
      <c r="G134" s="4"/>
      <c r="H134" s="4"/>
      <c r="I134" s="4"/>
      <c r="J134" s="4"/>
      <c r="K134" s="4"/>
      <c r="L134" s="53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76"/>
      <c r="F135" s="53"/>
      <c r="G135" s="4"/>
      <c r="H135" s="4"/>
      <c r="I135" s="4"/>
      <c r="J135" s="4"/>
      <c r="K135" s="4"/>
      <c r="L135" s="53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76"/>
      <c r="F136" s="53"/>
      <c r="G136" s="4"/>
      <c r="H136" s="4"/>
      <c r="I136" s="4"/>
      <c r="J136" s="4"/>
      <c r="K136" s="4"/>
      <c r="L136" s="53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76"/>
      <c r="F137" s="53"/>
      <c r="G137" s="4"/>
      <c r="H137" s="4"/>
      <c r="I137" s="4"/>
      <c r="J137" s="4"/>
      <c r="K137" s="4"/>
      <c r="L137" s="53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76"/>
      <c r="F138" s="53"/>
      <c r="G138" s="4"/>
      <c r="H138" s="4"/>
      <c r="I138" s="4"/>
      <c r="J138" s="4"/>
      <c r="K138" s="4"/>
      <c r="L138" s="53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76"/>
      <c r="F139" s="53"/>
      <c r="G139" s="4"/>
      <c r="H139" s="4"/>
      <c r="I139" s="4"/>
      <c r="J139" s="4"/>
      <c r="K139" s="4"/>
      <c r="L139" s="53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76"/>
      <c r="F140" s="53"/>
      <c r="G140" s="4"/>
      <c r="H140" s="4"/>
      <c r="I140" s="4"/>
      <c r="J140" s="4"/>
      <c r="K140" s="4"/>
      <c r="L140" s="53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76"/>
      <c r="F141" s="53"/>
      <c r="G141" s="4"/>
      <c r="H141" s="4"/>
      <c r="I141" s="4"/>
      <c r="J141" s="4"/>
      <c r="K141" s="4"/>
      <c r="L141" s="53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76"/>
      <c r="F142" s="53"/>
      <c r="G142" s="4"/>
      <c r="H142" s="4"/>
      <c r="I142" s="4"/>
      <c r="J142" s="4"/>
      <c r="K142" s="4"/>
      <c r="L142" s="53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76"/>
      <c r="F143" s="53"/>
      <c r="G143" s="4"/>
      <c r="H143" s="4"/>
      <c r="I143" s="4"/>
      <c r="J143" s="4"/>
      <c r="K143" s="4"/>
      <c r="L143" s="53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76"/>
      <c r="F144" s="53"/>
      <c r="G144" s="4"/>
      <c r="H144" s="4"/>
      <c r="I144" s="4"/>
      <c r="J144" s="4"/>
      <c r="K144" s="4"/>
      <c r="L144" s="53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76"/>
      <c r="F145" s="53"/>
      <c r="G145" s="4"/>
      <c r="H145" s="4"/>
      <c r="I145" s="4"/>
      <c r="J145" s="4"/>
      <c r="K145" s="4"/>
      <c r="L145" s="53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76"/>
      <c r="F146" s="53"/>
      <c r="G146" s="4"/>
      <c r="H146" s="4"/>
      <c r="I146" s="4"/>
      <c r="J146" s="4"/>
      <c r="K146" s="4"/>
      <c r="L146" s="53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76"/>
      <c r="F147" s="53"/>
      <c r="G147" s="4"/>
      <c r="H147" s="4"/>
      <c r="I147" s="4"/>
      <c r="J147" s="4"/>
      <c r="K147" s="4"/>
      <c r="L147" s="53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76"/>
      <c r="F148" s="53"/>
      <c r="G148" s="4"/>
      <c r="H148" s="4"/>
      <c r="I148" s="4"/>
      <c r="J148" s="4"/>
      <c r="K148" s="4"/>
      <c r="L148" s="53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76"/>
      <c r="F149" s="53"/>
      <c r="G149" s="4"/>
      <c r="H149" s="4"/>
      <c r="I149" s="4"/>
      <c r="J149" s="4"/>
      <c r="K149" s="4"/>
      <c r="L149" s="53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76"/>
      <c r="F150" s="53"/>
      <c r="G150" s="4"/>
      <c r="H150" s="4"/>
      <c r="I150" s="4"/>
      <c r="J150" s="4"/>
      <c r="K150" s="4"/>
      <c r="L150" s="53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76"/>
      <c r="F151" s="53"/>
      <c r="G151" s="4"/>
      <c r="H151" s="4"/>
      <c r="I151" s="4"/>
      <c r="J151" s="4"/>
      <c r="K151" s="4"/>
      <c r="L151" s="53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76"/>
      <c r="F152" s="53"/>
      <c r="G152" s="4"/>
      <c r="H152" s="4"/>
      <c r="I152" s="4"/>
      <c r="J152" s="4"/>
      <c r="K152" s="4"/>
      <c r="L152" s="53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76"/>
      <c r="F153" s="53"/>
      <c r="G153" s="4"/>
      <c r="H153" s="4"/>
      <c r="I153" s="4"/>
      <c r="J153" s="4"/>
      <c r="K153" s="4"/>
      <c r="L153" s="53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76"/>
      <c r="F154" s="53"/>
      <c r="G154" s="4"/>
      <c r="H154" s="4"/>
      <c r="I154" s="4"/>
      <c r="J154" s="4"/>
      <c r="K154" s="4"/>
      <c r="L154" s="53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76"/>
      <c r="F155" s="53"/>
      <c r="G155" s="4"/>
      <c r="H155" s="4"/>
      <c r="I155" s="4"/>
      <c r="J155" s="4"/>
      <c r="K155" s="4"/>
      <c r="L155" s="53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76"/>
      <c r="F156" s="53"/>
      <c r="G156" s="4"/>
      <c r="H156" s="4"/>
      <c r="I156" s="4"/>
      <c r="J156" s="4"/>
      <c r="K156" s="4"/>
      <c r="L156" s="53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76"/>
      <c r="F157" s="53"/>
      <c r="G157" s="4"/>
      <c r="H157" s="4"/>
      <c r="I157" s="4"/>
      <c r="J157" s="4"/>
      <c r="K157" s="4"/>
      <c r="L157" s="53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76"/>
      <c r="F158" s="53"/>
      <c r="G158" s="4"/>
      <c r="H158" s="4"/>
      <c r="I158" s="4"/>
      <c r="J158" s="4"/>
      <c r="K158" s="4"/>
      <c r="L158" s="53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76"/>
      <c r="F159" s="53"/>
      <c r="G159" s="4"/>
      <c r="H159" s="4"/>
      <c r="I159" s="4"/>
      <c r="J159" s="4"/>
      <c r="K159" s="4"/>
      <c r="L159" s="53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76"/>
      <c r="F160" s="53"/>
      <c r="G160" s="4"/>
      <c r="H160" s="4"/>
      <c r="I160" s="4"/>
      <c r="J160" s="4"/>
      <c r="K160" s="4"/>
      <c r="L160" s="53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76"/>
      <c r="F161" s="53"/>
      <c r="G161" s="4"/>
      <c r="H161" s="4"/>
      <c r="I161" s="4"/>
      <c r="J161" s="4"/>
      <c r="K161" s="4"/>
      <c r="L161" s="53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76"/>
      <c r="F162" s="53"/>
      <c r="G162" s="4"/>
      <c r="H162" s="4"/>
      <c r="I162" s="4"/>
      <c r="J162" s="4"/>
      <c r="K162" s="4"/>
      <c r="L162" s="53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76"/>
      <c r="F163" s="53"/>
      <c r="G163" s="4"/>
      <c r="H163" s="4"/>
      <c r="I163" s="4"/>
      <c r="J163" s="4"/>
      <c r="K163" s="4"/>
      <c r="L163" s="53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76"/>
      <c r="F164" s="53"/>
      <c r="G164" s="4"/>
      <c r="H164" s="4"/>
      <c r="I164" s="4"/>
      <c r="J164" s="4"/>
      <c r="K164" s="4"/>
      <c r="L164" s="53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76"/>
      <c r="F165" s="53"/>
      <c r="G165" s="4"/>
      <c r="H165" s="4"/>
      <c r="I165" s="4"/>
      <c r="J165" s="4"/>
      <c r="K165" s="4"/>
      <c r="L165" s="53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76"/>
      <c r="F166" s="53"/>
      <c r="G166" s="4"/>
      <c r="H166" s="4"/>
      <c r="I166" s="4"/>
      <c r="J166" s="4"/>
      <c r="K166" s="4"/>
      <c r="L166" s="53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76"/>
      <c r="F167" s="53"/>
      <c r="G167" s="4"/>
      <c r="H167" s="4"/>
      <c r="I167" s="4"/>
      <c r="J167" s="4"/>
      <c r="K167" s="4"/>
      <c r="L167" s="53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76"/>
      <c r="F168" s="53"/>
      <c r="G168" s="4"/>
      <c r="H168" s="4"/>
      <c r="I168" s="4"/>
      <c r="J168" s="4"/>
      <c r="K168" s="4"/>
      <c r="L168" s="53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76"/>
      <c r="F169" s="53"/>
      <c r="G169" s="4"/>
      <c r="H169" s="4"/>
      <c r="I169" s="4"/>
      <c r="J169" s="4"/>
      <c r="K169" s="4"/>
      <c r="L169" s="53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76"/>
      <c r="F170" s="53"/>
      <c r="G170" s="4"/>
      <c r="H170" s="4"/>
      <c r="I170" s="4"/>
      <c r="J170" s="4"/>
      <c r="K170" s="4"/>
      <c r="L170" s="53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76"/>
      <c r="F171" s="53"/>
      <c r="G171" s="4"/>
      <c r="H171" s="4"/>
      <c r="I171" s="4"/>
      <c r="J171" s="4"/>
      <c r="K171" s="4"/>
      <c r="L171" s="53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76"/>
      <c r="F172" s="53"/>
      <c r="G172" s="4"/>
      <c r="H172" s="4"/>
      <c r="I172" s="4"/>
      <c r="J172" s="4"/>
      <c r="K172" s="4"/>
      <c r="L172" s="53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76"/>
      <c r="F173" s="53"/>
      <c r="G173" s="4"/>
      <c r="H173" s="4"/>
      <c r="I173" s="4"/>
      <c r="J173" s="4"/>
      <c r="K173" s="4"/>
      <c r="L173" s="53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76"/>
      <c r="F174" s="53"/>
      <c r="G174" s="4"/>
      <c r="H174" s="4"/>
      <c r="I174" s="4"/>
      <c r="J174" s="4"/>
      <c r="K174" s="4"/>
      <c r="L174" s="53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76"/>
      <c r="F175" s="53"/>
      <c r="G175" s="4"/>
      <c r="H175" s="4"/>
      <c r="I175" s="4"/>
      <c r="J175" s="4"/>
      <c r="K175" s="4"/>
      <c r="L175" s="53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76"/>
      <c r="F176" s="53"/>
      <c r="G176" s="4"/>
      <c r="H176" s="4"/>
      <c r="I176" s="4"/>
      <c r="J176" s="4"/>
      <c r="K176" s="4"/>
      <c r="L176" s="53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76"/>
      <c r="F177" s="53"/>
      <c r="G177" s="4"/>
      <c r="H177" s="4"/>
      <c r="I177" s="4"/>
      <c r="J177" s="4"/>
      <c r="K177" s="4"/>
      <c r="L177" s="53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76"/>
      <c r="F178" s="53"/>
      <c r="G178" s="4"/>
      <c r="H178" s="4"/>
      <c r="I178" s="4"/>
      <c r="J178" s="4"/>
      <c r="K178" s="4"/>
      <c r="L178" s="53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76"/>
      <c r="F179" s="53"/>
      <c r="G179" s="4"/>
      <c r="H179" s="4"/>
      <c r="I179" s="4"/>
      <c r="J179" s="4"/>
      <c r="K179" s="4"/>
      <c r="L179" s="53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76"/>
      <c r="F180" s="53"/>
      <c r="G180" s="4"/>
      <c r="H180" s="4"/>
      <c r="I180" s="4"/>
      <c r="J180" s="4"/>
      <c r="K180" s="4"/>
      <c r="L180" s="53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76"/>
      <c r="F181" s="53"/>
      <c r="G181" s="4"/>
      <c r="H181" s="4"/>
      <c r="I181" s="4"/>
      <c r="J181" s="4"/>
      <c r="K181" s="4"/>
      <c r="L181" s="53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76"/>
      <c r="F182" s="53"/>
      <c r="G182" s="4"/>
      <c r="H182" s="4"/>
      <c r="I182" s="4"/>
      <c r="J182" s="4"/>
      <c r="K182" s="4"/>
      <c r="L182" s="53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76"/>
      <c r="F183" s="53"/>
      <c r="G183" s="4"/>
      <c r="H183" s="4"/>
      <c r="I183" s="4"/>
      <c r="J183" s="4"/>
      <c r="K183" s="4"/>
      <c r="L183" s="53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76"/>
      <c r="F184" s="53"/>
      <c r="G184" s="4"/>
      <c r="H184" s="4"/>
      <c r="I184" s="4"/>
      <c r="J184" s="4"/>
      <c r="K184" s="4"/>
      <c r="L184" s="53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76"/>
      <c r="F185" s="53"/>
      <c r="G185" s="4"/>
      <c r="H185" s="4"/>
      <c r="I185" s="4"/>
      <c r="J185" s="4"/>
      <c r="K185" s="4"/>
      <c r="L185" s="53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76"/>
      <c r="F186" s="53"/>
      <c r="G186" s="4"/>
      <c r="H186" s="4"/>
      <c r="I186" s="4"/>
      <c r="J186" s="4"/>
      <c r="K186" s="4"/>
      <c r="L186" s="53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76"/>
      <c r="F187" s="53"/>
      <c r="G187" s="4"/>
      <c r="H187" s="4"/>
      <c r="I187" s="4"/>
      <c r="J187" s="4"/>
      <c r="K187" s="4"/>
      <c r="L187" s="53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76"/>
      <c r="F188" s="53"/>
      <c r="G188" s="4"/>
      <c r="H188" s="4"/>
      <c r="I188" s="4"/>
      <c r="J188" s="4"/>
      <c r="K188" s="4"/>
      <c r="L188" s="53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76"/>
      <c r="F189" s="53"/>
      <c r="G189" s="4"/>
      <c r="H189" s="4"/>
      <c r="I189" s="4"/>
      <c r="J189" s="4"/>
      <c r="K189" s="4"/>
      <c r="L189" s="53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76"/>
      <c r="F190" s="53"/>
      <c r="G190" s="4"/>
      <c r="H190" s="4"/>
      <c r="I190" s="4"/>
      <c r="J190" s="4"/>
      <c r="K190" s="4"/>
      <c r="L190" s="53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76"/>
      <c r="F191" s="53"/>
      <c r="G191" s="4"/>
      <c r="H191" s="4"/>
      <c r="I191" s="4"/>
      <c r="J191" s="4"/>
      <c r="K191" s="4"/>
      <c r="L191" s="53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76"/>
      <c r="F192" s="53"/>
      <c r="G192" s="4"/>
      <c r="H192" s="4"/>
      <c r="I192" s="4"/>
      <c r="J192" s="4"/>
      <c r="K192" s="4"/>
      <c r="L192" s="53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76"/>
      <c r="F193" s="53"/>
      <c r="G193" s="4"/>
      <c r="H193" s="4"/>
      <c r="I193" s="4"/>
      <c r="J193" s="4"/>
      <c r="K193" s="4"/>
      <c r="L193" s="53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76"/>
      <c r="F194" s="53"/>
      <c r="G194" s="4"/>
      <c r="H194" s="4"/>
      <c r="I194" s="4"/>
      <c r="J194" s="4"/>
      <c r="K194" s="4"/>
      <c r="L194" s="53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76"/>
      <c r="F195" s="53"/>
      <c r="G195" s="4"/>
      <c r="H195" s="4"/>
      <c r="I195" s="4"/>
      <c r="J195" s="4"/>
      <c r="K195" s="4"/>
      <c r="L195" s="53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76"/>
      <c r="F196" s="53"/>
      <c r="G196" s="4"/>
      <c r="H196" s="4"/>
      <c r="I196" s="4"/>
      <c r="J196" s="4"/>
      <c r="K196" s="4"/>
      <c r="L196" s="53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76"/>
      <c r="F197" s="53"/>
      <c r="G197" s="4"/>
      <c r="H197" s="4"/>
      <c r="I197" s="4"/>
      <c r="J197" s="4"/>
      <c r="K197" s="4"/>
      <c r="L197" s="53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76"/>
      <c r="F198" s="53"/>
      <c r="G198" s="4"/>
      <c r="H198" s="4"/>
      <c r="I198" s="4"/>
      <c r="J198" s="4"/>
      <c r="K198" s="4"/>
      <c r="L198" s="53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76"/>
      <c r="F199" s="53"/>
      <c r="G199" s="4"/>
      <c r="H199" s="4"/>
      <c r="I199" s="4"/>
      <c r="J199" s="4"/>
      <c r="K199" s="4"/>
      <c r="L199" s="53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76"/>
      <c r="F200" s="53"/>
      <c r="G200" s="4"/>
      <c r="H200" s="4"/>
      <c r="I200" s="4"/>
      <c r="J200" s="4"/>
      <c r="K200" s="4"/>
      <c r="L200" s="53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76"/>
      <c r="F201" s="53"/>
      <c r="G201" s="4"/>
      <c r="H201" s="4"/>
      <c r="I201" s="4"/>
      <c r="J201" s="4"/>
      <c r="K201" s="4"/>
      <c r="L201" s="53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76"/>
      <c r="F202" s="53"/>
      <c r="G202" s="4"/>
      <c r="H202" s="4"/>
      <c r="I202" s="4"/>
      <c r="J202" s="4"/>
      <c r="K202" s="4"/>
      <c r="L202" s="53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76"/>
      <c r="F203" s="53"/>
      <c r="G203" s="4"/>
      <c r="H203" s="4"/>
      <c r="I203" s="4"/>
      <c r="J203" s="4"/>
      <c r="K203" s="4"/>
      <c r="L203" s="53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76"/>
      <c r="F204" s="53"/>
      <c r="G204" s="4"/>
      <c r="H204" s="4"/>
      <c r="I204" s="4"/>
      <c r="J204" s="4"/>
      <c r="K204" s="4"/>
      <c r="L204" s="53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76"/>
      <c r="F205" s="53"/>
      <c r="G205" s="4"/>
      <c r="H205" s="4"/>
      <c r="I205" s="4"/>
      <c r="J205" s="4"/>
      <c r="K205" s="4"/>
      <c r="L205" s="53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76"/>
      <c r="F206" s="53"/>
      <c r="G206" s="4"/>
      <c r="H206" s="4"/>
      <c r="I206" s="4"/>
      <c r="J206" s="4"/>
      <c r="K206" s="4"/>
      <c r="L206" s="53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76"/>
      <c r="F207" s="53"/>
      <c r="G207" s="4"/>
      <c r="H207" s="4"/>
      <c r="I207" s="4"/>
      <c r="J207" s="4"/>
      <c r="K207" s="4"/>
      <c r="L207" s="53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76"/>
      <c r="F208" s="53"/>
      <c r="G208" s="4"/>
      <c r="H208" s="4"/>
      <c r="I208" s="4"/>
      <c r="J208" s="4"/>
      <c r="K208" s="4"/>
      <c r="L208" s="53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76"/>
      <c r="F209" s="53"/>
      <c r="G209" s="4"/>
      <c r="H209" s="4"/>
      <c r="I209" s="4"/>
      <c r="J209" s="4"/>
      <c r="K209" s="4"/>
      <c r="L209" s="53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76"/>
      <c r="F210" s="53"/>
      <c r="G210" s="4"/>
      <c r="H210" s="4"/>
      <c r="I210" s="4"/>
      <c r="J210" s="4"/>
      <c r="K210" s="4"/>
      <c r="L210" s="53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76"/>
      <c r="F211" s="53"/>
      <c r="G211" s="4"/>
      <c r="H211" s="4"/>
      <c r="I211" s="4"/>
      <c r="J211" s="4"/>
      <c r="K211" s="4"/>
      <c r="L211" s="53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76"/>
      <c r="F212" s="53"/>
      <c r="G212" s="4"/>
      <c r="H212" s="4"/>
      <c r="I212" s="4"/>
      <c r="J212" s="4"/>
      <c r="K212" s="4"/>
      <c r="L212" s="53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76"/>
      <c r="F213" s="53"/>
      <c r="G213" s="4"/>
      <c r="H213" s="4"/>
      <c r="I213" s="4"/>
      <c r="J213" s="4"/>
      <c r="K213" s="4"/>
      <c r="L213" s="53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76"/>
      <c r="F214" s="53"/>
      <c r="G214" s="4"/>
      <c r="H214" s="4"/>
      <c r="I214" s="4"/>
      <c r="J214" s="4"/>
      <c r="K214" s="4"/>
      <c r="L214" s="53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76"/>
      <c r="F215" s="53"/>
      <c r="G215" s="4"/>
      <c r="H215" s="4"/>
      <c r="I215" s="4"/>
      <c r="J215" s="4"/>
      <c r="K215" s="4"/>
      <c r="L215" s="53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76"/>
      <c r="F216" s="53"/>
      <c r="G216" s="4"/>
      <c r="H216" s="4"/>
      <c r="I216" s="4"/>
      <c r="J216" s="4"/>
      <c r="K216" s="4"/>
      <c r="L216" s="53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76"/>
      <c r="F217" s="53"/>
      <c r="G217" s="4"/>
      <c r="H217" s="4"/>
      <c r="I217" s="4"/>
      <c r="J217" s="4"/>
      <c r="K217" s="4"/>
      <c r="L217" s="53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76"/>
      <c r="F218" s="53"/>
      <c r="G218" s="4"/>
      <c r="H218" s="4"/>
      <c r="I218" s="4"/>
      <c r="J218" s="4"/>
      <c r="K218" s="4"/>
      <c r="L218" s="53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76"/>
      <c r="F219" s="53"/>
      <c r="G219" s="4"/>
      <c r="H219" s="4"/>
      <c r="I219" s="4"/>
      <c r="J219" s="4"/>
      <c r="K219" s="4"/>
      <c r="L219" s="53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76"/>
      <c r="F220" s="53"/>
      <c r="G220" s="4"/>
      <c r="H220" s="4"/>
      <c r="I220" s="4"/>
      <c r="J220" s="4"/>
      <c r="K220" s="4"/>
      <c r="L220" s="53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76"/>
      <c r="F221" s="53"/>
      <c r="G221" s="4"/>
      <c r="H221" s="4"/>
      <c r="I221" s="4"/>
      <c r="J221" s="4"/>
      <c r="K221" s="4"/>
      <c r="L221" s="53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76"/>
      <c r="F222" s="53"/>
      <c r="G222" s="4"/>
      <c r="H222" s="4"/>
      <c r="I222" s="4"/>
      <c r="J222" s="4"/>
      <c r="K222" s="4"/>
      <c r="L222" s="53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76"/>
      <c r="F223" s="53"/>
      <c r="G223" s="4"/>
      <c r="H223" s="4"/>
      <c r="I223" s="4"/>
      <c r="J223" s="4"/>
      <c r="K223" s="4"/>
      <c r="L223" s="53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76"/>
      <c r="F224" s="53"/>
      <c r="G224" s="4"/>
      <c r="H224" s="4"/>
      <c r="I224" s="4"/>
      <c r="J224" s="4"/>
      <c r="K224" s="4"/>
      <c r="L224" s="53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76"/>
      <c r="F225" s="53"/>
      <c r="G225" s="4"/>
      <c r="H225" s="4"/>
      <c r="I225" s="4"/>
      <c r="J225" s="4"/>
      <c r="K225" s="4"/>
      <c r="L225" s="53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76"/>
      <c r="F226" s="53"/>
      <c r="G226" s="4"/>
      <c r="H226" s="4"/>
      <c r="I226" s="4"/>
      <c r="J226" s="4"/>
      <c r="K226" s="4"/>
      <c r="L226" s="53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76"/>
      <c r="F227" s="53"/>
      <c r="G227" s="4"/>
      <c r="H227" s="4"/>
      <c r="I227" s="4"/>
      <c r="J227" s="4"/>
      <c r="K227" s="4"/>
      <c r="L227" s="53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76"/>
      <c r="F228" s="53"/>
      <c r="G228" s="4"/>
      <c r="H228" s="4"/>
      <c r="I228" s="4"/>
      <c r="J228" s="4"/>
      <c r="K228" s="4"/>
      <c r="L228" s="53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76"/>
      <c r="F229" s="53"/>
      <c r="G229" s="4"/>
      <c r="H229" s="4"/>
      <c r="I229" s="4"/>
      <c r="J229" s="4"/>
      <c r="K229" s="4"/>
      <c r="L229" s="53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76"/>
      <c r="F230" s="53"/>
      <c r="G230" s="4"/>
      <c r="H230" s="4"/>
      <c r="I230" s="4"/>
      <c r="J230" s="4"/>
      <c r="K230" s="4"/>
      <c r="L230" s="53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76"/>
      <c r="F231" s="53"/>
      <c r="G231" s="4"/>
      <c r="H231" s="4"/>
      <c r="I231" s="4"/>
      <c r="J231" s="4"/>
      <c r="K231" s="4"/>
      <c r="L231" s="53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76"/>
      <c r="F232" s="53"/>
      <c r="G232" s="4"/>
      <c r="H232" s="4"/>
      <c r="I232" s="4"/>
      <c r="J232" s="4"/>
      <c r="K232" s="4"/>
      <c r="L232" s="53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76"/>
      <c r="F233" s="53"/>
      <c r="G233" s="4"/>
      <c r="H233" s="4"/>
      <c r="I233" s="4"/>
      <c r="J233" s="4"/>
      <c r="K233" s="4"/>
      <c r="L233" s="53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76"/>
      <c r="F234" s="53"/>
      <c r="G234" s="4"/>
      <c r="H234" s="4"/>
      <c r="I234" s="4"/>
      <c r="J234" s="4"/>
      <c r="K234" s="4"/>
      <c r="L234" s="53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76"/>
      <c r="F235" s="53"/>
      <c r="G235" s="4"/>
      <c r="H235" s="4"/>
      <c r="I235" s="4"/>
      <c r="J235" s="4"/>
      <c r="K235" s="4"/>
      <c r="L235" s="53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76"/>
      <c r="F236" s="53"/>
      <c r="G236" s="4"/>
      <c r="H236" s="4"/>
      <c r="I236" s="4"/>
      <c r="J236" s="4"/>
      <c r="K236" s="4"/>
      <c r="L236" s="53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76"/>
      <c r="F237" s="53"/>
      <c r="G237" s="4"/>
      <c r="H237" s="4"/>
      <c r="I237" s="4"/>
      <c r="J237" s="4"/>
      <c r="K237" s="4"/>
      <c r="L237" s="53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76"/>
      <c r="F238" s="53"/>
      <c r="G238" s="4"/>
      <c r="H238" s="4"/>
      <c r="I238" s="4"/>
      <c r="J238" s="4"/>
      <c r="K238" s="4"/>
      <c r="L238" s="53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76"/>
      <c r="F239" s="53"/>
      <c r="G239" s="4"/>
      <c r="H239" s="4"/>
      <c r="I239" s="4"/>
      <c r="J239" s="4"/>
      <c r="K239" s="4"/>
      <c r="L239" s="53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76"/>
      <c r="F240" s="53"/>
      <c r="G240" s="4"/>
      <c r="H240" s="4"/>
      <c r="I240" s="4"/>
      <c r="J240" s="4"/>
      <c r="K240" s="4"/>
      <c r="L240" s="53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76"/>
      <c r="F241" s="53"/>
      <c r="G241" s="4"/>
      <c r="H241" s="4"/>
      <c r="I241" s="4"/>
      <c r="J241" s="4"/>
      <c r="K241" s="4"/>
      <c r="L241" s="53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76"/>
      <c r="F242" s="53"/>
      <c r="G242" s="4"/>
      <c r="H242" s="4"/>
      <c r="I242" s="4"/>
      <c r="J242" s="4"/>
      <c r="K242" s="4"/>
      <c r="L242" s="53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76"/>
      <c r="F243" s="53"/>
      <c r="G243" s="4"/>
      <c r="H243" s="4"/>
      <c r="I243" s="4"/>
      <c r="J243" s="4"/>
      <c r="K243" s="4"/>
      <c r="L243" s="53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76"/>
      <c r="F244" s="53"/>
      <c r="G244" s="4"/>
      <c r="H244" s="4"/>
      <c r="I244" s="4"/>
      <c r="J244" s="4"/>
      <c r="K244" s="4"/>
      <c r="L244" s="53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76"/>
      <c r="F245" s="53"/>
      <c r="G245" s="4"/>
      <c r="H245" s="4"/>
      <c r="I245" s="4"/>
      <c r="J245" s="4"/>
      <c r="K245" s="4"/>
      <c r="L245" s="53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76"/>
      <c r="F246" s="53"/>
      <c r="G246" s="4"/>
      <c r="H246" s="4"/>
      <c r="I246" s="4"/>
      <c r="J246" s="4"/>
      <c r="K246" s="4"/>
      <c r="L246" s="53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76"/>
      <c r="F247" s="53"/>
      <c r="G247" s="4"/>
      <c r="H247" s="4"/>
      <c r="I247" s="4"/>
      <c r="J247" s="4"/>
      <c r="K247" s="4"/>
      <c r="L247" s="53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76"/>
      <c r="F248" s="53"/>
      <c r="G248" s="4"/>
      <c r="H248" s="4"/>
      <c r="I248" s="4"/>
      <c r="J248" s="4"/>
      <c r="K248" s="4"/>
      <c r="L248" s="53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76"/>
      <c r="F249" s="53"/>
      <c r="G249" s="4"/>
      <c r="H249" s="4"/>
      <c r="I249" s="4"/>
      <c r="J249" s="4"/>
      <c r="K249" s="4"/>
      <c r="L249" s="53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76"/>
      <c r="F250" s="53"/>
      <c r="G250" s="4"/>
      <c r="H250" s="4"/>
      <c r="I250" s="4"/>
      <c r="J250" s="4"/>
      <c r="K250" s="4"/>
      <c r="L250" s="53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76"/>
      <c r="F251" s="53"/>
      <c r="G251" s="4"/>
      <c r="H251" s="4"/>
      <c r="I251" s="4"/>
      <c r="J251" s="4"/>
      <c r="K251" s="4"/>
      <c r="L251" s="53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76"/>
      <c r="F252" s="53"/>
      <c r="G252" s="4"/>
      <c r="H252" s="4"/>
      <c r="I252" s="4"/>
      <c r="J252" s="4"/>
      <c r="K252" s="4"/>
      <c r="L252" s="53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76"/>
      <c r="F253" s="53"/>
      <c r="G253" s="4"/>
      <c r="H253" s="4"/>
      <c r="I253" s="4"/>
      <c r="J253" s="4"/>
      <c r="K253" s="4"/>
      <c r="L253" s="53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76"/>
      <c r="F254" s="53"/>
      <c r="G254" s="4"/>
      <c r="H254" s="4"/>
      <c r="I254" s="4"/>
      <c r="J254" s="4"/>
      <c r="K254" s="4"/>
      <c r="L254" s="53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76"/>
      <c r="F255" s="53"/>
      <c r="G255" s="4"/>
      <c r="H255" s="4"/>
      <c r="I255" s="4"/>
      <c r="J255" s="4"/>
      <c r="K255" s="4"/>
      <c r="L255" s="53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76"/>
      <c r="F256" s="53"/>
      <c r="G256" s="4"/>
      <c r="H256" s="4"/>
      <c r="I256" s="4"/>
      <c r="J256" s="4"/>
      <c r="K256" s="4"/>
      <c r="L256" s="53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76"/>
      <c r="F257" s="53"/>
      <c r="G257" s="4"/>
      <c r="H257" s="4"/>
      <c r="I257" s="4"/>
      <c r="J257" s="4"/>
      <c r="K257" s="4"/>
      <c r="L257" s="53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76"/>
      <c r="F258" s="53"/>
      <c r="G258" s="4"/>
      <c r="H258" s="4"/>
      <c r="I258" s="4"/>
      <c r="J258" s="4"/>
      <c r="K258" s="4"/>
      <c r="L258" s="53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76"/>
      <c r="F259" s="53"/>
      <c r="G259" s="4"/>
      <c r="H259" s="4"/>
      <c r="I259" s="4"/>
      <c r="J259" s="4"/>
      <c r="K259" s="4"/>
      <c r="L259" s="53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76"/>
      <c r="F260" s="53"/>
      <c r="G260" s="4"/>
      <c r="H260" s="4"/>
      <c r="I260" s="4"/>
      <c r="J260" s="4"/>
      <c r="K260" s="4"/>
      <c r="L260" s="53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76"/>
      <c r="F261" s="53"/>
      <c r="G261" s="4"/>
      <c r="H261" s="4"/>
      <c r="I261" s="4"/>
      <c r="J261" s="4"/>
      <c r="K261" s="4"/>
      <c r="L261" s="53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76"/>
      <c r="F262" s="53"/>
      <c r="G262" s="4"/>
      <c r="H262" s="4"/>
      <c r="I262" s="4"/>
      <c r="J262" s="4"/>
      <c r="K262" s="4"/>
      <c r="L262" s="53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76"/>
      <c r="F263" s="53"/>
      <c r="G263" s="4"/>
      <c r="H263" s="4"/>
      <c r="I263" s="4"/>
      <c r="J263" s="4"/>
      <c r="K263" s="4"/>
      <c r="L263" s="53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76"/>
      <c r="F264" s="53"/>
      <c r="G264" s="4"/>
      <c r="H264" s="4"/>
      <c r="I264" s="4"/>
      <c r="J264" s="4"/>
      <c r="K264" s="4"/>
      <c r="L264" s="53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76"/>
      <c r="F265" s="53"/>
      <c r="G265" s="4"/>
      <c r="H265" s="4"/>
      <c r="I265" s="4"/>
      <c r="J265" s="4"/>
      <c r="K265" s="4"/>
      <c r="L265" s="53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76"/>
      <c r="F266" s="53"/>
      <c r="G266" s="4"/>
      <c r="H266" s="4"/>
      <c r="I266" s="4"/>
      <c r="J266" s="4"/>
      <c r="K266" s="4"/>
      <c r="L266" s="53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76"/>
      <c r="F267" s="53"/>
      <c r="G267" s="4"/>
      <c r="H267" s="4"/>
      <c r="I267" s="4"/>
      <c r="J267" s="4"/>
      <c r="K267" s="4"/>
      <c r="L267" s="53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76"/>
      <c r="F268" s="53"/>
      <c r="G268" s="4"/>
      <c r="H268" s="4"/>
      <c r="I268" s="4"/>
      <c r="J268" s="4"/>
      <c r="K268" s="4"/>
      <c r="L268" s="53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76"/>
      <c r="F269" s="53"/>
      <c r="G269" s="4"/>
      <c r="H269" s="4"/>
      <c r="I269" s="4"/>
      <c r="J269" s="4"/>
      <c r="K269" s="4"/>
      <c r="L269" s="53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76"/>
      <c r="F270" s="53"/>
      <c r="G270" s="4"/>
      <c r="H270" s="4"/>
      <c r="I270" s="4"/>
      <c r="J270" s="4"/>
      <c r="K270" s="4"/>
      <c r="L270" s="53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76"/>
      <c r="F271" s="53"/>
      <c r="G271" s="4"/>
      <c r="H271" s="4"/>
      <c r="I271" s="4"/>
      <c r="J271" s="4"/>
      <c r="K271" s="4"/>
      <c r="L271" s="53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76"/>
      <c r="F272" s="53"/>
      <c r="G272" s="4"/>
      <c r="H272" s="4"/>
      <c r="I272" s="4"/>
      <c r="J272" s="4"/>
      <c r="K272" s="4"/>
      <c r="L272" s="53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76"/>
      <c r="F273" s="53"/>
      <c r="G273" s="4"/>
      <c r="H273" s="4"/>
      <c r="I273" s="4"/>
      <c r="J273" s="4"/>
      <c r="K273" s="4"/>
      <c r="L273" s="53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76"/>
      <c r="F274" s="53"/>
      <c r="G274" s="4"/>
      <c r="H274" s="4"/>
      <c r="I274" s="4"/>
      <c r="J274" s="4"/>
      <c r="K274" s="4"/>
      <c r="L274" s="53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76"/>
      <c r="F275" s="53"/>
      <c r="G275" s="4"/>
      <c r="H275" s="4"/>
      <c r="I275" s="4"/>
      <c r="J275" s="4"/>
      <c r="K275" s="4"/>
      <c r="L275" s="53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76"/>
      <c r="F276" s="53"/>
      <c r="G276" s="4"/>
      <c r="H276" s="4"/>
      <c r="I276" s="4"/>
      <c r="J276" s="4"/>
      <c r="K276" s="4"/>
      <c r="L276" s="53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76"/>
      <c r="F277" s="53"/>
      <c r="G277" s="4"/>
      <c r="H277" s="4"/>
      <c r="I277" s="4"/>
      <c r="J277" s="4"/>
      <c r="K277" s="4"/>
      <c r="L277" s="53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76"/>
      <c r="F278" s="53"/>
      <c r="G278" s="4"/>
      <c r="H278" s="4"/>
      <c r="I278" s="4"/>
      <c r="J278" s="4"/>
      <c r="K278" s="4"/>
      <c r="L278" s="53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76"/>
      <c r="F279" s="53"/>
      <c r="G279" s="4"/>
      <c r="H279" s="4"/>
      <c r="I279" s="4"/>
      <c r="J279" s="4"/>
      <c r="K279" s="4"/>
      <c r="L279" s="53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76"/>
      <c r="F280" s="53"/>
      <c r="G280" s="4"/>
      <c r="H280" s="4"/>
      <c r="I280" s="4"/>
      <c r="J280" s="4"/>
      <c r="K280" s="4"/>
      <c r="L280" s="53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76"/>
      <c r="F281" s="53"/>
      <c r="G281" s="4"/>
      <c r="H281" s="4"/>
      <c r="I281" s="4"/>
      <c r="J281" s="4"/>
      <c r="K281" s="4"/>
      <c r="L281" s="53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76"/>
      <c r="F282" s="53"/>
      <c r="G282" s="4"/>
      <c r="H282" s="4"/>
      <c r="I282" s="4"/>
      <c r="J282" s="4"/>
      <c r="K282" s="4"/>
      <c r="L282" s="53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76"/>
      <c r="F283" s="53"/>
      <c r="G283" s="4"/>
      <c r="H283" s="4"/>
      <c r="I283" s="4"/>
      <c r="J283" s="4"/>
      <c r="K283" s="4"/>
      <c r="L283" s="53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76"/>
      <c r="F284" s="53"/>
      <c r="G284" s="4"/>
      <c r="H284" s="4"/>
      <c r="I284" s="4"/>
      <c r="J284" s="4"/>
      <c r="K284" s="4"/>
      <c r="L284" s="53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76"/>
      <c r="F285" s="53"/>
      <c r="G285" s="4"/>
      <c r="H285" s="4"/>
      <c r="I285" s="4"/>
      <c r="J285" s="4"/>
      <c r="K285" s="4"/>
      <c r="L285" s="53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76"/>
      <c r="F286" s="53"/>
      <c r="G286" s="4"/>
      <c r="H286" s="4"/>
      <c r="I286" s="4"/>
      <c r="J286" s="4"/>
      <c r="K286" s="4"/>
      <c r="L286" s="53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76"/>
      <c r="F287" s="53"/>
      <c r="G287" s="4"/>
      <c r="H287" s="4"/>
      <c r="I287" s="4"/>
      <c r="J287" s="4"/>
      <c r="K287" s="4"/>
      <c r="L287" s="53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76"/>
      <c r="F288" s="53"/>
      <c r="G288" s="4"/>
      <c r="H288" s="4"/>
      <c r="I288" s="4"/>
      <c r="J288" s="4"/>
      <c r="K288" s="4"/>
      <c r="L288" s="53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76"/>
      <c r="F289" s="53"/>
      <c r="G289" s="4"/>
      <c r="H289" s="4"/>
      <c r="I289" s="4"/>
      <c r="J289" s="4"/>
      <c r="K289" s="4"/>
      <c r="L289" s="53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76"/>
      <c r="F290" s="53"/>
      <c r="G290" s="4"/>
      <c r="H290" s="4"/>
      <c r="I290" s="4"/>
      <c r="J290" s="4"/>
      <c r="K290" s="4"/>
      <c r="L290" s="53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76"/>
      <c r="F291" s="53"/>
      <c r="G291" s="4"/>
      <c r="H291" s="4"/>
      <c r="I291" s="4"/>
      <c r="J291" s="4"/>
      <c r="K291" s="4"/>
      <c r="L291" s="53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76"/>
      <c r="F292" s="53"/>
      <c r="G292" s="4"/>
      <c r="H292" s="4"/>
      <c r="I292" s="4"/>
      <c r="J292" s="4"/>
      <c r="K292" s="4"/>
      <c r="L292" s="53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76"/>
      <c r="F293" s="53"/>
      <c r="G293" s="4"/>
      <c r="H293" s="4"/>
      <c r="I293" s="4"/>
      <c r="J293" s="4"/>
      <c r="K293" s="4"/>
      <c r="L293" s="53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76"/>
      <c r="F294" s="53"/>
      <c r="G294" s="4"/>
      <c r="H294" s="4"/>
      <c r="I294" s="4"/>
      <c r="J294" s="4"/>
      <c r="K294" s="4"/>
      <c r="L294" s="53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76"/>
      <c r="F295" s="53"/>
      <c r="G295" s="4"/>
      <c r="H295" s="4"/>
      <c r="I295" s="4"/>
      <c r="J295" s="4"/>
      <c r="K295" s="4"/>
      <c r="L295" s="53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76"/>
      <c r="F296" s="53"/>
      <c r="G296" s="4"/>
      <c r="H296" s="4"/>
      <c r="I296" s="4"/>
      <c r="J296" s="4"/>
      <c r="K296" s="4"/>
      <c r="L296" s="53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76"/>
      <c r="F297" s="53"/>
      <c r="G297" s="4"/>
      <c r="H297" s="4"/>
      <c r="I297" s="4"/>
      <c r="J297" s="4"/>
      <c r="K297" s="4"/>
      <c r="L297" s="53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76"/>
      <c r="F298" s="53"/>
      <c r="G298" s="4"/>
      <c r="H298" s="4"/>
      <c r="I298" s="4"/>
      <c r="J298" s="4"/>
      <c r="K298" s="4"/>
      <c r="L298" s="53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76"/>
      <c r="F299" s="53"/>
      <c r="G299" s="4"/>
      <c r="H299" s="4"/>
      <c r="I299" s="4"/>
      <c r="J299" s="4"/>
      <c r="K299" s="4"/>
      <c r="L299" s="53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76"/>
      <c r="F300" s="53"/>
      <c r="G300" s="4"/>
      <c r="H300" s="4"/>
      <c r="I300" s="4"/>
      <c r="J300" s="4"/>
      <c r="K300" s="4"/>
      <c r="L300" s="53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76"/>
      <c r="F301" s="53"/>
      <c r="G301" s="4"/>
      <c r="H301" s="4"/>
      <c r="I301" s="4"/>
      <c r="J301" s="4"/>
      <c r="K301" s="4"/>
      <c r="L301" s="53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76"/>
      <c r="F302" s="53"/>
      <c r="G302" s="4"/>
      <c r="H302" s="4"/>
      <c r="I302" s="4"/>
      <c r="J302" s="4"/>
      <c r="K302" s="4"/>
      <c r="L302" s="53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76"/>
      <c r="F303" s="53"/>
      <c r="G303" s="4"/>
      <c r="H303" s="4"/>
      <c r="I303" s="4"/>
      <c r="J303" s="4"/>
      <c r="K303" s="4"/>
      <c r="L303" s="53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76"/>
      <c r="F304" s="53"/>
      <c r="G304" s="4"/>
      <c r="H304" s="4"/>
      <c r="I304" s="4"/>
      <c r="J304" s="4"/>
      <c r="K304" s="4"/>
      <c r="L304" s="53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76"/>
      <c r="F305" s="53"/>
      <c r="G305" s="4"/>
      <c r="H305" s="4"/>
      <c r="I305" s="4"/>
      <c r="J305" s="4"/>
      <c r="K305" s="4"/>
      <c r="L305" s="53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76"/>
      <c r="F306" s="53"/>
      <c r="G306" s="4"/>
      <c r="H306" s="4"/>
      <c r="I306" s="4"/>
      <c r="J306" s="4"/>
      <c r="K306" s="4"/>
      <c r="L306" s="53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76"/>
      <c r="F307" s="53"/>
      <c r="G307" s="4"/>
      <c r="H307" s="4"/>
      <c r="I307" s="4"/>
      <c r="J307" s="4"/>
      <c r="K307" s="4"/>
      <c r="L307" s="53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76"/>
      <c r="F308" s="53"/>
      <c r="G308" s="4"/>
      <c r="H308" s="4"/>
      <c r="I308" s="4"/>
      <c r="J308" s="4"/>
      <c r="K308" s="4"/>
      <c r="L308" s="53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76"/>
      <c r="F309" s="53"/>
      <c r="G309" s="4"/>
      <c r="H309" s="4"/>
      <c r="I309" s="4"/>
      <c r="J309" s="4"/>
      <c r="K309" s="4"/>
      <c r="L309" s="53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76"/>
      <c r="F310" s="53"/>
      <c r="G310" s="4"/>
      <c r="H310" s="4"/>
      <c r="I310" s="4"/>
      <c r="J310" s="4"/>
      <c r="K310" s="4"/>
      <c r="L310" s="53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76"/>
      <c r="F311" s="53"/>
      <c r="G311" s="4"/>
      <c r="H311" s="4"/>
      <c r="I311" s="4"/>
      <c r="J311" s="4"/>
      <c r="K311" s="4"/>
      <c r="L311" s="53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76"/>
      <c r="F312" s="53"/>
      <c r="G312" s="4"/>
      <c r="H312" s="4"/>
      <c r="I312" s="4"/>
      <c r="J312" s="4"/>
      <c r="K312" s="4"/>
      <c r="L312" s="53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76"/>
      <c r="F313" s="53"/>
      <c r="G313" s="4"/>
      <c r="H313" s="4"/>
      <c r="I313" s="4"/>
      <c r="J313" s="4"/>
      <c r="K313" s="4"/>
      <c r="L313" s="53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76"/>
      <c r="F314" s="53"/>
      <c r="G314" s="4"/>
      <c r="H314" s="4"/>
      <c r="I314" s="4"/>
      <c r="J314" s="4"/>
      <c r="K314" s="4"/>
      <c r="L314" s="53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76"/>
      <c r="F315" s="53"/>
      <c r="G315" s="4"/>
      <c r="H315" s="4"/>
      <c r="I315" s="4"/>
      <c r="J315" s="4"/>
      <c r="K315" s="4"/>
      <c r="L315" s="53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76"/>
      <c r="F316" s="53"/>
      <c r="G316" s="4"/>
      <c r="H316" s="4"/>
      <c r="I316" s="4"/>
      <c r="J316" s="4"/>
      <c r="K316" s="4"/>
      <c r="L316" s="53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76"/>
      <c r="F317" s="53"/>
      <c r="G317" s="4"/>
      <c r="H317" s="4"/>
      <c r="I317" s="4"/>
      <c r="J317" s="4"/>
      <c r="K317" s="4"/>
      <c r="L317" s="53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76"/>
      <c r="F318" s="53"/>
      <c r="G318" s="4"/>
      <c r="H318" s="4"/>
      <c r="I318" s="4"/>
      <c r="J318" s="4"/>
      <c r="K318" s="4"/>
      <c r="L318" s="53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76"/>
      <c r="F319" s="53"/>
      <c r="G319" s="4"/>
      <c r="H319" s="4"/>
      <c r="I319" s="4"/>
      <c r="J319" s="4"/>
      <c r="K319" s="4"/>
      <c r="L319" s="53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76"/>
      <c r="F320" s="53"/>
      <c r="G320" s="4"/>
      <c r="H320" s="4"/>
      <c r="I320" s="4"/>
      <c r="J320" s="4"/>
      <c r="K320" s="4"/>
      <c r="L320" s="53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76"/>
      <c r="F321" s="53"/>
      <c r="G321" s="4"/>
      <c r="H321" s="4"/>
      <c r="I321" s="4"/>
      <c r="J321" s="4"/>
      <c r="K321" s="4"/>
      <c r="L321" s="53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76"/>
      <c r="F322" s="53"/>
      <c r="G322" s="4"/>
      <c r="H322" s="4"/>
      <c r="I322" s="4"/>
      <c r="J322" s="4"/>
      <c r="K322" s="4"/>
      <c r="L322" s="53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76"/>
      <c r="F323" s="53"/>
      <c r="G323" s="4"/>
      <c r="H323" s="4"/>
      <c r="I323" s="4"/>
      <c r="J323" s="4"/>
      <c r="K323" s="4"/>
      <c r="L323" s="53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76"/>
      <c r="F324" s="53"/>
      <c r="G324" s="4"/>
      <c r="H324" s="4"/>
      <c r="I324" s="4"/>
      <c r="J324" s="4"/>
      <c r="K324" s="4"/>
      <c r="L324" s="53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76"/>
      <c r="F325" s="53"/>
      <c r="G325" s="4"/>
      <c r="H325" s="4"/>
      <c r="I325" s="4"/>
      <c r="J325" s="4"/>
      <c r="K325" s="4"/>
      <c r="L325" s="53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76"/>
      <c r="F326" s="53"/>
      <c r="G326" s="4"/>
      <c r="H326" s="4"/>
      <c r="I326" s="4"/>
      <c r="J326" s="4"/>
      <c r="K326" s="4"/>
      <c r="L326" s="53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76"/>
      <c r="F327" s="53"/>
      <c r="G327" s="4"/>
      <c r="H327" s="4"/>
      <c r="I327" s="4"/>
      <c r="J327" s="4"/>
      <c r="K327" s="4"/>
      <c r="L327" s="53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76"/>
      <c r="F328" s="53"/>
      <c r="G328" s="4"/>
      <c r="H328" s="4"/>
      <c r="I328" s="4"/>
      <c r="J328" s="4"/>
      <c r="K328" s="4"/>
      <c r="L328" s="53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76"/>
      <c r="F329" s="53"/>
      <c r="G329" s="4"/>
      <c r="H329" s="4"/>
      <c r="I329" s="4"/>
      <c r="J329" s="4"/>
      <c r="K329" s="4"/>
      <c r="L329" s="53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76"/>
      <c r="F330" s="53"/>
      <c r="G330" s="4"/>
      <c r="H330" s="4"/>
      <c r="I330" s="4"/>
      <c r="J330" s="4"/>
      <c r="K330" s="4"/>
      <c r="L330" s="53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76"/>
      <c r="F331" s="53"/>
      <c r="G331" s="4"/>
      <c r="H331" s="4"/>
      <c r="I331" s="4"/>
      <c r="J331" s="4"/>
      <c r="K331" s="4"/>
      <c r="L331" s="53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76"/>
      <c r="F332" s="53"/>
      <c r="G332" s="4"/>
      <c r="H332" s="4"/>
      <c r="I332" s="4"/>
      <c r="J332" s="4"/>
      <c r="K332" s="4"/>
      <c r="L332" s="53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76"/>
      <c r="F333" s="53"/>
      <c r="G333" s="4"/>
      <c r="H333" s="4"/>
      <c r="I333" s="4"/>
      <c r="J333" s="4"/>
      <c r="K333" s="4"/>
      <c r="L333" s="53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76"/>
      <c r="F334" s="53"/>
      <c r="G334" s="4"/>
      <c r="H334" s="4"/>
      <c r="I334" s="4"/>
      <c r="J334" s="4"/>
      <c r="K334" s="4"/>
      <c r="L334" s="53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76"/>
      <c r="F335" s="53"/>
      <c r="G335" s="4"/>
      <c r="H335" s="4"/>
      <c r="I335" s="4"/>
      <c r="J335" s="4"/>
      <c r="K335" s="4"/>
      <c r="L335" s="53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76"/>
      <c r="F336" s="53"/>
      <c r="G336" s="4"/>
      <c r="H336" s="4"/>
      <c r="I336" s="4"/>
      <c r="J336" s="4"/>
      <c r="K336" s="4"/>
      <c r="L336" s="53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76"/>
      <c r="F337" s="53"/>
      <c r="G337" s="4"/>
      <c r="H337" s="4"/>
      <c r="I337" s="4"/>
      <c r="J337" s="4"/>
      <c r="K337" s="4"/>
      <c r="L337" s="53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76"/>
      <c r="F338" s="53"/>
      <c r="G338" s="4"/>
      <c r="H338" s="4"/>
      <c r="I338" s="4"/>
      <c r="J338" s="4"/>
      <c r="K338" s="4"/>
      <c r="L338" s="53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76"/>
      <c r="F339" s="53"/>
      <c r="G339" s="4"/>
      <c r="H339" s="4"/>
      <c r="I339" s="4"/>
      <c r="J339" s="4"/>
      <c r="K339" s="4"/>
      <c r="L339" s="53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76"/>
      <c r="F340" s="53"/>
      <c r="G340" s="4"/>
      <c r="H340" s="4"/>
      <c r="I340" s="4"/>
      <c r="J340" s="4"/>
      <c r="K340" s="4"/>
      <c r="L340" s="53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76"/>
      <c r="F341" s="53"/>
      <c r="G341" s="4"/>
      <c r="H341" s="4"/>
      <c r="I341" s="4"/>
      <c r="J341" s="4"/>
      <c r="K341" s="4"/>
      <c r="L341" s="53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76"/>
      <c r="F342" s="53"/>
      <c r="G342" s="4"/>
      <c r="H342" s="4"/>
      <c r="I342" s="4"/>
      <c r="J342" s="4"/>
      <c r="K342" s="4"/>
      <c r="L342" s="53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76"/>
      <c r="F343" s="53"/>
      <c r="G343" s="4"/>
      <c r="H343" s="4"/>
      <c r="I343" s="4"/>
      <c r="J343" s="4"/>
      <c r="K343" s="4"/>
      <c r="L343" s="53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76"/>
      <c r="F344" s="53"/>
      <c r="G344" s="4"/>
      <c r="H344" s="4"/>
      <c r="I344" s="4"/>
      <c r="J344" s="4"/>
      <c r="K344" s="4"/>
      <c r="L344" s="53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76"/>
      <c r="F345" s="53"/>
      <c r="G345" s="4"/>
      <c r="H345" s="4"/>
      <c r="I345" s="4"/>
      <c r="J345" s="4"/>
      <c r="K345" s="4"/>
      <c r="L345" s="53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76"/>
      <c r="F346" s="53"/>
      <c r="G346" s="4"/>
      <c r="H346" s="4"/>
      <c r="I346" s="4"/>
      <c r="J346" s="4"/>
      <c r="K346" s="4"/>
      <c r="L346" s="53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76"/>
      <c r="F347" s="53"/>
      <c r="G347" s="4"/>
      <c r="H347" s="4"/>
      <c r="I347" s="4"/>
      <c r="J347" s="4"/>
      <c r="K347" s="4"/>
      <c r="L347" s="53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76"/>
      <c r="F348" s="53"/>
      <c r="G348" s="4"/>
      <c r="H348" s="4"/>
      <c r="I348" s="4"/>
      <c r="J348" s="4"/>
      <c r="K348" s="4"/>
      <c r="L348" s="53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76"/>
      <c r="F349" s="53"/>
      <c r="G349" s="4"/>
      <c r="H349" s="4"/>
      <c r="I349" s="4"/>
      <c r="J349" s="4"/>
      <c r="K349" s="4"/>
      <c r="L349" s="53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76"/>
      <c r="F350" s="53"/>
      <c r="G350" s="4"/>
      <c r="H350" s="4"/>
      <c r="I350" s="4"/>
      <c r="J350" s="4"/>
      <c r="K350" s="4"/>
      <c r="L350" s="53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76"/>
      <c r="F351" s="53"/>
      <c r="G351" s="4"/>
      <c r="H351" s="4"/>
      <c r="I351" s="4"/>
      <c r="J351" s="4"/>
      <c r="K351" s="4"/>
      <c r="L351" s="53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76"/>
      <c r="F352" s="53"/>
      <c r="G352" s="4"/>
      <c r="H352" s="4"/>
      <c r="I352" s="4"/>
      <c r="J352" s="4"/>
      <c r="K352" s="4"/>
      <c r="L352" s="53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76"/>
      <c r="F353" s="53"/>
      <c r="G353" s="4"/>
      <c r="H353" s="4"/>
      <c r="I353" s="4"/>
      <c r="J353" s="4"/>
      <c r="K353" s="4"/>
      <c r="L353" s="53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76"/>
      <c r="F354" s="53"/>
      <c r="G354" s="4"/>
      <c r="H354" s="4"/>
      <c r="I354" s="4"/>
      <c r="J354" s="4"/>
      <c r="K354" s="4"/>
      <c r="L354" s="53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76"/>
      <c r="F355" s="53"/>
      <c r="G355" s="4"/>
      <c r="H355" s="4"/>
      <c r="I355" s="4"/>
      <c r="J355" s="4"/>
      <c r="K355" s="4"/>
      <c r="L355" s="53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76"/>
      <c r="F356" s="53"/>
      <c r="G356" s="4"/>
      <c r="H356" s="4"/>
      <c r="I356" s="4"/>
      <c r="J356" s="4"/>
      <c r="K356" s="4"/>
      <c r="L356" s="53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76"/>
      <c r="F357" s="53"/>
      <c r="G357" s="4"/>
      <c r="H357" s="4"/>
      <c r="I357" s="4"/>
      <c r="J357" s="4"/>
      <c r="K357" s="4"/>
      <c r="L357" s="53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76"/>
      <c r="F358" s="53"/>
      <c r="G358" s="4"/>
      <c r="H358" s="4"/>
      <c r="I358" s="4"/>
      <c r="J358" s="4"/>
      <c r="K358" s="4"/>
      <c r="L358" s="53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76"/>
      <c r="F359" s="53"/>
      <c r="G359" s="4"/>
      <c r="H359" s="4"/>
      <c r="I359" s="4"/>
      <c r="J359" s="4"/>
      <c r="K359" s="4"/>
      <c r="L359" s="53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76"/>
      <c r="F360" s="53"/>
      <c r="G360" s="4"/>
      <c r="H360" s="4"/>
      <c r="I360" s="4"/>
      <c r="J360" s="4"/>
      <c r="K360" s="4"/>
      <c r="L360" s="53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76"/>
      <c r="F361" s="53"/>
      <c r="G361" s="4"/>
      <c r="H361" s="4"/>
      <c r="I361" s="4"/>
      <c r="J361" s="4"/>
      <c r="K361" s="4"/>
      <c r="L361" s="53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76"/>
      <c r="F362" s="53"/>
      <c r="G362" s="4"/>
      <c r="H362" s="4"/>
      <c r="I362" s="4"/>
      <c r="J362" s="4"/>
      <c r="K362" s="4"/>
      <c r="L362" s="53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76"/>
      <c r="F363" s="53"/>
      <c r="G363" s="4"/>
      <c r="H363" s="4"/>
      <c r="I363" s="4"/>
      <c r="J363" s="4"/>
      <c r="K363" s="4"/>
      <c r="L363" s="53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76"/>
      <c r="F364" s="53"/>
      <c r="G364" s="4"/>
      <c r="H364" s="4"/>
      <c r="I364" s="4"/>
      <c r="J364" s="4"/>
      <c r="K364" s="4"/>
      <c r="L364" s="53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76"/>
      <c r="F365" s="53"/>
      <c r="G365" s="4"/>
      <c r="H365" s="4"/>
      <c r="I365" s="4"/>
      <c r="J365" s="4"/>
      <c r="K365" s="4"/>
      <c r="L365" s="53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76"/>
      <c r="F366" s="53"/>
      <c r="G366" s="4"/>
      <c r="H366" s="4"/>
      <c r="I366" s="4"/>
      <c r="J366" s="4"/>
      <c r="K366" s="4"/>
      <c r="L366" s="53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76"/>
      <c r="F367" s="53"/>
      <c r="G367" s="4"/>
      <c r="H367" s="4"/>
      <c r="I367" s="4"/>
      <c r="J367" s="4"/>
      <c r="K367" s="4"/>
      <c r="L367" s="53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76"/>
      <c r="F368" s="53"/>
      <c r="G368" s="4"/>
      <c r="H368" s="4"/>
      <c r="I368" s="4"/>
      <c r="J368" s="4"/>
      <c r="K368" s="4"/>
      <c r="L368" s="53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76"/>
      <c r="F369" s="53"/>
      <c r="G369" s="4"/>
      <c r="H369" s="4"/>
      <c r="I369" s="4"/>
      <c r="J369" s="4"/>
      <c r="K369" s="4"/>
      <c r="L369" s="53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76"/>
      <c r="F370" s="53"/>
      <c r="G370" s="4"/>
      <c r="H370" s="4"/>
      <c r="I370" s="4"/>
      <c r="J370" s="4"/>
      <c r="K370" s="4"/>
      <c r="L370" s="53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76"/>
      <c r="F371" s="53"/>
      <c r="G371" s="4"/>
      <c r="H371" s="4"/>
      <c r="I371" s="4"/>
      <c r="J371" s="4"/>
      <c r="K371" s="4"/>
      <c r="L371" s="53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76"/>
      <c r="F372" s="53"/>
      <c r="G372" s="4"/>
      <c r="H372" s="4"/>
      <c r="I372" s="4"/>
      <c r="J372" s="4"/>
      <c r="K372" s="4"/>
      <c r="L372" s="53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76"/>
      <c r="F373" s="53"/>
      <c r="G373" s="4"/>
      <c r="H373" s="4"/>
      <c r="I373" s="4"/>
      <c r="J373" s="4"/>
      <c r="K373" s="4"/>
      <c r="L373" s="53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76"/>
      <c r="F374" s="53"/>
      <c r="G374" s="4"/>
      <c r="H374" s="4"/>
      <c r="I374" s="4"/>
      <c r="J374" s="4"/>
      <c r="K374" s="4"/>
      <c r="L374" s="53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76"/>
      <c r="F375" s="53"/>
      <c r="G375" s="4"/>
      <c r="H375" s="4"/>
      <c r="I375" s="4"/>
      <c r="J375" s="4"/>
      <c r="K375" s="4"/>
      <c r="L375" s="53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76"/>
      <c r="F376" s="53"/>
      <c r="G376" s="4"/>
      <c r="H376" s="4"/>
      <c r="I376" s="4"/>
      <c r="J376" s="4"/>
      <c r="K376" s="4"/>
      <c r="L376" s="53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76"/>
      <c r="F377" s="53"/>
      <c r="G377" s="4"/>
      <c r="H377" s="4"/>
      <c r="I377" s="4"/>
      <c r="J377" s="4"/>
      <c r="K377" s="4"/>
      <c r="L377" s="53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76"/>
      <c r="F378" s="53"/>
      <c r="G378" s="4"/>
      <c r="H378" s="4"/>
      <c r="I378" s="4"/>
      <c r="J378" s="4"/>
      <c r="K378" s="4"/>
      <c r="L378" s="53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76"/>
      <c r="F379" s="53"/>
      <c r="G379" s="4"/>
      <c r="H379" s="4"/>
      <c r="I379" s="4"/>
      <c r="J379" s="4"/>
      <c r="K379" s="4"/>
      <c r="L379" s="53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76"/>
      <c r="F380" s="53"/>
      <c r="G380" s="4"/>
      <c r="H380" s="4"/>
      <c r="I380" s="4"/>
      <c r="J380" s="4"/>
      <c r="K380" s="4"/>
      <c r="L380" s="53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76"/>
      <c r="F381" s="53"/>
      <c r="G381" s="4"/>
      <c r="H381" s="4"/>
      <c r="I381" s="4"/>
      <c r="J381" s="4"/>
      <c r="K381" s="4"/>
      <c r="L381" s="53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76"/>
      <c r="F382" s="53"/>
      <c r="G382" s="4"/>
      <c r="H382" s="4"/>
      <c r="I382" s="4"/>
      <c r="J382" s="4"/>
      <c r="K382" s="4"/>
      <c r="L382" s="53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76"/>
      <c r="F383" s="53"/>
      <c r="G383" s="4"/>
      <c r="H383" s="4"/>
      <c r="I383" s="4"/>
      <c r="J383" s="4"/>
      <c r="K383" s="4"/>
      <c r="L383" s="53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76"/>
      <c r="F384" s="53"/>
      <c r="G384" s="4"/>
      <c r="H384" s="4"/>
      <c r="I384" s="4"/>
      <c r="J384" s="4"/>
      <c r="K384" s="4"/>
      <c r="L384" s="53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76"/>
      <c r="F385" s="53"/>
      <c r="G385" s="4"/>
      <c r="H385" s="4"/>
      <c r="I385" s="4"/>
      <c r="J385" s="4"/>
      <c r="K385" s="4"/>
      <c r="L385" s="53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76"/>
      <c r="F386" s="53"/>
      <c r="G386" s="4"/>
      <c r="H386" s="4"/>
      <c r="I386" s="4"/>
      <c r="J386" s="4"/>
      <c r="K386" s="4"/>
      <c r="L386" s="53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76"/>
      <c r="F387" s="53"/>
      <c r="G387" s="4"/>
      <c r="H387" s="4"/>
      <c r="I387" s="4"/>
      <c r="J387" s="4"/>
      <c r="K387" s="4"/>
      <c r="L387" s="53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76"/>
      <c r="F388" s="53"/>
      <c r="G388" s="4"/>
      <c r="H388" s="4"/>
      <c r="I388" s="4"/>
      <c r="J388" s="4"/>
      <c r="K388" s="4"/>
      <c r="L388" s="53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76"/>
      <c r="F389" s="53"/>
      <c r="G389" s="4"/>
      <c r="H389" s="4"/>
      <c r="I389" s="4"/>
      <c r="J389" s="4"/>
      <c r="K389" s="4"/>
      <c r="L389" s="53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76"/>
      <c r="F390" s="53"/>
      <c r="G390" s="4"/>
      <c r="H390" s="4"/>
      <c r="I390" s="4"/>
      <c r="J390" s="4"/>
      <c r="K390" s="4"/>
      <c r="L390" s="53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76"/>
      <c r="F391" s="53"/>
      <c r="G391" s="4"/>
      <c r="H391" s="4"/>
      <c r="I391" s="4"/>
      <c r="J391" s="4"/>
      <c r="K391" s="4"/>
      <c r="L391" s="53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76"/>
      <c r="F392" s="53"/>
      <c r="G392" s="4"/>
      <c r="H392" s="4"/>
      <c r="I392" s="4"/>
      <c r="J392" s="4"/>
      <c r="K392" s="4"/>
      <c r="L392" s="53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76"/>
      <c r="F393" s="53"/>
      <c r="G393" s="4"/>
      <c r="H393" s="4"/>
      <c r="I393" s="4"/>
      <c r="J393" s="4"/>
      <c r="K393" s="4"/>
      <c r="L393" s="53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76"/>
      <c r="F394" s="53"/>
      <c r="G394" s="4"/>
      <c r="H394" s="4"/>
      <c r="I394" s="4"/>
      <c r="J394" s="4"/>
      <c r="K394" s="4"/>
      <c r="L394" s="53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76"/>
      <c r="F395" s="53"/>
      <c r="G395" s="4"/>
      <c r="H395" s="4"/>
      <c r="I395" s="4"/>
      <c r="J395" s="4"/>
      <c r="K395" s="4"/>
      <c r="L395" s="53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76"/>
      <c r="F396" s="53"/>
      <c r="G396" s="4"/>
      <c r="H396" s="4"/>
      <c r="I396" s="4"/>
      <c r="J396" s="4"/>
      <c r="K396" s="4"/>
      <c r="L396" s="53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76"/>
      <c r="F397" s="53"/>
      <c r="G397" s="4"/>
      <c r="H397" s="4"/>
      <c r="I397" s="4"/>
      <c r="J397" s="4"/>
      <c r="K397" s="4"/>
      <c r="L397" s="53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76"/>
      <c r="F398" s="53"/>
      <c r="G398" s="4"/>
      <c r="H398" s="4"/>
      <c r="I398" s="4"/>
      <c r="J398" s="4"/>
      <c r="K398" s="4"/>
      <c r="L398" s="53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76"/>
      <c r="F399" s="53"/>
      <c r="G399" s="4"/>
      <c r="H399" s="4"/>
      <c r="I399" s="4"/>
      <c r="J399" s="4"/>
      <c r="K399" s="4"/>
      <c r="L399" s="53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76"/>
      <c r="F400" s="53"/>
      <c r="G400" s="4"/>
      <c r="H400" s="4"/>
      <c r="I400" s="4"/>
      <c r="J400" s="4"/>
      <c r="K400" s="4"/>
      <c r="L400" s="53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76"/>
      <c r="F401" s="53"/>
      <c r="G401" s="4"/>
      <c r="H401" s="4"/>
      <c r="I401" s="4"/>
      <c r="J401" s="4"/>
      <c r="K401" s="4"/>
      <c r="L401" s="53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76"/>
      <c r="F402" s="53"/>
      <c r="G402" s="4"/>
      <c r="H402" s="4"/>
      <c r="I402" s="4"/>
      <c r="J402" s="4"/>
      <c r="K402" s="4"/>
      <c r="L402" s="53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76"/>
      <c r="F403" s="53"/>
      <c r="G403" s="4"/>
      <c r="H403" s="4"/>
      <c r="I403" s="4"/>
      <c r="J403" s="4"/>
      <c r="K403" s="4"/>
      <c r="L403" s="53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76"/>
      <c r="F404" s="53"/>
      <c r="G404" s="4"/>
      <c r="H404" s="4"/>
      <c r="I404" s="4"/>
      <c r="J404" s="4"/>
      <c r="K404" s="4"/>
      <c r="L404" s="53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76"/>
      <c r="F405" s="53"/>
      <c r="G405" s="4"/>
      <c r="H405" s="4"/>
      <c r="I405" s="4"/>
      <c r="J405" s="4"/>
      <c r="K405" s="4"/>
      <c r="L405" s="53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76"/>
      <c r="F406" s="53"/>
      <c r="G406" s="4"/>
      <c r="H406" s="4"/>
      <c r="I406" s="4"/>
      <c r="J406" s="4"/>
      <c r="K406" s="4"/>
      <c r="L406" s="53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76"/>
      <c r="F407" s="53"/>
      <c r="G407" s="4"/>
      <c r="H407" s="4"/>
      <c r="I407" s="4"/>
      <c r="J407" s="4"/>
      <c r="K407" s="4"/>
      <c r="L407" s="53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76"/>
      <c r="F408" s="53"/>
      <c r="G408" s="4"/>
      <c r="H408" s="4"/>
      <c r="I408" s="4"/>
      <c r="J408" s="4"/>
      <c r="K408" s="4"/>
      <c r="L408" s="53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76"/>
      <c r="F409" s="53"/>
      <c r="G409" s="4"/>
      <c r="H409" s="4"/>
      <c r="I409" s="4"/>
      <c r="J409" s="4"/>
      <c r="K409" s="4"/>
      <c r="L409" s="53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76"/>
      <c r="F410" s="53"/>
      <c r="G410" s="4"/>
      <c r="H410" s="4"/>
      <c r="I410" s="4"/>
      <c r="J410" s="4"/>
      <c r="K410" s="4"/>
      <c r="L410" s="53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76"/>
      <c r="F411" s="53"/>
      <c r="G411" s="4"/>
      <c r="H411" s="4"/>
      <c r="I411" s="4"/>
      <c r="J411" s="4"/>
      <c r="K411" s="4"/>
      <c r="L411" s="53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76"/>
      <c r="F412" s="53"/>
      <c r="G412" s="4"/>
      <c r="H412" s="4"/>
      <c r="I412" s="4"/>
      <c r="J412" s="4"/>
      <c r="K412" s="4"/>
      <c r="L412" s="53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76"/>
      <c r="F413" s="53"/>
      <c r="G413" s="4"/>
      <c r="H413" s="4"/>
      <c r="I413" s="4"/>
      <c r="J413" s="4"/>
      <c r="K413" s="4"/>
      <c r="L413" s="53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76"/>
      <c r="F414" s="53"/>
      <c r="G414" s="4"/>
      <c r="H414" s="4"/>
      <c r="I414" s="4"/>
      <c r="J414" s="4"/>
      <c r="K414" s="4"/>
      <c r="L414" s="53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76"/>
      <c r="F415" s="53"/>
      <c r="G415" s="4"/>
      <c r="H415" s="4"/>
      <c r="I415" s="4"/>
      <c r="J415" s="4"/>
      <c r="K415" s="4"/>
      <c r="L415" s="53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76"/>
      <c r="F416" s="53"/>
      <c r="G416" s="4"/>
      <c r="H416" s="4"/>
      <c r="I416" s="4"/>
      <c r="J416" s="4"/>
      <c r="K416" s="4"/>
      <c r="L416" s="53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76"/>
      <c r="F417" s="53"/>
      <c r="G417" s="4"/>
      <c r="H417" s="4"/>
      <c r="I417" s="4"/>
      <c r="J417" s="4"/>
      <c r="K417" s="4"/>
      <c r="L417" s="53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76"/>
      <c r="F418" s="53"/>
      <c r="G418" s="4"/>
      <c r="H418" s="4"/>
      <c r="I418" s="4"/>
      <c r="J418" s="4"/>
      <c r="K418" s="4"/>
      <c r="L418" s="53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76"/>
      <c r="F419" s="53"/>
      <c r="G419" s="4"/>
      <c r="H419" s="4"/>
      <c r="I419" s="4"/>
      <c r="J419" s="4"/>
      <c r="K419" s="4"/>
      <c r="L419" s="53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76"/>
      <c r="F420" s="53"/>
      <c r="G420" s="4"/>
      <c r="H420" s="4"/>
      <c r="I420" s="4"/>
      <c r="J420" s="4"/>
      <c r="K420" s="4"/>
      <c r="L420" s="53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76"/>
      <c r="F421" s="53"/>
      <c r="G421" s="4"/>
      <c r="H421" s="4"/>
      <c r="I421" s="4"/>
      <c r="J421" s="4"/>
      <c r="K421" s="4"/>
      <c r="L421" s="53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76"/>
      <c r="F422" s="53"/>
      <c r="G422" s="4"/>
      <c r="H422" s="4"/>
      <c r="I422" s="4"/>
      <c r="J422" s="4"/>
      <c r="K422" s="4"/>
      <c r="L422" s="53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76"/>
      <c r="F423" s="53"/>
      <c r="G423" s="4"/>
      <c r="H423" s="4"/>
      <c r="I423" s="4"/>
      <c r="J423" s="4"/>
      <c r="K423" s="4"/>
      <c r="L423" s="53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76"/>
      <c r="F424" s="53"/>
      <c r="G424" s="4"/>
      <c r="H424" s="4"/>
      <c r="I424" s="4"/>
      <c r="J424" s="4"/>
      <c r="K424" s="4"/>
      <c r="L424" s="53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76"/>
      <c r="F425" s="53"/>
      <c r="G425" s="4"/>
      <c r="H425" s="4"/>
      <c r="I425" s="4"/>
      <c r="J425" s="4"/>
      <c r="K425" s="4"/>
      <c r="L425" s="53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76"/>
      <c r="F426" s="53"/>
      <c r="G426" s="4"/>
      <c r="H426" s="4"/>
      <c r="I426" s="4"/>
      <c r="J426" s="4"/>
      <c r="K426" s="4"/>
      <c r="L426" s="53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76"/>
      <c r="F427" s="53"/>
      <c r="G427" s="4"/>
      <c r="H427" s="4"/>
      <c r="I427" s="4"/>
      <c r="J427" s="4"/>
      <c r="K427" s="4"/>
      <c r="L427" s="53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76"/>
      <c r="F428" s="53"/>
      <c r="G428" s="4"/>
      <c r="H428" s="4"/>
      <c r="I428" s="4"/>
      <c r="J428" s="4"/>
      <c r="K428" s="4"/>
      <c r="L428" s="53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76"/>
      <c r="F429" s="53"/>
      <c r="G429" s="4"/>
      <c r="H429" s="4"/>
      <c r="I429" s="4"/>
      <c r="J429" s="4"/>
      <c r="K429" s="4"/>
      <c r="L429" s="53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76"/>
      <c r="F430" s="53"/>
      <c r="G430" s="4"/>
      <c r="H430" s="4"/>
      <c r="I430" s="4"/>
      <c r="J430" s="4"/>
      <c r="K430" s="4"/>
      <c r="L430" s="53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76"/>
      <c r="F431" s="53"/>
      <c r="G431" s="4"/>
      <c r="H431" s="4"/>
      <c r="I431" s="4"/>
      <c r="J431" s="4"/>
      <c r="K431" s="4"/>
      <c r="L431" s="53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76"/>
      <c r="F432" s="53"/>
      <c r="G432" s="4"/>
      <c r="H432" s="4"/>
      <c r="I432" s="4"/>
      <c r="J432" s="4"/>
      <c r="K432" s="4"/>
      <c r="L432" s="53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76"/>
      <c r="F433" s="53"/>
      <c r="G433" s="4"/>
      <c r="H433" s="4"/>
      <c r="I433" s="4"/>
      <c r="J433" s="4"/>
      <c r="K433" s="4"/>
      <c r="L433" s="53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76"/>
      <c r="F434" s="53"/>
      <c r="G434" s="4"/>
      <c r="H434" s="4"/>
      <c r="I434" s="4"/>
      <c r="J434" s="4"/>
      <c r="K434" s="4"/>
      <c r="L434" s="53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76"/>
      <c r="F435" s="53"/>
      <c r="G435" s="4"/>
      <c r="H435" s="4"/>
      <c r="I435" s="4"/>
      <c r="J435" s="4"/>
      <c r="K435" s="4"/>
      <c r="L435" s="53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76"/>
      <c r="F436" s="53"/>
      <c r="G436" s="4"/>
      <c r="H436" s="4"/>
      <c r="I436" s="4"/>
      <c r="J436" s="4"/>
      <c r="K436" s="4"/>
      <c r="L436" s="53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76"/>
      <c r="F437" s="53"/>
      <c r="G437" s="4"/>
      <c r="H437" s="4"/>
      <c r="I437" s="4"/>
      <c r="J437" s="4"/>
      <c r="K437" s="4"/>
      <c r="L437" s="53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76"/>
      <c r="F438" s="53"/>
      <c r="G438" s="4"/>
      <c r="H438" s="4"/>
      <c r="I438" s="4"/>
      <c r="J438" s="4"/>
      <c r="K438" s="4"/>
      <c r="L438" s="53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76"/>
      <c r="F439" s="53"/>
      <c r="G439" s="4"/>
      <c r="H439" s="4"/>
      <c r="I439" s="4"/>
      <c r="J439" s="4"/>
      <c r="K439" s="4"/>
      <c r="L439" s="53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76"/>
      <c r="F440" s="53"/>
      <c r="G440" s="4"/>
      <c r="H440" s="4"/>
      <c r="I440" s="4"/>
      <c r="J440" s="4"/>
      <c r="K440" s="4"/>
      <c r="L440" s="53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76"/>
      <c r="F441" s="53"/>
      <c r="G441" s="4"/>
      <c r="H441" s="4"/>
      <c r="I441" s="4"/>
      <c r="J441" s="4"/>
      <c r="K441" s="4"/>
      <c r="L441" s="53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76"/>
      <c r="F442" s="53"/>
      <c r="G442" s="4"/>
      <c r="H442" s="4"/>
      <c r="I442" s="4"/>
      <c r="J442" s="4"/>
      <c r="K442" s="4"/>
      <c r="L442" s="53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76"/>
      <c r="F443" s="53"/>
      <c r="G443" s="4"/>
      <c r="H443" s="4"/>
      <c r="I443" s="4"/>
      <c r="J443" s="4"/>
      <c r="K443" s="4"/>
      <c r="L443" s="53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76"/>
      <c r="F444" s="53"/>
      <c r="G444" s="4"/>
      <c r="H444" s="4"/>
      <c r="I444" s="4"/>
      <c r="J444" s="4"/>
      <c r="K444" s="4"/>
      <c r="L444" s="53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76"/>
      <c r="F445" s="53"/>
      <c r="G445" s="4"/>
      <c r="H445" s="4"/>
      <c r="I445" s="4"/>
      <c r="J445" s="4"/>
      <c r="K445" s="4"/>
      <c r="L445" s="53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76"/>
      <c r="F446" s="53"/>
      <c r="G446" s="4"/>
      <c r="H446" s="4"/>
      <c r="I446" s="4"/>
      <c r="J446" s="4"/>
      <c r="K446" s="4"/>
      <c r="L446" s="53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76"/>
      <c r="F447" s="53"/>
      <c r="G447" s="4"/>
      <c r="H447" s="4"/>
      <c r="I447" s="4"/>
      <c r="J447" s="4"/>
      <c r="K447" s="4"/>
      <c r="L447" s="53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76"/>
      <c r="F448" s="53"/>
      <c r="G448" s="4"/>
      <c r="H448" s="4"/>
      <c r="I448" s="4"/>
      <c r="J448" s="4"/>
      <c r="K448" s="4"/>
      <c r="L448" s="53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76"/>
      <c r="F449" s="53"/>
      <c r="G449" s="4"/>
      <c r="H449" s="4"/>
      <c r="I449" s="4"/>
      <c r="J449" s="4"/>
      <c r="K449" s="4"/>
      <c r="L449" s="53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76"/>
      <c r="F450" s="53"/>
      <c r="G450" s="4"/>
      <c r="H450" s="4"/>
      <c r="I450" s="4"/>
      <c r="J450" s="4"/>
      <c r="K450" s="4"/>
      <c r="L450" s="53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76"/>
      <c r="F451" s="53"/>
      <c r="G451" s="4"/>
      <c r="H451" s="4"/>
      <c r="I451" s="4"/>
      <c r="J451" s="4"/>
      <c r="K451" s="4"/>
      <c r="L451" s="53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76"/>
      <c r="F452" s="53"/>
      <c r="G452" s="4"/>
      <c r="H452" s="4"/>
      <c r="I452" s="4"/>
      <c r="J452" s="4"/>
      <c r="K452" s="4"/>
      <c r="L452" s="53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76"/>
      <c r="F453" s="53"/>
      <c r="G453" s="4"/>
      <c r="H453" s="4"/>
      <c r="I453" s="4"/>
      <c r="J453" s="4"/>
      <c r="K453" s="4"/>
      <c r="L453" s="53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76"/>
      <c r="F454" s="53"/>
      <c r="G454" s="4"/>
      <c r="H454" s="4"/>
      <c r="I454" s="4"/>
      <c r="J454" s="4"/>
      <c r="K454" s="4"/>
      <c r="L454" s="53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76"/>
      <c r="F455" s="53"/>
      <c r="G455" s="4"/>
      <c r="H455" s="4"/>
      <c r="I455" s="4"/>
      <c r="J455" s="4"/>
      <c r="K455" s="4"/>
      <c r="L455" s="53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76"/>
      <c r="F456" s="53"/>
      <c r="G456" s="4"/>
      <c r="H456" s="4"/>
      <c r="I456" s="4"/>
      <c r="J456" s="4"/>
      <c r="K456" s="4"/>
      <c r="L456" s="53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76"/>
      <c r="F457" s="53"/>
      <c r="G457" s="4"/>
      <c r="H457" s="4"/>
      <c r="I457" s="4"/>
      <c r="J457" s="4"/>
      <c r="K457" s="4"/>
      <c r="L457" s="53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76"/>
      <c r="F458" s="53"/>
      <c r="G458" s="4"/>
      <c r="H458" s="4"/>
      <c r="I458" s="4"/>
      <c r="J458" s="4"/>
      <c r="K458" s="4"/>
      <c r="L458" s="53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76"/>
      <c r="F459" s="53"/>
      <c r="G459" s="4"/>
      <c r="H459" s="4"/>
      <c r="I459" s="4"/>
      <c r="J459" s="4"/>
      <c r="K459" s="4"/>
      <c r="L459" s="53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76"/>
      <c r="F460" s="53"/>
      <c r="G460" s="4"/>
      <c r="H460" s="4"/>
      <c r="I460" s="4"/>
      <c r="J460" s="4"/>
      <c r="K460" s="4"/>
      <c r="L460" s="53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76"/>
      <c r="F461" s="53"/>
      <c r="G461" s="4"/>
      <c r="H461" s="4"/>
      <c r="I461" s="4"/>
      <c r="J461" s="4"/>
      <c r="K461" s="4"/>
      <c r="L461" s="53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76"/>
      <c r="F462" s="53"/>
      <c r="G462" s="4"/>
      <c r="H462" s="4"/>
      <c r="I462" s="4"/>
      <c r="J462" s="4"/>
      <c r="K462" s="4"/>
      <c r="L462" s="53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76"/>
      <c r="F463" s="53"/>
      <c r="G463" s="4"/>
      <c r="H463" s="4"/>
      <c r="I463" s="4"/>
      <c r="J463" s="4"/>
      <c r="K463" s="4"/>
      <c r="L463" s="53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76"/>
      <c r="F464" s="53"/>
      <c r="G464" s="4"/>
      <c r="H464" s="4"/>
      <c r="I464" s="4"/>
      <c r="J464" s="4"/>
      <c r="K464" s="4"/>
      <c r="L464" s="53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76"/>
      <c r="F465" s="53"/>
      <c r="G465" s="4"/>
      <c r="H465" s="4"/>
      <c r="I465" s="4"/>
      <c r="J465" s="4"/>
      <c r="K465" s="4"/>
      <c r="L465" s="53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76"/>
      <c r="F466" s="53"/>
      <c r="G466" s="4"/>
      <c r="H466" s="4"/>
      <c r="I466" s="4"/>
      <c r="J466" s="4"/>
      <c r="K466" s="4"/>
      <c r="L466" s="53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76"/>
      <c r="F467" s="53"/>
      <c r="G467" s="4"/>
      <c r="H467" s="4"/>
      <c r="I467" s="4"/>
      <c r="J467" s="4"/>
      <c r="K467" s="4"/>
      <c r="L467" s="53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76"/>
      <c r="F468" s="53"/>
      <c r="G468" s="4"/>
      <c r="H468" s="4"/>
      <c r="I468" s="4"/>
      <c r="J468" s="4"/>
      <c r="K468" s="4"/>
      <c r="L468" s="53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76"/>
      <c r="F469" s="53"/>
      <c r="G469" s="4"/>
      <c r="H469" s="4"/>
      <c r="I469" s="4"/>
      <c r="J469" s="4"/>
      <c r="K469" s="4"/>
      <c r="L469" s="53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76"/>
      <c r="F470" s="53"/>
      <c r="G470" s="4"/>
      <c r="H470" s="4"/>
      <c r="I470" s="4"/>
      <c r="J470" s="4"/>
      <c r="K470" s="4"/>
      <c r="L470" s="53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76"/>
      <c r="F471" s="53"/>
      <c r="G471" s="4"/>
      <c r="H471" s="4"/>
      <c r="I471" s="4"/>
      <c r="J471" s="4"/>
      <c r="K471" s="4"/>
      <c r="L471" s="53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76"/>
      <c r="F472" s="53"/>
      <c r="G472" s="4"/>
      <c r="H472" s="4"/>
      <c r="I472" s="4"/>
      <c r="J472" s="4"/>
      <c r="K472" s="4"/>
      <c r="L472" s="53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76"/>
      <c r="F473" s="53"/>
      <c r="G473" s="4"/>
      <c r="H473" s="4"/>
      <c r="I473" s="4"/>
      <c r="J473" s="4"/>
      <c r="K473" s="4"/>
      <c r="L473" s="53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76"/>
      <c r="F474" s="53"/>
      <c r="G474" s="4"/>
      <c r="H474" s="4"/>
      <c r="I474" s="4"/>
      <c r="J474" s="4"/>
      <c r="K474" s="4"/>
      <c r="L474" s="53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76"/>
      <c r="F475" s="53"/>
      <c r="G475" s="4"/>
      <c r="H475" s="4"/>
      <c r="I475" s="4"/>
      <c r="J475" s="4"/>
      <c r="K475" s="4"/>
      <c r="L475" s="53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76"/>
      <c r="F476" s="53"/>
      <c r="G476" s="4"/>
      <c r="H476" s="4"/>
      <c r="I476" s="4"/>
      <c r="J476" s="4"/>
      <c r="K476" s="4"/>
      <c r="L476" s="53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76"/>
      <c r="F477" s="53"/>
      <c r="G477" s="4"/>
      <c r="H477" s="4"/>
      <c r="I477" s="4"/>
      <c r="J477" s="4"/>
      <c r="K477" s="4"/>
      <c r="L477" s="53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76"/>
      <c r="F478" s="53"/>
      <c r="G478" s="4"/>
      <c r="H478" s="4"/>
      <c r="I478" s="4"/>
      <c r="J478" s="4"/>
      <c r="K478" s="4"/>
      <c r="L478" s="53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76"/>
      <c r="F479" s="53"/>
      <c r="G479" s="4"/>
      <c r="H479" s="4"/>
      <c r="I479" s="4"/>
      <c r="J479" s="4"/>
      <c r="K479" s="4"/>
      <c r="L479" s="53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76"/>
      <c r="F480" s="53"/>
      <c r="G480" s="4"/>
      <c r="H480" s="4"/>
      <c r="I480" s="4"/>
      <c r="J480" s="4"/>
      <c r="K480" s="4"/>
      <c r="L480" s="53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76"/>
      <c r="F481" s="53"/>
      <c r="G481" s="4"/>
      <c r="H481" s="4"/>
      <c r="I481" s="4"/>
      <c r="J481" s="4"/>
      <c r="K481" s="4"/>
      <c r="L481" s="53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76"/>
      <c r="F482" s="53"/>
      <c r="G482" s="4"/>
      <c r="H482" s="4"/>
      <c r="I482" s="4"/>
      <c r="J482" s="4"/>
      <c r="K482" s="4"/>
      <c r="L482" s="53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76"/>
      <c r="F483" s="53"/>
      <c r="G483" s="4"/>
      <c r="H483" s="4"/>
      <c r="I483" s="4"/>
      <c r="J483" s="4"/>
      <c r="K483" s="4"/>
      <c r="L483" s="53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76"/>
      <c r="F484" s="53"/>
      <c r="G484" s="4"/>
      <c r="H484" s="4"/>
      <c r="I484" s="4"/>
      <c r="J484" s="4"/>
      <c r="K484" s="4"/>
      <c r="L484" s="53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76"/>
      <c r="F485" s="53"/>
      <c r="G485" s="4"/>
      <c r="H485" s="4"/>
      <c r="I485" s="4"/>
      <c r="J485" s="4"/>
      <c r="K485" s="4"/>
      <c r="L485" s="53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76"/>
      <c r="F486" s="53"/>
      <c r="G486" s="4"/>
      <c r="H486" s="4"/>
      <c r="I486" s="4"/>
      <c r="J486" s="4"/>
      <c r="K486" s="4"/>
      <c r="L486" s="53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76"/>
      <c r="F487" s="53"/>
      <c r="G487" s="4"/>
      <c r="H487" s="4"/>
      <c r="I487" s="4"/>
      <c r="J487" s="4"/>
      <c r="K487" s="4"/>
      <c r="L487" s="53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76"/>
      <c r="F488" s="53"/>
      <c r="G488" s="4"/>
      <c r="H488" s="4"/>
      <c r="I488" s="4"/>
      <c r="J488" s="4"/>
      <c r="K488" s="4"/>
      <c r="L488" s="53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76"/>
      <c r="F489" s="53"/>
      <c r="G489" s="4"/>
      <c r="H489" s="4"/>
      <c r="I489" s="4"/>
      <c r="J489" s="4"/>
      <c r="K489" s="4"/>
      <c r="L489" s="53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76"/>
      <c r="F490" s="53"/>
      <c r="G490" s="4"/>
      <c r="H490" s="4"/>
      <c r="I490" s="4"/>
      <c r="J490" s="4"/>
      <c r="K490" s="4"/>
      <c r="L490" s="53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76"/>
      <c r="F491" s="53"/>
      <c r="G491" s="4"/>
      <c r="H491" s="4"/>
      <c r="I491" s="4"/>
      <c r="J491" s="4"/>
      <c r="K491" s="4"/>
      <c r="L491" s="53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76"/>
      <c r="F492" s="53"/>
      <c r="G492" s="4"/>
      <c r="H492" s="4"/>
      <c r="I492" s="4"/>
      <c r="J492" s="4"/>
      <c r="K492" s="4"/>
      <c r="L492" s="53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76"/>
      <c r="F493" s="53"/>
      <c r="G493" s="4"/>
      <c r="H493" s="4"/>
      <c r="I493" s="4"/>
      <c r="J493" s="4"/>
      <c r="K493" s="4"/>
      <c r="L493" s="53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76"/>
      <c r="F494" s="53"/>
      <c r="G494" s="4"/>
      <c r="H494" s="4"/>
      <c r="I494" s="4"/>
      <c r="J494" s="4"/>
      <c r="K494" s="4"/>
      <c r="L494" s="53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76"/>
      <c r="F495" s="53"/>
      <c r="G495" s="4"/>
      <c r="H495" s="4"/>
      <c r="I495" s="4"/>
      <c r="J495" s="4"/>
      <c r="K495" s="4"/>
      <c r="L495" s="53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76"/>
      <c r="F496" s="53"/>
      <c r="G496" s="4"/>
      <c r="H496" s="4"/>
      <c r="I496" s="4"/>
      <c r="J496" s="4"/>
      <c r="K496" s="4"/>
      <c r="L496" s="53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76"/>
      <c r="F497" s="53"/>
      <c r="G497" s="4"/>
      <c r="H497" s="4"/>
      <c r="I497" s="4"/>
      <c r="J497" s="4"/>
      <c r="K497" s="4"/>
      <c r="L497" s="53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76"/>
      <c r="F498" s="53"/>
      <c r="G498" s="4"/>
      <c r="H498" s="4"/>
      <c r="I498" s="4"/>
      <c r="J498" s="4"/>
      <c r="K498" s="4"/>
      <c r="L498" s="53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76"/>
      <c r="F499" s="53"/>
      <c r="G499" s="4"/>
      <c r="H499" s="4"/>
      <c r="I499" s="4"/>
      <c r="J499" s="4"/>
      <c r="K499" s="4"/>
      <c r="L499" s="53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76"/>
      <c r="F500" s="53"/>
      <c r="G500" s="4"/>
      <c r="H500" s="4"/>
      <c r="I500" s="4"/>
      <c r="J500" s="4"/>
      <c r="K500" s="4"/>
      <c r="L500" s="53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76"/>
      <c r="F501" s="53"/>
      <c r="G501" s="4"/>
      <c r="H501" s="4"/>
      <c r="I501" s="4"/>
      <c r="J501" s="4"/>
      <c r="K501" s="4"/>
      <c r="L501" s="53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76"/>
      <c r="F502" s="53"/>
      <c r="G502" s="4"/>
      <c r="H502" s="4"/>
      <c r="I502" s="4"/>
      <c r="J502" s="4"/>
      <c r="K502" s="4"/>
      <c r="L502" s="53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76"/>
      <c r="F503" s="53"/>
      <c r="G503" s="4"/>
      <c r="H503" s="4"/>
      <c r="I503" s="4"/>
      <c r="J503" s="4"/>
      <c r="K503" s="4"/>
      <c r="L503" s="53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76"/>
      <c r="F504" s="53"/>
      <c r="G504" s="4"/>
      <c r="H504" s="4"/>
      <c r="I504" s="4"/>
      <c r="J504" s="4"/>
      <c r="K504" s="4"/>
      <c r="L504" s="53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76"/>
      <c r="F505" s="53"/>
      <c r="G505" s="4"/>
      <c r="H505" s="4"/>
      <c r="I505" s="4"/>
      <c r="J505" s="4"/>
      <c r="K505" s="4"/>
      <c r="L505" s="53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76"/>
      <c r="F506" s="53"/>
      <c r="G506" s="4"/>
      <c r="H506" s="4"/>
      <c r="I506" s="4"/>
      <c r="J506" s="4"/>
      <c r="K506" s="4"/>
      <c r="L506" s="53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76"/>
      <c r="F507" s="53"/>
      <c r="G507" s="4"/>
      <c r="H507" s="4"/>
      <c r="I507" s="4"/>
      <c r="J507" s="4"/>
      <c r="K507" s="4"/>
      <c r="L507" s="53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76"/>
      <c r="F508" s="53"/>
      <c r="G508" s="4"/>
      <c r="H508" s="4"/>
      <c r="I508" s="4"/>
      <c r="J508" s="4"/>
      <c r="K508" s="4"/>
      <c r="L508" s="53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76"/>
      <c r="F509" s="53"/>
      <c r="G509" s="4"/>
      <c r="H509" s="4"/>
      <c r="I509" s="4"/>
      <c r="J509" s="4"/>
      <c r="K509" s="4"/>
      <c r="L509" s="53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76"/>
      <c r="F510" s="53"/>
      <c r="G510" s="4"/>
      <c r="H510" s="4"/>
      <c r="I510" s="4"/>
      <c r="J510" s="4"/>
      <c r="K510" s="4"/>
      <c r="L510" s="53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76"/>
      <c r="F511" s="53"/>
      <c r="G511" s="4"/>
      <c r="H511" s="4"/>
      <c r="I511" s="4"/>
      <c r="J511" s="4"/>
      <c r="K511" s="4"/>
      <c r="L511" s="53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76"/>
      <c r="F512" s="53"/>
      <c r="G512" s="4"/>
      <c r="H512" s="4"/>
      <c r="I512" s="4"/>
      <c r="J512" s="4"/>
      <c r="K512" s="4"/>
      <c r="L512" s="53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76"/>
      <c r="F513" s="53"/>
      <c r="G513" s="4"/>
      <c r="H513" s="4"/>
      <c r="I513" s="4"/>
      <c r="J513" s="4"/>
      <c r="K513" s="4"/>
      <c r="L513" s="53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76"/>
      <c r="F514" s="53"/>
      <c r="G514" s="4"/>
      <c r="H514" s="4"/>
      <c r="I514" s="4"/>
      <c r="J514" s="4"/>
      <c r="K514" s="4"/>
      <c r="L514" s="53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76"/>
      <c r="F515" s="53"/>
      <c r="G515" s="4"/>
      <c r="H515" s="4"/>
      <c r="I515" s="4"/>
      <c r="J515" s="4"/>
      <c r="K515" s="4"/>
      <c r="L515" s="53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76"/>
      <c r="F516" s="53"/>
      <c r="G516" s="4"/>
      <c r="H516" s="4"/>
      <c r="I516" s="4"/>
      <c r="J516" s="4"/>
      <c r="K516" s="4"/>
      <c r="L516" s="53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76"/>
      <c r="F517" s="53"/>
      <c r="G517" s="4"/>
      <c r="H517" s="4"/>
      <c r="I517" s="4"/>
      <c r="J517" s="4"/>
      <c r="K517" s="4"/>
      <c r="L517" s="53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76"/>
      <c r="F518" s="53"/>
      <c r="G518" s="4"/>
      <c r="H518" s="4"/>
      <c r="I518" s="4"/>
      <c r="J518" s="4"/>
      <c r="K518" s="4"/>
      <c r="L518" s="53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76"/>
      <c r="F519" s="53"/>
      <c r="G519" s="4"/>
      <c r="H519" s="4"/>
      <c r="I519" s="4"/>
      <c r="J519" s="4"/>
      <c r="K519" s="4"/>
      <c r="L519" s="53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76"/>
      <c r="F520" s="53"/>
      <c r="G520" s="4"/>
      <c r="H520" s="4"/>
      <c r="I520" s="4"/>
      <c r="J520" s="4"/>
      <c r="K520" s="4"/>
      <c r="L520" s="53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76"/>
      <c r="F521" s="53"/>
      <c r="G521" s="4"/>
      <c r="H521" s="4"/>
      <c r="I521" s="4"/>
      <c r="J521" s="4"/>
      <c r="K521" s="4"/>
      <c r="L521" s="53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76"/>
      <c r="F522" s="53"/>
      <c r="G522" s="4"/>
      <c r="H522" s="4"/>
      <c r="I522" s="4"/>
      <c r="J522" s="4"/>
      <c r="K522" s="4"/>
      <c r="L522" s="53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76"/>
      <c r="F523" s="53"/>
      <c r="G523" s="4"/>
      <c r="H523" s="4"/>
      <c r="I523" s="4"/>
      <c r="J523" s="4"/>
      <c r="K523" s="4"/>
      <c r="L523" s="53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76"/>
      <c r="F524" s="53"/>
      <c r="G524" s="4"/>
      <c r="H524" s="4"/>
      <c r="I524" s="4"/>
      <c r="J524" s="4"/>
      <c r="K524" s="4"/>
      <c r="L524" s="53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76"/>
      <c r="F525" s="53"/>
      <c r="G525" s="4"/>
      <c r="H525" s="4"/>
      <c r="I525" s="4"/>
      <c r="J525" s="4"/>
      <c r="K525" s="4"/>
      <c r="L525" s="53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76"/>
      <c r="F526" s="53"/>
      <c r="G526" s="4"/>
      <c r="H526" s="4"/>
      <c r="I526" s="4"/>
      <c r="J526" s="4"/>
      <c r="K526" s="4"/>
      <c r="L526" s="53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76"/>
      <c r="F527" s="53"/>
      <c r="G527" s="4"/>
      <c r="H527" s="4"/>
      <c r="I527" s="4"/>
      <c r="J527" s="4"/>
      <c r="K527" s="4"/>
      <c r="L527" s="53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76"/>
      <c r="F528" s="53"/>
      <c r="G528" s="4"/>
      <c r="H528" s="4"/>
      <c r="I528" s="4"/>
      <c r="J528" s="4"/>
      <c r="K528" s="4"/>
      <c r="L528" s="53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76"/>
      <c r="F529" s="53"/>
      <c r="G529" s="4"/>
      <c r="H529" s="4"/>
      <c r="I529" s="4"/>
      <c r="J529" s="4"/>
      <c r="K529" s="4"/>
      <c r="L529" s="53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76"/>
      <c r="F530" s="53"/>
      <c r="G530" s="4"/>
      <c r="H530" s="4"/>
      <c r="I530" s="4"/>
      <c r="J530" s="4"/>
      <c r="K530" s="4"/>
      <c r="L530" s="53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76"/>
      <c r="F531" s="53"/>
      <c r="G531" s="4"/>
      <c r="H531" s="4"/>
      <c r="I531" s="4"/>
      <c r="J531" s="4"/>
      <c r="K531" s="4"/>
      <c r="L531" s="53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76"/>
      <c r="F532" s="53"/>
      <c r="G532" s="4"/>
      <c r="H532" s="4"/>
      <c r="I532" s="4"/>
      <c r="J532" s="4"/>
      <c r="K532" s="4"/>
      <c r="L532" s="53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76"/>
      <c r="F533" s="53"/>
      <c r="G533" s="4"/>
      <c r="H533" s="4"/>
      <c r="I533" s="4"/>
      <c r="J533" s="4"/>
      <c r="K533" s="4"/>
      <c r="L533" s="53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76"/>
      <c r="F534" s="53"/>
      <c r="G534" s="4"/>
      <c r="H534" s="4"/>
      <c r="I534" s="4"/>
      <c r="J534" s="4"/>
      <c r="K534" s="4"/>
      <c r="L534" s="53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76"/>
      <c r="F535" s="53"/>
      <c r="G535" s="4"/>
      <c r="H535" s="4"/>
      <c r="I535" s="4"/>
      <c r="J535" s="4"/>
      <c r="K535" s="4"/>
      <c r="L535" s="53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76"/>
      <c r="F536" s="53"/>
      <c r="G536" s="4"/>
      <c r="H536" s="4"/>
      <c r="I536" s="4"/>
      <c r="J536" s="4"/>
      <c r="K536" s="4"/>
      <c r="L536" s="53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76"/>
      <c r="F537" s="53"/>
      <c r="G537" s="4"/>
      <c r="H537" s="4"/>
      <c r="I537" s="4"/>
      <c r="J537" s="4"/>
      <c r="K537" s="4"/>
      <c r="L537" s="53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76"/>
      <c r="F538" s="53"/>
      <c r="G538" s="4"/>
      <c r="H538" s="4"/>
      <c r="I538" s="4"/>
      <c r="J538" s="4"/>
      <c r="K538" s="4"/>
      <c r="L538" s="53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76"/>
      <c r="F539" s="53"/>
      <c r="G539" s="4"/>
      <c r="H539" s="4"/>
      <c r="I539" s="4"/>
      <c r="J539" s="4"/>
      <c r="K539" s="4"/>
      <c r="L539" s="53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76"/>
      <c r="F540" s="53"/>
      <c r="G540" s="4"/>
      <c r="H540" s="4"/>
      <c r="I540" s="4"/>
      <c r="J540" s="4"/>
      <c r="K540" s="4"/>
      <c r="L540" s="53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76"/>
      <c r="F541" s="53"/>
      <c r="G541" s="4"/>
      <c r="H541" s="4"/>
      <c r="I541" s="4"/>
      <c r="J541" s="4"/>
      <c r="K541" s="4"/>
      <c r="L541" s="53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76"/>
      <c r="F542" s="53"/>
      <c r="G542" s="4"/>
      <c r="H542" s="4"/>
      <c r="I542" s="4"/>
      <c r="J542" s="4"/>
      <c r="K542" s="4"/>
      <c r="L542" s="53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76"/>
      <c r="F543" s="53"/>
      <c r="G543" s="4"/>
      <c r="H543" s="4"/>
      <c r="I543" s="4"/>
      <c r="J543" s="4"/>
      <c r="K543" s="4"/>
      <c r="L543" s="53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76"/>
      <c r="F544" s="53"/>
      <c r="G544" s="4"/>
      <c r="H544" s="4"/>
      <c r="I544" s="4"/>
      <c r="J544" s="4"/>
      <c r="K544" s="4"/>
      <c r="L544" s="53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76"/>
      <c r="F545" s="53"/>
      <c r="G545" s="4"/>
      <c r="H545" s="4"/>
      <c r="I545" s="4"/>
      <c r="J545" s="4"/>
      <c r="K545" s="4"/>
      <c r="L545" s="53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76"/>
      <c r="F546" s="53"/>
      <c r="G546" s="4"/>
      <c r="H546" s="4"/>
      <c r="I546" s="4"/>
      <c r="J546" s="4"/>
      <c r="K546" s="4"/>
      <c r="L546" s="53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76"/>
      <c r="F547" s="53"/>
      <c r="G547" s="4"/>
      <c r="H547" s="4"/>
      <c r="I547" s="4"/>
      <c r="J547" s="4"/>
      <c r="K547" s="4"/>
      <c r="L547" s="53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76"/>
      <c r="F548" s="53"/>
      <c r="G548" s="4"/>
      <c r="H548" s="4"/>
      <c r="I548" s="4"/>
      <c r="J548" s="4"/>
      <c r="K548" s="4"/>
      <c r="L548" s="53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76"/>
      <c r="F549" s="53"/>
      <c r="G549" s="4"/>
      <c r="H549" s="4"/>
      <c r="I549" s="4"/>
      <c r="J549" s="4"/>
      <c r="K549" s="4"/>
      <c r="L549" s="53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76"/>
      <c r="F550" s="53"/>
      <c r="G550" s="4"/>
      <c r="H550" s="4"/>
      <c r="I550" s="4"/>
      <c r="J550" s="4"/>
      <c r="K550" s="4"/>
      <c r="L550" s="53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76"/>
      <c r="F551" s="53"/>
      <c r="G551" s="4"/>
      <c r="H551" s="4"/>
      <c r="I551" s="4"/>
      <c r="J551" s="4"/>
      <c r="K551" s="4"/>
      <c r="L551" s="53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76"/>
      <c r="F552" s="53"/>
      <c r="G552" s="4"/>
      <c r="H552" s="4"/>
      <c r="I552" s="4"/>
      <c r="J552" s="4"/>
      <c r="K552" s="4"/>
      <c r="L552" s="53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76"/>
      <c r="F553" s="53"/>
      <c r="G553" s="4"/>
      <c r="H553" s="4"/>
      <c r="I553" s="4"/>
      <c r="J553" s="4"/>
      <c r="K553" s="4"/>
      <c r="L553" s="53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76"/>
      <c r="F554" s="53"/>
      <c r="G554" s="4"/>
      <c r="H554" s="4"/>
      <c r="I554" s="4"/>
      <c r="J554" s="4"/>
      <c r="K554" s="4"/>
      <c r="L554" s="53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76"/>
      <c r="F555" s="53"/>
      <c r="G555" s="4"/>
      <c r="H555" s="4"/>
      <c r="I555" s="4"/>
      <c r="J555" s="4"/>
      <c r="K555" s="4"/>
      <c r="L555" s="53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76"/>
      <c r="F556" s="53"/>
      <c r="G556" s="4"/>
      <c r="H556" s="4"/>
      <c r="I556" s="4"/>
      <c r="J556" s="4"/>
      <c r="K556" s="4"/>
      <c r="L556" s="53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76"/>
      <c r="F557" s="53"/>
      <c r="G557" s="4"/>
      <c r="H557" s="4"/>
      <c r="I557" s="4"/>
      <c r="J557" s="4"/>
      <c r="K557" s="4"/>
      <c r="L557" s="53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76"/>
      <c r="F558" s="53"/>
      <c r="G558" s="4"/>
      <c r="H558" s="4"/>
      <c r="I558" s="4"/>
      <c r="J558" s="4"/>
      <c r="K558" s="4"/>
      <c r="L558" s="53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76"/>
      <c r="F559" s="53"/>
      <c r="G559" s="4"/>
      <c r="H559" s="4"/>
      <c r="I559" s="4"/>
      <c r="J559" s="4"/>
      <c r="K559" s="4"/>
      <c r="L559" s="53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76"/>
      <c r="F560" s="53"/>
      <c r="G560" s="4"/>
      <c r="H560" s="4"/>
      <c r="I560" s="4"/>
      <c r="J560" s="4"/>
      <c r="K560" s="4"/>
      <c r="L560" s="53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76"/>
      <c r="F561" s="53"/>
      <c r="G561" s="4"/>
      <c r="H561" s="4"/>
      <c r="I561" s="4"/>
      <c r="J561" s="4"/>
      <c r="K561" s="4"/>
      <c r="L561" s="53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76"/>
      <c r="F562" s="53"/>
      <c r="G562" s="4"/>
      <c r="H562" s="4"/>
      <c r="I562" s="4"/>
      <c r="J562" s="4"/>
      <c r="K562" s="4"/>
      <c r="L562" s="53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76"/>
      <c r="F563" s="53"/>
      <c r="G563" s="4"/>
      <c r="H563" s="4"/>
      <c r="I563" s="4"/>
      <c r="J563" s="4"/>
      <c r="K563" s="4"/>
      <c r="L563" s="53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76"/>
      <c r="F564" s="53"/>
      <c r="G564" s="4"/>
      <c r="H564" s="4"/>
      <c r="I564" s="4"/>
      <c r="J564" s="4"/>
      <c r="K564" s="4"/>
      <c r="L564" s="53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76"/>
      <c r="F565" s="53"/>
      <c r="G565" s="4"/>
      <c r="H565" s="4"/>
      <c r="I565" s="4"/>
      <c r="J565" s="4"/>
      <c r="K565" s="4"/>
      <c r="L565" s="53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76"/>
      <c r="F566" s="53"/>
      <c r="G566" s="4"/>
      <c r="H566" s="4"/>
      <c r="I566" s="4"/>
      <c r="J566" s="4"/>
      <c r="K566" s="4"/>
      <c r="L566" s="53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76"/>
      <c r="F567" s="53"/>
      <c r="G567" s="4"/>
      <c r="H567" s="4"/>
      <c r="I567" s="4"/>
      <c r="J567" s="4"/>
      <c r="K567" s="4"/>
      <c r="L567" s="53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76"/>
      <c r="F568" s="53"/>
      <c r="G568" s="4"/>
      <c r="H568" s="4"/>
      <c r="I568" s="4"/>
      <c r="J568" s="4"/>
      <c r="K568" s="4"/>
      <c r="L568" s="53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76"/>
      <c r="F569" s="53"/>
      <c r="G569" s="4"/>
      <c r="H569" s="4"/>
      <c r="I569" s="4"/>
      <c r="J569" s="4"/>
      <c r="K569" s="4"/>
      <c r="L569" s="53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76"/>
      <c r="F570" s="53"/>
      <c r="G570" s="4"/>
      <c r="H570" s="4"/>
      <c r="I570" s="4"/>
      <c r="J570" s="4"/>
      <c r="K570" s="4"/>
      <c r="L570" s="53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76"/>
      <c r="F571" s="53"/>
      <c r="G571" s="4"/>
      <c r="H571" s="4"/>
      <c r="I571" s="4"/>
      <c r="J571" s="4"/>
      <c r="K571" s="4"/>
      <c r="L571" s="53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76"/>
      <c r="F572" s="53"/>
      <c r="G572" s="4"/>
      <c r="H572" s="4"/>
      <c r="I572" s="4"/>
      <c r="J572" s="4"/>
      <c r="K572" s="4"/>
      <c r="L572" s="53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76"/>
      <c r="F573" s="53"/>
      <c r="G573" s="4"/>
      <c r="H573" s="4"/>
      <c r="I573" s="4"/>
      <c r="J573" s="4"/>
      <c r="K573" s="4"/>
      <c r="L573" s="53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76"/>
      <c r="F574" s="53"/>
      <c r="G574" s="4"/>
      <c r="H574" s="4"/>
      <c r="I574" s="4"/>
      <c r="J574" s="4"/>
      <c r="K574" s="4"/>
      <c r="L574" s="53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76"/>
      <c r="F575" s="53"/>
      <c r="G575" s="4"/>
      <c r="H575" s="4"/>
      <c r="I575" s="4"/>
      <c r="J575" s="4"/>
      <c r="K575" s="4"/>
      <c r="L575" s="53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76"/>
      <c r="F576" s="53"/>
      <c r="G576" s="4"/>
      <c r="H576" s="4"/>
      <c r="I576" s="4"/>
      <c r="J576" s="4"/>
      <c r="K576" s="4"/>
      <c r="L576" s="53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76"/>
      <c r="F577" s="53"/>
      <c r="G577" s="4"/>
      <c r="H577" s="4"/>
      <c r="I577" s="4"/>
      <c r="J577" s="4"/>
      <c r="K577" s="4"/>
      <c r="L577" s="53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76"/>
      <c r="F578" s="53"/>
      <c r="G578" s="4"/>
      <c r="H578" s="4"/>
      <c r="I578" s="4"/>
      <c r="J578" s="4"/>
      <c r="K578" s="4"/>
      <c r="L578" s="53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76"/>
      <c r="F579" s="53"/>
      <c r="G579" s="4"/>
      <c r="H579" s="4"/>
      <c r="I579" s="4"/>
      <c r="J579" s="4"/>
      <c r="K579" s="4"/>
      <c r="L579" s="53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76"/>
      <c r="F580" s="53"/>
      <c r="G580" s="4"/>
      <c r="H580" s="4"/>
      <c r="I580" s="4"/>
      <c r="J580" s="4"/>
      <c r="K580" s="4"/>
      <c r="L580" s="53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76"/>
      <c r="F581" s="53"/>
      <c r="G581" s="4"/>
      <c r="H581" s="4"/>
      <c r="I581" s="4"/>
      <c r="J581" s="4"/>
      <c r="K581" s="4"/>
      <c r="L581" s="53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76"/>
      <c r="F582" s="53"/>
      <c r="G582" s="4"/>
      <c r="H582" s="4"/>
      <c r="I582" s="4"/>
      <c r="J582" s="4"/>
      <c r="K582" s="4"/>
      <c r="L582" s="53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76"/>
      <c r="F583" s="53"/>
      <c r="G583" s="4"/>
      <c r="H583" s="4"/>
      <c r="I583" s="4"/>
      <c r="J583" s="4"/>
      <c r="K583" s="4"/>
      <c r="L583" s="53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76"/>
      <c r="F584" s="53"/>
      <c r="G584" s="4"/>
      <c r="H584" s="4"/>
      <c r="I584" s="4"/>
      <c r="J584" s="4"/>
      <c r="K584" s="4"/>
      <c r="L584" s="53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76"/>
      <c r="F585" s="53"/>
      <c r="G585" s="4"/>
      <c r="H585" s="4"/>
      <c r="I585" s="4"/>
      <c r="J585" s="4"/>
      <c r="K585" s="4"/>
      <c r="L585" s="53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76"/>
      <c r="F586" s="53"/>
      <c r="G586" s="4"/>
      <c r="H586" s="4"/>
      <c r="I586" s="4"/>
      <c r="J586" s="4"/>
      <c r="K586" s="4"/>
      <c r="L586" s="53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76"/>
      <c r="F587" s="53"/>
      <c r="G587" s="4"/>
      <c r="H587" s="4"/>
      <c r="I587" s="4"/>
      <c r="J587" s="4"/>
      <c r="K587" s="4"/>
      <c r="L587" s="53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76"/>
      <c r="F588" s="53"/>
      <c r="G588" s="4"/>
      <c r="H588" s="4"/>
      <c r="I588" s="4"/>
      <c r="J588" s="4"/>
      <c r="K588" s="4"/>
      <c r="L588" s="53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76"/>
      <c r="F589" s="53"/>
      <c r="G589" s="4"/>
      <c r="H589" s="4"/>
      <c r="I589" s="4"/>
      <c r="J589" s="4"/>
      <c r="K589" s="4"/>
      <c r="L589" s="53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76"/>
      <c r="F590" s="53"/>
      <c r="G590" s="4"/>
      <c r="H590" s="4"/>
      <c r="I590" s="4"/>
      <c r="J590" s="4"/>
      <c r="K590" s="4"/>
      <c r="L590" s="53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76"/>
      <c r="F591" s="53"/>
      <c r="G591" s="4"/>
      <c r="H591" s="4"/>
      <c r="I591" s="4"/>
      <c r="J591" s="4"/>
      <c r="K591" s="4"/>
      <c r="L591" s="53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76"/>
      <c r="F592" s="53"/>
      <c r="G592" s="4"/>
      <c r="H592" s="4"/>
      <c r="I592" s="4"/>
      <c r="J592" s="4"/>
      <c r="K592" s="4"/>
      <c r="L592" s="53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76"/>
      <c r="F593" s="53"/>
      <c r="G593" s="4"/>
      <c r="H593" s="4"/>
      <c r="I593" s="4"/>
      <c r="J593" s="4"/>
      <c r="K593" s="4"/>
      <c r="L593" s="53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76"/>
      <c r="F594" s="53"/>
      <c r="G594" s="4"/>
      <c r="H594" s="4"/>
      <c r="I594" s="4"/>
      <c r="J594" s="4"/>
      <c r="K594" s="4"/>
      <c r="L594" s="53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76"/>
      <c r="F595" s="53"/>
      <c r="G595" s="4"/>
      <c r="H595" s="4"/>
      <c r="I595" s="4"/>
      <c r="J595" s="4"/>
      <c r="K595" s="4"/>
      <c r="L595" s="53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76"/>
      <c r="F596" s="53"/>
      <c r="G596" s="4"/>
      <c r="H596" s="4"/>
      <c r="I596" s="4"/>
      <c r="J596" s="4"/>
      <c r="K596" s="4"/>
      <c r="L596" s="53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76"/>
      <c r="F597" s="53"/>
      <c r="G597" s="4"/>
      <c r="H597" s="4"/>
      <c r="I597" s="4"/>
      <c r="J597" s="4"/>
      <c r="K597" s="4"/>
      <c r="L597" s="53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76"/>
      <c r="F598" s="53"/>
      <c r="G598" s="4"/>
      <c r="H598" s="4"/>
      <c r="I598" s="4"/>
      <c r="J598" s="4"/>
      <c r="K598" s="4"/>
      <c r="L598" s="53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76"/>
      <c r="F599" s="53"/>
      <c r="G599" s="4"/>
      <c r="H599" s="4"/>
      <c r="I599" s="4"/>
      <c r="J599" s="4"/>
      <c r="K599" s="4"/>
      <c r="L599" s="53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76"/>
      <c r="F600" s="53"/>
      <c r="G600" s="4"/>
      <c r="H600" s="4"/>
      <c r="I600" s="4"/>
      <c r="J600" s="4"/>
      <c r="K600" s="4"/>
      <c r="L600" s="53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76"/>
      <c r="F601" s="53"/>
      <c r="G601" s="4"/>
      <c r="H601" s="4"/>
      <c r="I601" s="4"/>
      <c r="J601" s="4"/>
      <c r="K601" s="4"/>
      <c r="L601" s="53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76"/>
      <c r="F602" s="53"/>
      <c r="G602" s="4"/>
      <c r="H602" s="4"/>
      <c r="I602" s="4"/>
      <c r="J602" s="4"/>
      <c r="K602" s="4"/>
      <c r="L602" s="53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76"/>
      <c r="F603" s="53"/>
      <c r="G603" s="4"/>
      <c r="H603" s="4"/>
      <c r="I603" s="4"/>
      <c r="J603" s="4"/>
      <c r="K603" s="4"/>
      <c r="L603" s="53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76"/>
      <c r="F604" s="53"/>
      <c r="G604" s="4"/>
      <c r="H604" s="4"/>
      <c r="I604" s="4"/>
      <c r="J604" s="4"/>
      <c r="K604" s="4"/>
      <c r="L604" s="53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76"/>
      <c r="F605" s="53"/>
      <c r="G605" s="4"/>
      <c r="H605" s="4"/>
      <c r="I605" s="4"/>
      <c r="J605" s="4"/>
      <c r="K605" s="4"/>
      <c r="L605" s="53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76"/>
      <c r="F606" s="53"/>
      <c r="G606" s="4"/>
      <c r="H606" s="4"/>
      <c r="I606" s="4"/>
      <c r="J606" s="4"/>
      <c r="K606" s="4"/>
      <c r="L606" s="53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76"/>
      <c r="F607" s="53"/>
      <c r="G607" s="4"/>
      <c r="H607" s="4"/>
      <c r="I607" s="4"/>
      <c r="J607" s="4"/>
      <c r="K607" s="4"/>
      <c r="L607" s="53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76"/>
      <c r="F608" s="53"/>
      <c r="G608" s="4"/>
      <c r="H608" s="4"/>
      <c r="I608" s="4"/>
      <c r="J608" s="4"/>
      <c r="K608" s="4"/>
      <c r="L608" s="53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76"/>
      <c r="F609" s="53"/>
      <c r="G609" s="4"/>
      <c r="H609" s="4"/>
      <c r="I609" s="4"/>
      <c r="J609" s="4"/>
      <c r="K609" s="4"/>
      <c r="L609" s="53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76"/>
      <c r="F610" s="53"/>
      <c r="G610" s="4"/>
      <c r="H610" s="4"/>
      <c r="I610" s="4"/>
      <c r="J610" s="4"/>
      <c r="K610" s="4"/>
      <c r="L610" s="53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76"/>
      <c r="F611" s="53"/>
      <c r="G611" s="4"/>
      <c r="H611" s="4"/>
      <c r="I611" s="4"/>
      <c r="J611" s="4"/>
      <c r="K611" s="4"/>
      <c r="L611" s="53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76"/>
      <c r="F612" s="53"/>
      <c r="G612" s="4"/>
      <c r="H612" s="4"/>
      <c r="I612" s="4"/>
      <c r="J612" s="4"/>
      <c r="K612" s="4"/>
      <c r="L612" s="53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76"/>
      <c r="F613" s="53"/>
      <c r="G613" s="4"/>
      <c r="H613" s="4"/>
      <c r="I613" s="4"/>
      <c r="J613" s="4"/>
      <c r="K613" s="4"/>
      <c r="L613" s="53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76"/>
      <c r="F614" s="53"/>
      <c r="G614" s="4"/>
      <c r="H614" s="4"/>
      <c r="I614" s="4"/>
      <c r="J614" s="4"/>
      <c r="K614" s="4"/>
      <c r="L614" s="53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76"/>
      <c r="F615" s="53"/>
      <c r="G615" s="4"/>
      <c r="H615" s="4"/>
      <c r="I615" s="4"/>
      <c r="J615" s="4"/>
      <c r="K615" s="4"/>
      <c r="L615" s="53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76"/>
      <c r="F616" s="53"/>
      <c r="G616" s="4"/>
      <c r="H616" s="4"/>
      <c r="I616" s="4"/>
      <c r="J616" s="4"/>
      <c r="K616" s="4"/>
      <c r="L616" s="53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76"/>
      <c r="F617" s="53"/>
      <c r="G617" s="4"/>
      <c r="H617" s="4"/>
      <c r="I617" s="4"/>
      <c r="J617" s="4"/>
      <c r="K617" s="4"/>
      <c r="L617" s="53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76"/>
      <c r="F618" s="53"/>
      <c r="G618" s="4"/>
      <c r="H618" s="4"/>
      <c r="I618" s="4"/>
      <c r="J618" s="4"/>
      <c r="K618" s="4"/>
      <c r="L618" s="53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76"/>
      <c r="F619" s="53"/>
      <c r="G619" s="4"/>
      <c r="H619" s="4"/>
      <c r="I619" s="4"/>
      <c r="J619" s="4"/>
      <c r="K619" s="4"/>
      <c r="L619" s="53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76"/>
      <c r="F620" s="53"/>
      <c r="G620" s="4"/>
      <c r="H620" s="4"/>
      <c r="I620" s="4"/>
      <c r="J620" s="4"/>
      <c r="K620" s="4"/>
      <c r="L620" s="53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76"/>
      <c r="F621" s="53"/>
      <c r="G621" s="4"/>
      <c r="H621" s="4"/>
      <c r="I621" s="4"/>
      <c r="J621" s="4"/>
      <c r="K621" s="4"/>
      <c r="L621" s="53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76"/>
      <c r="F622" s="53"/>
      <c r="G622" s="4"/>
      <c r="H622" s="4"/>
      <c r="I622" s="4"/>
      <c r="J622" s="4"/>
      <c r="K622" s="4"/>
      <c r="L622" s="53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76"/>
      <c r="F623" s="53"/>
      <c r="G623" s="4"/>
      <c r="H623" s="4"/>
      <c r="I623" s="4"/>
      <c r="J623" s="4"/>
      <c r="K623" s="4"/>
      <c r="L623" s="53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76"/>
      <c r="F624" s="53"/>
      <c r="G624" s="4"/>
      <c r="H624" s="4"/>
      <c r="I624" s="4"/>
      <c r="J624" s="4"/>
      <c r="K624" s="4"/>
      <c r="L624" s="53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76"/>
      <c r="F625" s="53"/>
      <c r="G625" s="4"/>
      <c r="H625" s="4"/>
      <c r="I625" s="4"/>
      <c r="J625" s="4"/>
      <c r="K625" s="4"/>
      <c r="L625" s="53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76"/>
      <c r="F626" s="53"/>
      <c r="G626" s="4"/>
      <c r="H626" s="4"/>
      <c r="I626" s="4"/>
      <c r="J626" s="4"/>
      <c r="K626" s="4"/>
      <c r="L626" s="53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76"/>
      <c r="F627" s="53"/>
      <c r="G627" s="4"/>
      <c r="H627" s="4"/>
      <c r="I627" s="4"/>
      <c r="J627" s="4"/>
      <c r="K627" s="4"/>
      <c r="L627" s="53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76"/>
      <c r="F628" s="53"/>
      <c r="G628" s="4"/>
      <c r="H628" s="4"/>
      <c r="I628" s="4"/>
      <c r="J628" s="4"/>
      <c r="K628" s="4"/>
      <c r="L628" s="53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76"/>
      <c r="F629" s="53"/>
      <c r="G629" s="4"/>
      <c r="H629" s="4"/>
      <c r="I629" s="4"/>
      <c r="J629" s="4"/>
      <c r="K629" s="4"/>
      <c r="L629" s="53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76"/>
      <c r="F630" s="53"/>
      <c r="G630" s="4"/>
      <c r="H630" s="4"/>
      <c r="I630" s="4"/>
      <c r="J630" s="4"/>
      <c r="K630" s="4"/>
      <c r="L630" s="53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76"/>
      <c r="F631" s="53"/>
      <c r="G631" s="4"/>
      <c r="H631" s="4"/>
      <c r="I631" s="4"/>
      <c r="J631" s="4"/>
      <c r="K631" s="4"/>
      <c r="L631" s="53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76"/>
      <c r="F632" s="53"/>
      <c r="G632" s="4"/>
      <c r="H632" s="4"/>
      <c r="I632" s="4"/>
      <c r="J632" s="4"/>
      <c r="K632" s="4"/>
      <c r="L632" s="53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76"/>
      <c r="F633" s="53"/>
      <c r="G633" s="4"/>
      <c r="H633" s="4"/>
      <c r="I633" s="4"/>
      <c r="J633" s="4"/>
      <c r="K633" s="4"/>
      <c r="L633" s="53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76"/>
      <c r="F634" s="53"/>
      <c r="G634" s="4"/>
      <c r="H634" s="4"/>
      <c r="I634" s="4"/>
      <c r="J634" s="4"/>
      <c r="K634" s="4"/>
      <c r="L634" s="53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76"/>
      <c r="F635" s="53"/>
      <c r="G635" s="4"/>
      <c r="H635" s="4"/>
      <c r="I635" s="4"/>
      <c r="J635" s="4"/>
      <c r="K635" s="4"/>
      <c r="L635" s="53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76"/>
      <c r="F636" s="53"/>
      <c r="G636" s="4"/>
      <c r="H636" s="4"/>
      <c r="I636" s="4"/>
      <c r="J636" s="4"/>
      <c r="K636" s="4"/>
      <c r="L636" s="53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76"/>
      <c r="F637" s="53"/>
      <c r="G637" s="4"/>
      <c r="H637" s="4"/>
      <c r="I637" s="4"/>
      <c r="J637" s="4"/>
      <c r="K637" s="4"/>
      <c r="L637" s="53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76"/>
      <c r="F638" s="53"/>
      <c r="G638" s="4"/>
      <c r="H638" s="4"/>
      <c r="I638" s="4"/>
      <c r="J638" s="4"/>
      <c r="K638" s="4"/>
      <c r="L638" s="53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76"/>
      <c r="F639" s="53"/>
      <c r="G639" s="4"/>
      <c r="H639" s="4"/>
      <c r="I639" s="4"/>
      <c r="J639" s="4"/>
      <c r="K639" s="4"/>
      <c r="L639" s="53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76"/>
      <c r="F640" s="53"/>
      <c r="G640" s="4"/>
      <c r="H640" s="4"/>
      <c r="I640" s="4"/>
      <c r="J640" s="4"/>
      <c r="K640" s="4"/>
      <c r="L640" s="53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76"/>
      <c r="F641" s="53"/>
      <c r="G641" s="4"/>
      <c r="H641" s="4"/>
      <c r="I641" s="4"/>
      <c r="J641" s="4"/>
      <c r="K641" s="4"/>
      <c r="L641" s="53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76"/>
      <c r="F642" s="53"/>
      <c r="G642" s="4"/>
      <c r="H642" s="4"/>
      <c r="I642" s="4"/>
      <c r="J642" s="4"/>
      <c r="K642" s="4"/>
      <c r="L642" s="53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76"/>
      <c r="F643" s="53"/>
      <c r="G643" s="4"/>
      <c r="H643" s="4"/>
      <c r="I643" s="4"/>
      <c r="J643" s="4"/>
      <c r="K643" s="4"/>
      <c r="L643" s="53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76"/>
      <c r="F644" s="53"/>
      <c r="G644" s="4"/>
      <c r="H644" s="4"/>
      <c r="I644" s="4"/>
      <c r="J644" s="4"/>
      <c r="K644" s="4"/>
      <c r="L644" s="53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76"/>
      <c r="F645" s="53"/>
      <c r="G645" s="4"/>
      <c r="H645" s="4"/>
      <c r="I645" s="4"/>
      <c r="J645" s="4"/>
      <c r="K645" s="4"/>
      <c r="L645" s="53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76"/>
      <c r="F646" s="53"/>
      <c r="G646" s="4"/>
      <c r="H646" s="4"/>
      <c r="I646" s="4"/>
      <c r="J646" s="4"/>
      <c r="K646" s="4"/>
      <c r="L646" s="53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76"/>
      <c r="F647" s="53"/>
      <c r="G647" s="4"/>
      <c r="H647" s="4"/>
      <c r="I647" s="4"/>
      <c r="J647" s="4"/>
      <c r="K647" s="4"/>
      <c r="L647" s="53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76"/>
      <c r="F648" s="53"/>
      <c r="G648" s="4"/>
      <c r="H648" s="4"/>
      <c r="I648" s="4"/>
      <c r="J648" s="4"/>
      <c r="K648" s="4"/>
      <c r="L648" s="53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76"/>
      <c r="F649" s="53"/>
      <c r="G649" s="4"/>
      <c r="H649" s="4"/>
      <c r="I649" s="4"/>
      <c r="J649" s="4"/>
      <c r="K649" s="4"/>
      <c r="L649" s="53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76"/>
      <c r="F650" s="53"/>
      <c r="G650" s="4"/>
      <c r="H650" s="4"/>
      <c r="I650" s="4"/>
      <c r="J650" s="4"/>
      <c r="K650" s="4"/>
      <c r="L650" s="53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76"/>
      <c r="F651" s="53"/>
      <c r="G651" s="4"/>
      <c r="H651" s="4"/>
      <c r="I651" s="4"/>
      <c r="J651" s="4"/>
      <c r="K651" s="4"/>
      <c r="L651" s="53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76"/>
      <c r="F652" s="53"/>
      <c r="G652" s="4"/>
      <c r="H652" s="4"/>
      <c r="I652" s="4"/>
      <c r="J652" s="4"/>
      <c r="K652" s="4"/>
      <c r="L652" s="53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76"/>
      <c r="F653" s="53"/>
      <c r="G653" s="4"/>
      <c r="H653" s="4"/>
      <c r="I653" s="4"/>
      <c r="J653" s="4"/>
      <c r="K653" s="4"/>
      <c r="L653" s="53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76"/>
      <c r="F654" s="53"/>
      <c r="G654" s="4"/>
      <c r="H654" s="4"/>
      <c r="I654" s="4"/>
      <c r="J654" s="4"/>
      <c r="K654" s="4"/>
      <c r="L654" s="53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76"/>
      <c r="F655" s="53"/>
      <c r="G655" s="4"/>
      <c r="H655" s="4"/>
      <c r="I655" s="4"/>
      <c r="J655" s="4"/>
      <c r="K655" s="4"/>
      <c r="L655" s="53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76"/>
      <c r="F656" s="53"/>
      <c r="G656" s="4"/>
      <c r="H656" s="4"/>
      <c r="I656" s="4"/>
      <c r="J656" s="4"/>
      <c r="K656" s="4"/>
      <c r="L656" s="53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76"/>
      <c r="F657" s="53"/>
      <c r="G657" s="4"/>
      <c r="H657" s="4"/>
      <c r="I657" s="4"/>
      <c r="J657" s="4"/>
      <c r="K657" s="4"/>
      <c r="L657" s="53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76"/>
      <c r="F658" s="53"/>
      <c r="G658" s="4"/>
      <c r="H658" s="4"/>
      <c r="I658" s="4"/>
      <c r="J658" s="4"/>
      <c r="K658" s="4"/>
      <c r="L658" s="53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76"/>
      <c r="F659" s="53"/>
      <c r="G659" s="4"/>
      <c r="H659" s="4"/>
      <c r="I659" s="4"/>
      <c r="J659" s="4"/>
      <c r="K659" s="4"/>
      <c r="L659" s="53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76"/>
      <c r="F660" s="53"/>
      <c r="G660" s="4"/>
      <c r="H660" s="4"/>
      <c r="I660" s="4"/>
      <c r="J660" s="4"/>
      <c r="K660" s="4"/>
      <c r="L660" s="53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76"/>
      <c r="F661" s="53"/>
      <c r="G661" s="4"/>
      <c r="H661" s="4"/>
      <c r="I661" s="4"/>
      <c r="J661" s="4"/>
      <c r="K661" s="4"/>
      <c r="L661" s="53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76"/>
      <c r="F662" s="53"/>
      <c r="G662" s="4"/>
      <c r="H662" s="4"/>
      <c r="I662" s="4"/>
      <c r="J662" s="4"/>
      <c r="K662" s="4"/>
      <c r="L662" s="53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76"/>
      <c r="F663" s="53"/>
      <c r="G663" s="4"/>
      <c r="H663" s="4"/>
      <c r="I663" s="4"/>
      <c r="J663" s="4"/>
      <c r="K663" s="4"/>
      <c r="L663" s="53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76"/>
      <c r="F664" s="53"/>
      <c r="G664" s="4"/>
      <c r="H664" s="4"/>
      <c r="I664" s="4"/>
      <c r="J664" s="4"/>
      <c r="K664" s="4"/>
      <c r="L664" s="53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76"/>
      <c r="F665" s="53"/>
      <c r="G665" s="4"/>
      <c r="H665" s="4"/>
      <c r="I665" s="4"/>
      <c r="J665" s="4"/>
      <c r="K665" s="4"/>
      <c r="L665" s="53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76"/>
      <c r="F666" s="53"/>
      <c r="G666" s="4"/>
      <c r="H666" s="4"/>
      <c r="I666" s="4"/>
      <c r="J666" s="4"/>
      <c r="K666" s="4"/>
      <c r="L666" s="53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76"/>
      <c r="F667" s="53"/>
      <c r="G667" s="4"/>
      <c r="H667" s="4"/>
      <c r="I667" s="4"/>
      <c r="J667" s="4"/>
      <c r="K667" s="4"/>
      <c r="L667" s="53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76"/>
      <c r="F668" s="53"/>
      <c r="G668" s="4"/>
      <c r="H668" s="4"/>
      <c r="I668" s="4"/>
      <c r="J668" s="4"/>
      <c r="K668" s="4"/>
      <c r="L668" s="53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76"/>
      <c r="F669" s="53"/>
      <c r="G669" s="4"/>
      <c r="H669" s="4"/>
      <c r="I669" s="4"/>
      <c r="J669" s="4"/>
      <c r="K669" s="4"/>
      <c r="L669" s="53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76"/>
      <c r="F670" s="53"/>
      <c r="G670" s="4"/>
      <c r="H670" s="4"/>
      <c r="I670" s="4"/>
      <c r="J670" s="4"/>
      <c r="K670" s="4"/>
      <c r="L670" s="53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76"/>
      <c r="F671" s="53"/>
      <c r="G671" s="4"/>
      <c r="H671" s="4"/>
      <c r="I671" s="4"/>
      <c r="J671" s="4"/>
      <c r="K671" s="4"/>
      <c r="L671" s="53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76"/>
      <c r="F672" s="53"/>
      <c r="G672" s="4"/>
      <c r="H672" s="4"/>
      <c r="I672" s="4"/>
      <c r="J672" s="4"/>
      <c r="K672" s="4"/>
      <c r="L672" s="53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76"/>
      <c r="F673" s="53"/>
      <c r="G673" s="4"/>
      <c r="H673" s="4"/>
      <c r="I673" s="4"/>
      <c r="J673" s="4"/>
      <c r="K673" s="4"/>
      <c r="L673" s="53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76"/>
      <c r="F674" s="53"/>
      <c r="G674" s="4"/>
      <c r="H674" s="4"/>
      <c r="I674" s="4"/>
      <c r="J674" s="4"/>
      <c r="K674" s="4"/>
      <c r="L674" s="53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76"/>
      <c r="F675" s="53"/>
      <c r="G675" s="4"/>
      <c r="H675" s="4"/>
      <c r="I675" s="4"/>
      <c r="J675" s="4"/>
      <c r="K675" s="4"/>
      <c r="L675" s="53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76"/>
      <c r="F676" s="53"/>
      <c r="G676" s="4"/>
      <c r="H676" s="4"/>
      <c r="I676" s="4"/>
      <c r="J676" s="4"/>
      <c r="K676" s="4"/>
      <c r="L676" s="53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76"/>
      <c r="F677" s="53"/>
      <c r="G677" s="4"/>
      <c r="H677" s="4"/>
      <c r="I677" s="4"/>
      <c r="J677" s="4"/>
      <c r="K677" s="4"/>
      <c r="L677" s="53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76"/>
      <c r="F678" s="53"/>
      <c r="G678" s="4"/>
      <c r="H678" s="4"/>
      <c r="I678" s="4"/>
      <c r="J678" s="4"/>
      <c r="K678" s="4"/>
      <c r="L678" s="53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76"/>
      <c r="F679" s="53"/>
      <c r="G679" s="4"/>
      <c r="H679" s="4"/>
      <c r="I679" s="4"/>
      <c r="J679" s="4"/>
      <c r="K679" s="4"/>
      <c r="L679" s="53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76"/>
      <c r="F680" s="53"/>
      <c r="G680" s="4"/>
      <c r="H680" s="4"/>
      <c r="I680" s="4"/>
      <c r="J680" s="4"/>
      <c r="K680" s="4"/>
      <c r="L680" s="53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76"/>
      <c r="F681" s="53"/>
      <c r="G681" s="4"/>
      <c r="H681" s="4"/>
      <c r="I681" s="4"/>
      <c r="J681" s="4"/>
      <c r="K681" s="4"/>
      <c r="L681" s="53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76"/>
      <c r="F682" s="53"/>
      <c r="G682" s="4"/>
      <c r="H682" s="4"/>
      <c r="I682" s="4"/>
      <c r="J682" s="4"/>
      <c r="K682" s="4"/>
      <c r="L682" s="53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76"/>
      <c r="F683" s="53"/>
      <c r="G683" s="4"/>
      <c r="H683" s="4"/>
      <c r="I683" s="4"/>
      <c r="J683" s="4"/>
      <c r="K683" s="4"/>
      <c r="L683" s="53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76"/>
      <c r="F684" s="53"/>
      <c r="G684" s="4"/>
      <c r="H684" s="4"/>
      <c r="I684" s="4"/>
      <c r="J684" s="4"/>
      <c r="K684" s="4"/>
      <c r="L684" s="53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76"/>
      <c r="F685" s="53"/>
      <c r="G685" s="4"/>
      <c r="H685" s="4"/>
      <c r="I685" s="4"/>
      <c r="J685" s="4"/>
      <c r="K685" s="4"/>
      <c r="L685" s="53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76"/>
      <c r="F686" s="53"/>
      <c r="G686" s="4"/>
      <c r="H686" s="4"/>
      <c r="I686" s="4"/>
      <c r="J686" s="4"/>
      <c r="K686" s="4"/>
      <c r="L686" s="53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76"/>
      <c r="F687" s="53"/>
      <c r="G687" s="4"/>
      <c r="H687" s="4"/>
      <c r="I687" s="4"/>
      <c r="J687" s="4"/>
      <c r="K687" s="4"/>
      <c r="L687" s="53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76"/>
      <c r="F688" s="53"/>
      <c r="G688" s="4"/>
      <c r="H688" s="4"/>
      <c r="I688" s="4"/>
      <c r="J688" s="4"/>
      <c r="K688" s="4"/>
      <c r="L688" s="53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76"/>
      <c r="F689" s="53"/>
      <c r="G689" s="4"/>
      <c r="H689" s="4"/>
      <c r="I689" s="4"/>
      <c r="J689" s="4"/>
      <c r="K689" s="4"/>
      <c r="L689" s="53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76"/>
      <c r="F690" s="53"/>
      <c r="G690" s="4"/>
      <c r="H690" s="4"/>
      <c r="I690" s="4"/>
      <c r="J690" s="4"/>
      <c r="K690" s="4"/>
      <c r="L690" s="53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76"/>
      <c r="F691" s="53"/>
      <c r="G691" s="4"/>
      <c r="H691" s="4"/>
      <c r="I691" s="4"/>
      <c r="J691" s="4"/>
      <c r="K691" s="4"/>
      <c r="L691" s="53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76"/>
      <c r="F692" s="53"/>
      <c r="G692" s="4"/>
      <c r="H692" s="4"/>
      <c r="I692" s="4"/>
      <c r="J692" s="4"/>
      <c r="K692" s="4"/>
      <c r="L692" s="53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76"/>
      <c r="F693" s="53"/>
      <c r="G693" s="4"/>
      <c r="H693" s="4"/>
      <c r="I693" s="4"/>
      <c r="J693" s="4"/>
      <c r="K693" s="4"/>
      <c r="L693" s="53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76"/>
      <c r="F694" s="53"/>
      <c r="G694" s="4"/>
      <c r="H694" s="4"/>
      <c r="I694" s="4"/>
      <c r="J694" s="4"/>
      <c r="K694" s="4"/>
      <c r="L694" s="53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76"/>
      <c r="F695" s="53"/>
      <c r="G695" s="4"/>
      <c r="H695" s="4"/>
      <c r="I695" s="4"/>
      <c r="J695" s="4"/>
      <c r="K695" s="4"/>
      <c r="L695" s="53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76"/>
      <c r="F696" s="53"/>
      <c r="G696" s="4"/>
      <c r="H696" s="4"/>
      <c r="I696" s="4"/>
      <c r="J696" s="4"/>
      <c r="K696" s="4"/>
      <c r="L696" s="53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76"/>
      <c r="F697" s="53"/>
      <c r="G697" s="4"/>
      <c r="H697" s="4"/>
      <c r="I697" s="4"/>
      <c r="J697" s="4"/>
      <c r="K697" s="4"/>
      <c r="L697" s="53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76"/>
      <c r="F698" s="53"/>
      <c r="G698" s="4"/>
      <c r="H698" s="4"/>
      <c r="I698" s="4"/>
      <c r="J698" s="4"/>
      <c r="K698" s="4"/>
      <c r="L698" s="53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76"/>
      <c r="F699" s="53"/>
      <c r="G699" s="4"/>
      <c r="H699" s="4"/>
      <c r="I699" s="4"/>
      <c r="J699" s="4"/>
      <c r="K699" s="4"/>
      <c r="L699" s="53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76"/>
      <c r="F700" s="53"/>
      <c r="G700" s="4"/>
      <c r="H700" s="4"/>
      <c r="I700" s="4"/>
      <c r="J700" s="4"/>
      <c r="K700" s="4"/>
      <c r="L700" s="53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76"/>
      <c r="F701" s="53"/>
      <c r="G701" s="4"/>
      <c r="H701" s="4"/>
      <c r="I701" s="4"/>
      <c r="J701" s="4"/>
      <c r="K701" s="4"/>
      <c r="L701" s="53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76"/>
      <c r="F702" s="53"/>
      <c r="G702" s="4"/>
      <c r="H702" s="4"/>
      <c r="I702" s="4"/>
      <c r="J702" s="4"/>
      <c r="K702" s="4"/>
      <c r="L702" s="53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76"/>
      <c r="F703" s="53"/>
      <c r="G703" s="4"/>
      <c r="H703" s="4"/>
      <c r="I703" s="4"/>
      <c r="J703" s="4"/>
      <c r="K703" s="4"/>
      <c r="L703" s="53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76"/>
      <c r="F704" s="53"/>
      <c r="G704" s="4"/>
      <c r="H704" s="4"/>
      <c r="I704" s="4"/>
      <c r="J704" s="4"/>
      <c r="K704" s="4"/>
      <c r="L704" s="53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76"/>
      <c r="F705" s="53"/>
      <c r="G705" s="4"/>
      <c r="H705" s="4"/>
      <c r="I705" s="4"/>
      <c r="J705" s="4"/>
      <c r="K705" s="4"/>
      <c r="L705" s="53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76"/>
      <c r="F706" s="53"/>
      <c r="G706" s="4"/>
      <c r="H706" s="4"/>
      <c r="I706" s="4"/>
      <c r="J706" s="4"/>
      <c r="K706" s="4"/>
      <c r="L706" s="53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76"/>
      <c r="F707" s="53"/>
      <c r="G707" s="4"/>
      <c r="H707" s="4"/>
      <c r="I707" s="4"/>
      <c r="J707" s="4"/>
      <c r="K707" s="4"/>
      <c r="L707" s="53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76"/>
      <c r="F708" s="53"/>
      <c r="G708" s="4"/>
      <c r="H708" s="4"/>
      <c r="I708" s="4"/>
      <c r="J708" s="4"/>
      <c r="K708" s="4"/>
      <c r="L708" s="53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76"/>
      <c r="F709" s="53"/>
      <c r="G709" s="4"/>
      <c r="H709" s="4"/>
      <c r="I709" s="4"/>
      <c r="J709" s="4"/>
      <c r="K709" s="4"/>
      <c r="L709" s="53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76"/>
      <c r="F710" s="53"/>
      <c r="G710" s="4"/>
      <c r="H710" s="4"/>
      <c r="I710" s="4"/>
      <c r="J710" s="4"/>
      <c r="K710" s="4"/>
      <c r="L710" s="53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76"/>
      <c r="F711" s="53"/>
      <c r="G711" s="4"/>
      <c r="H711" s="4"/>
      <c r="I711" s="4"/>
      <c r="J711" s="4"/>
      <c r="K711" s="4"/>
      <c r="L711" s="53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76"/>
      <c r="F712" s="53"/>
      <c r="G712" s="4"/>
      <c r="H712" s="4"/>
      <c r="I712" s="4"/>
      <c r="J712" s="4"/>
      <c r="K712" s="4"/>
      <c r="L712" s="53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76"/>
      <c r="F713" s="53"/>
      <c r="G713" s="4"/>
      <c r="H713" s="4"/>
      <c r="I713" s="4"/>
      <c r="J713" s="4"/>
      <c r="K713" s="4"/>
      <c r="L713" s="53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76"/>
      <c r="F714" s="53"/>
      <c r="G714" s="4"/>
      <c r="H714" s="4"/>
      <c r="I714" s="4"/>
      <c r="J714" s="4"/>
      <c r="K714" s="4"/>
      <c r="L714" s="53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76"/>
      <c r="F715" s="53"/>
      <c r="G715" s="4"/>
      <c r="H715" s="4"/>
      <c r="I715" s="4"/>
      <c r="J715" s="4"/>
      <c r="K715" s="4"/>
      <c r="L715" s="53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76"/>
      <c r="F716" s="53"/>
      <c r="G716" s="4"/>
      <c r="H716" s="4"/>
      <c r="I716" s="4"/>
      <c r="J716" s="4"/>
      <c r="K716" s="4"/>
      <c r="L716" s="53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76"/>
      <c r="F717" s="53"/>
      <c r="G717" s="4"/>
      <c r="H717" s="4"/>
      <c r="I717" s="4"/>
      <c r="J717" s="4"/>
      <c r="K717" s="4"/>
      <c r="L717" s="53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76"/>
      <c r="F718" s="53"/>
      <c r="G718" s="4"/>
      <c r="H718" s="4"/>
      <c r="I718" s="4"/>
      <c r="J718" s="4"/>
      <c r="K718" s="4"/>
      <c r="L718" s="53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76"/>
      <c r="F719" s="53"/>
      <c r="G719" s="4"/>
      <c r="H719" s="4"/>
      <c r="I719" s="4"/>
      <c r="J719" s="4"/>
      <c r="K719" s="4"/>
      <c r="L719" s="53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76"/>
      <c r="F720" s="53"/>
      <c r="G720" s="4"/>
      <c r="H720" s="4"/>
      <c r="I720" s="4"/>
      <c r="J720" s="4"/>
      <c r="K720" s="4"/>
      <c r="L720" s="53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76"/>
      <c r="F721" s="53"/>
      <c r="G721" s="4"/>
      <c r="H721" s="4"/>
      <c r="I721" s="4"/>
      <c r="J721" s="4"/>
      <c r="K721" s="4"/>
      <c r="L721" s="53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76"/>
      <c r="F722" s="53"/>
      <c r="G722" s="4"/>
      <c r="H722" s="4"/>
      <c r="I722" s="4"/>
      <c r="J722" s="4"/>
      <c r="K722" s="4"/>
      <c r="L722" s="53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76"/>
      <c r="F723" s="53"/>
      <c r="G723" s="4"/>
      <c r="H723" s="4"/>
      <c r="I723" s="4"/>
      <c r="J723" s="4"/>
      <c r="K723" s="4"/>
      <c r="L723" s="53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76"/>
      <c r="F724" s="53"/>
      <c r="G724" s="4"/>
      <c r="H724" s="4"/>
      <c r="I724" s="4"/>
      <c r="J724" s="4"/>
      <c r="K724" s="4"/>
      <c r="L724" s="53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76"/>
      <c r="F725" s="53"/>
      <c r="G725" s="4"/>
      <c r="H725" s="4"/>
      <c r="I725" s="4"/>
      <c r="J725" s="4"/>
      <c r="K725" s="4"/>
      <c r="L725" s="53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76"/>
      <c r="F726" s="53"/>
      <c r="G726" s="4"/>
      <c r="H726" s="4"/>
      <c r="I726" s="4"/>
      <c r="J726" s="4"/>
      <c r="K726" s="4"/>
      <c r="L726" s="53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76"/>
      <c r="F727" s="53"/>
      <c r="G727" s="4"/>
      <c r="H727" s="4"/>
      <c r="I727" s="4"/>
      <c r="J727" s="4"/>
      <c r="K727" s="4"/>
      <c r="L727" s="53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76"/>
      <c r="F728" s="53"/>
      <c r="G728" s="4"/>
      <c r="H728" s="4"/>
      <c r="I728" s="4"/>
      <c r="J728" s="4"/>
      <c r="K728" s="4"/>
      <c r="L728" s="53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76"/>
      <c r="F729" s="53"/>
      <c r="G729" s="4"/>
      <c r="H729" s="4"/>
      <c r="I729" s="4"/>
      <c r="J729" s="4"/>
      <c r="K729" s="4"/>
      <c r="L729" s="53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76"/>
      <c r="F730" s="53"/>
      <c r="G730" s="4"/>
      <c r="H730" s="4"/>
      <c r="I730" s="4"/>
      <c r="J730" s="4"/>
      <c r="K730" s="4"/>
      <c r="L730" s="53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76"/>
      <c r="F731" s="53"/>
      <c r="G731" s="4"/>
      <c r="H731" s="4"/>
      <c r="I731" s="4"/>
      <c r="J731" s="4"/>
      <c r="K731" s="4"/>
      <c r="L731" s="53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76"/>
      <c r="F732" s="53"/>
      <c r="G732" s="4"/>
      <c r="H732" s="4"/>
      <c r="I732" s="4"/>
      <c r="J732" s="4"/>
      <c r="K732" s="4"/>
      <c r="L732" s="53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76"/>
      <c r="F733" s="53"/>
      <c r="G733" s="4"/>
      <c r="H733" s="4"/>
      <c r="I733" s="4"/>
      <c r="J733" s="4"/>
      <c r="K733" s="4"/>
      <c r="L733" s="53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76"/>
      <c r="F734" s="53"/>
      <c r="G734" s="4"/>
      <c r="H734" s="4"/>
      <c r="I734" s="4"/>
      <c r="J734" s="4"/>
      <c r="K734" s="4"/>
      <c r="L734" s="53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76"/>
      <c r="F735" s="53"/>
      <c r="G735" s="4"/>
      <c r="H735" s="4"/>
      <c r="I735" s="4"/>
      <c r="J735" s="4"/>
      <c r="K735" s="4"/>
      <c r="L735" s="53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76"/>
      <c r="F736" s="53"/>
      <c r="G736" s="4"/>
      <c r="H736" s="4"/>
      <c r="I736" s="4"/>
      <c r="J736" s="4"/>
      <c r="K736" s="4"/>
      <c r="L736" s="53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76"/>
      <c r="F737" s="53"/>
      <c r="G737" s="4"/>
      <c r="H737" s="4"/>
      <c r="I737" s="4"/>
      <c r="J737" s="4"/>
      <c r="K737" s="4"/>
      <c r="L737" s="53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76"/>
      <c r="F738" s="53"/>
      <c r="G738" s="4"/>
      <c r="H738" s="4"/>
      <c r="I738" s="4"/>
      <c r="J738" s="4"/>
      <c r="K738" s="4"/>
      <c r="L738" s="53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76"/>
      <c r="F739" s="53"/>
      <c r="G739" s="4"/>
      <c r="H739" s="4"/>
      <c r="I739" s="4"/>
      <c r="J739" s="4"/>
      <c r="K739" s="4"/>
      <c r="L739" s="53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76"/>
      <c r="F740" s="53"/>
      <c r="G740" s="4"/>
      <c r="H740" s="4"/>
      <c r="I740" s="4"/>
      <c r="J740" s="4"/>
      <c r="K740" s="4"/>
      <c r="L740" s="53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76"/>
      <c r="F741" s="53"/>
      <c r="G741" s="4"/>
      <c r="H741" s="4"/>
      <c r="I741" s="4"/>
      <c r="J741" s="4"/>
      <c r="K741" s="4"/>
      <c r="L741" s="53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76"/>
      <c r="F742" s="53"/>
      <c r="G742" s="4"/>
      <c r="H742" s="4"/>
      <c r="I742" s="4"/>
      <c r="J742" s="4"/>
      <c r="K742" s="4"/>
      <c r="L742" s="53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76"/>
      <c r="F743" s="53"/>
      <c r="G743" s="4"/>
      <c r="H743" s="4"/>
      <c r="I743" s="4"/>
      <c r="J743" s="4"/>
      <c r="K743" s="4"/>
      <c r="L743" s="53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76"/>
      <c r="F744" s="53"/>
      <c r="G744" s="4"/>
      <c r="H744" s="4"/>
      <c r="I744" s="4"/>
      <c r="J744" s="4"/>
      <c r="K744" s="4"/>
      <c r="L744" s="53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76"/>
      <c r="F745" s="53"/>
      <c r="G745" s="4"/>
      <c r="H745" s="4"/>
      <c r="I745" s="4"/>
      <c r="J745" s="4"/>
      <c r="K745" s="4"/>
      <c r="L745" s="53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76"/>
      <c r="F746" s="53"/>
      <c r="G746" s="4"/>
      <c r="H746" s="4"/>
      <c r="I746" s="4"/>
      <c r="J746" s="4"/>
      <c r="K746" s="4"/>
      <c r="L746" s="53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76"/>
      <c r="F747" s="53"/>
      <c r="G747" s="4"/>
      <c r="H747" s="4"/>
      <c r="I747" s="4"/>
      <c r="J747" s="4"/>
      <c r="K747" s="4"/>
      <c r="L747" s="53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76"/>
      <c r="F748" s="53"/>
      <c r="G748" s="4"/>
      <c r="H748" s="4"/>
      <c r="I748" s="4"/>
      <c r="J748" s="4"/>
      <c r="K748" s="4"/>
      <c r="L748" s="53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76"/>
      <c r="F749" s="53"/>
      <c r="G749" s="4"/>
      <c r="H749" s="4"/>
      <c r="I749" s="4"/>
      <c r="J749" s="4"/>
      <c r="K749" s="4"/>
      <c r="L749" s="53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76"/>
      <c r="F750" s="53"/>
      <c r="G750" s="4"/>
      <c r="H750" s="4"/>
      <c r="I750" s="4"/>
      <c r="J750" s="4"/>
      <c r="K750" s="4"/>
      <c r="L750" s="53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76"/>
      <c r="F751" s="53"/>
      <c r="G751" s="4"/>
      <c r="H751" s="4"/>
      <c r="I751" s="4"/>
      <c r="J751" s="4"/>
      <c r="K751" s="4"/>
      <c r="L751" s="53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76"/>
      <c r="F752" s="53"/>
      <c r="G752" s="4"/>
      <c r="H752" s="4"/>
      <c r="I752" s="4"/>
      <c r="J752" s="4"/>
      <c r="K752" s="4"/>
      <c r="L752" s="53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76"/>
      <c r="F753" s="53"/>
      <c r="G753" s="4"/>
      <c r="H753" s="4"/>
      <c r="I753" s="4"/>
      <c r="J753" s="4"/>
      <c r="K753" s="4"/>
      <c r="L753" s="53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76"/>
      <c r="F754" s="53"/>
      <c r="G754" s="4"/>
      <c r="H754" s="4"/>
      <c r="I754" s="4"/>
      <c r="J754" s="4"/>
      <c r="K754" s="4"/>
      <c r="L754" s="53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76"/>
      <c r="F755" s="53"/>
      <c r="G755" s="4"/>
      <c r="H755" s="4"/>
      <c r="I755" s="4"/>
      <c r="J755" s="4"/>
      <c r="K755" s="4"/>
      <c r="L755" s="53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76"/>
      <c r="F756" s="53"/>
      <c r="G756" s="4"/>
      <c r="H756" s="4"/>
      <c r="I756" s="4"/>
      <c r="J756" s="4"/>
      <c r="K756" s="4"/>
      <c r="L756" s="53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76"/>
      <c r="F757" s="53"/>
      <c r="G757" s="4"/>
      <c r="H757" s="4"/>
      <c r="I757" s="4"/>
      <c r="J757" s="4"/>
      <c r="K757" s="4"/>
      <c r="L757" s="53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76"/>
      <c r="F758" s="53"/>
      <c r="G758" s="4"/>
      <c r="H758" s="4"/>
      <c r="I758" s="4"/>
      <c r="J758" s="4"/>
      <c r="K758" s="4"/>
      <c r="L758" s="53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76"/>
      <c r="F759" s="53"/>
      <c r="G759" s="4"/>
      <c r="H759" s="4"/>
      <c r="I759" s="4"/>
      <c r="J759" s="4"/>
      <c r="K759" s="4"/>
      <c r="L759" s="53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76"/>
      <c r="F760" s="53"/>
      <c r="G760" s="4"/>
      <c r="H760" s="4"/>
      <c r="I760" s="4"/>
      <c r="J760" s="4"/>
      <c r="K760" s="4"/>
      <c r="L760" s="53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76"/>
      <c r="F761" s="53"/>
      <c r="G761" s="4"/>
      <c r="H761" s="4"/>
      <c r="I761" s="4"/>
      <c r="J761" s="4"/>
      <c r="K761" s="4"/>
      <c r="L761" s="53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76"/>
      <c r="F762" s="53"/>
      <c r="G762" s="4"/>
      <c r="H762" s="4"/>
      <c r="I762" s="4"/>
      <c r="J762" s="4"/>
      <c r="K762" s="4"/>
      <c r="L762" s="53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76"/>
      <c r="F763" s="53"/>
      <c r="G763" s="4"/>
      <c r="H763" s="4"/>
      <c r="I763" s="4"/>
      <c r="J763" s="4"/>
      <c r="K763" s="4"/>
      <c r="L763" s="53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76"/>
      <c r="F764" s="53"/>
      <c r="G764" s="4"/>
      <c r="H764" s="4"/>
      <c r="I764" s="4"/>
      <c r="J764" s="4"/>
      <c r="K764" s="4"/>
      <c r="L764" s="53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76"/>
      <c r="F765" s="53"/>
      <c r="G765" s="4"/>
      <c r="H765" s="4"/>
      <c r="I765" s="4"/>
      <c r="J765" s="4"/>
      <c r="K765" s="4"/>
      <c r="L765" s="53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76"/>
      <c r="F766" s="53"/>
      <c r="G766" s="4"/>
      <c r="H766" s="4"/>
      <c r="I766" s="4"/>
      <c r="J766" s="4"/>
      <c r="K766" s="4"/>
      <c r="L766" s="53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76"/>
      <c r="F767" s="53"/>
      <c r="G767" s="4"/>
      <c r="H767" s="4"/>
      <c r="I767" s="4"/>
      <c r="J767" s="4"/>
      <c r="K767" s="4"/>
      <c r="L767" s="53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76"/>
      <c r="F768" s="53"/>
      <c r="G768" s="4"/>
      <c r="H768" s="4"/>
      <c r="I768" s="4"/>
      <c r="J768" s="4"/>
      <c r="K768" s="4"/>
      <c r="L768" s="53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76"/>
      <c r="F769" s="53"/>
      <c r="G769" s="4"/>
      <c r="H769" s="4"/>
      <c r="I769" s="4"/>
      <c r="J769" s="4"/>
      <c r="K769" s="4"/>
      <c r="L769" s="53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76"/>
      <c r="F770" s="53"/>
      <c r="G770" s="4"/>
      <c r="H770" s="4"/>
      <c r="I770" s="4"/>
      <c r="J770" s="4"/>
      <c r="K770" s="4"/>
      <c r="L770" s="53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76"/>
      <c r="F771" s="53"/>
      <c r="G771" s="4"/>
      <c r="H771" s="4"/>
      <c r="I771" s="4"/>
      <c r="J771" s="4"/>
      <c r="K771" s="4"/>
      <c r="L771" s="53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76"/>
      <c r="F772" s="53"/>
      <c r="G772" s="4"/>
      <c r="H772" s="4"/>
      <c r="I772" s="4"/>
      <c r="J772" s="4"/>
      <c r="K772" s="4"/>
      <c r="L772" s="53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76"/>
      <c r="F773" s="53"/>
      <c r="G773" s="4"/>
      <c r="H773" s="4"/>
      <c r="I773" s="4"/>
      <c r="J773" s="4"/>
      <c r="K773" s="4"/>
      <c r="L773" s="53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76"/>
      <c r="F774" s="53"/>
      <c r="G774" s="4"/>
      <c r="H774" s="4"/>
      <c r="I774" s="4"/>
      <c r="J774" s="4"/>
      <c r="K774" s="4"/>
      <c r="L774" s="53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76"/>
      <c r="F775" s="53"/>
      <c r="G775" s="4"/>
      <c r="H775" s="4"/>
      <c r="I775" s="4"/>
      <c r="J775" s="4"/>
      <c r="K775" s="4"/>
      <c r="L775" s="53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76"/>
      <c r="F776" s="53"/>
      <c r="G776" s="4"/>
      <c r="H776" s="4"/>
      <c r="I776" s="4"/>
      <c r="J776" s="4"/>
      <c r="K776" s="4"/>
      <c r="L776" s="53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76"/>
      <c r="F777" s="53"/>
      <c r="G777" s="4"/>
      <c r="H777" s="4"/>
      <c r="I777" s="4"/>
      <c r="J777" s="4"/>
      <c r="K777" s="4"/>
      <c r="L777" s="53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76"/>
      <c r="F778" s="53"/>
      <c r="G778" s="4"/>
      <c r="H778" s="4"/>
      <c r="I778" s="4"/>
      <c r="J778" s="4"/>
      <c r="K778" s="4"/>
      <c r="L778" s="53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76"/>
      <c r="F779" s="53"/>
      <c r="G779" s="4"/>
      <c r="H779" s="4"/>
      <c r="I779" s="4"/>
      <c r="J779" s="4"/>
      <c r="K779" s="4"/>
      <c r="L779" s="53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76"/>
      <c r="F780" s="53"/>
      <c r="G780" s="4"/>
      <c r="H780" s="4"/>
      <c r="I780" s="4"/>
      <c r="J780" s="4"/>
      <c r="K780" s="4"/>
      <c r="L780" s="53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76"/>
      <c r="F781" s="53"/>
      <c r="G781" s="4"/>
      <c r="H781" s="4"/>
      <c r="I781" s="4"/>
      <c r="J781" s="4"/>
      <c r="K781" s="4"/>
      <c r="L781" s="53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76"/>
      <c r="F782" s="53"/>
      <c r="G782" s="4"/>
      <c r="H782" s="4"/>
      <c r="I782" s="4"/>
      <c r="J782" s="4"/>
      <c r="K782" s="4"/>
      <c r="L782" s="53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76"/>
      <c r="F783" s="53"/>
      <c r="G783" s="4"/>
      <c r="H783" s="4"/>
      <c r="I783" s="4"/>
      <c r="J783" s="4"/>
      <c r="K783" s="4"/>
      <c r="L783" s="53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76"/>
      <c r="F784" s="53"/>
      <c r="G784" s="4"/>
      <c r="H784" s="4"/>
      <c r="I784" s="4"/>
      <c r="J784" s="4"/>
      <c r="K784" s="4"/>
      <c r="L784" s="53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76"/>
      <c r="F785" s="53"/>
      <c r="G785" s="4"/>
      <c r="H785" s="4"/>
      <c r="I785" s="4"/>
      <c r="J785" s="4"/>
      <c r="K785" s="4"/>
      <c r="L785" s="53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76"/>
      <c r="F786" s="53"/>
      <c r="G786" s="4"/>
      <c r="H786" s="4"/>
      <c r="I786" s="4"/>
      <c r="J786" s="4"/>
      <c r="K786" s="4"/>
      <c r="L786" s="53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76"/>
      <c r="F787" s="53"/>
      <c r="G787" s="4"/>
      <c r="H787" s="4"/>
      <c r="I787" s="4"/>
      <c r="J787" s="4"/>
      <c r="K787" s="4"/>
      <c r="L787" s="53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76"/>
      <c r="F788" s="53"/>
      <c r="G788" s="4"/>
      <c r="H788" s="4"/>
      <c r="I788" s="4"/>
      <c r="J788" s="4"/>
      <c r="K788" s="4"/>
      <c r="L788" s="53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76"/>
      <c r="F789" s="53"/>
      <c r="G789" s="4"/>
      <c r="H789" s="4"/>
      <c r="I789" s="4"/>
      <c r="J789" s="4"/>
      <c r="K789" s="4"/>
      <c r="L789" s="53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76"/>
      <c r="F790" s="53"/>
      <c r="G790" s="4"/>
      <c r="H790" s="4"/>
      <c r="I790" s="4"/>
      <c r="J790" s="4"/>
      <c r="K790" s="4"/>
      <c r="L790" s="53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76"/>
      <c r="F791" s="53"/>
      <c r="G791" s="4"/>
      <c r="H791" s="4"/>
      <c r="I791" s="4"/>
      <c r="J791" s="4"/>
      <c r="K791" s="4"/>
      <c r="L791" s="53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76"/>
      <c r="F792" s="53"/>
      <c r="G792" s="4"/>
      <c r="H792" s="4"/>
      <c r="I792" s="4"/>
      <c r="J792" s="4"/>
      <c r="K792" s="4"/>
      <c r="L792" s="53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76"/>
      <c r="F793" s="53"/>
      <c r="G793" s="4"/>
      <c r="H793" s="4"/>
      <c r="I793" s="4"/>
      <c r="J793" s="4"/>
      <c r="K793" s="4"/>
      <c r="L793" s="53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76"/>
      <c r="F794" s="53"/>
      <c r="G794" s="4"/>
      <c r="H794" s="4"/>
      <c r="I794" s="4"/>
      <c r="J794" s="4"/>
      <c r="K794" s="4"/>
      <c r="L794" s="53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76"/>
      <c r="F795" s="53"/>
      <c r="G795" s="4"/>
      <c r="H795" s="4"/>
      <c r="I795" s="4"/>
      <c r="J795" s="4"/>
      <c r="K795" s="4"/>
      <c r="L795" s="53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76"/>
      <c r="F796" s="53"/>
      <c r="G796" s="4"/>
      <c r="H796" s="4"/>
      <c r="I796" s="4"/>
      <c r="J796" s="4"/>
      <c r="K796" s="4"/>
      <c r="L796" s="53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76"/>
      <c r="F797" s="53"/>
      <c r="G797" s="4"/>
      <c r="H797" s="4"/>
      <c r="I797" s="4"/>
      <c r="J797" s="4"/>
      <c r="K797" s="4"/>
      <c r="L797" s="53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76"/>
      <c r="F798" s="53"/>
      <c r="G798" s="4"/>
      <c r="H798" s="4"/>
      <c r="I798" s="4"/>
      <c r="J798" s="4"/>
      <c r="K798" s="4"/>
      <c r="L798" s="53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76"/>
      <c r="F799" s="53"/>
      <c r="G799" s="4"/>
      <c r="H799" s="4"/>
      <c r="I799" s="4"/>
      <c r="J799" s="4"/>
      <c r="K799" s="4"/>
      <c r="L799" s="53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76"/>
      <c r="F800" s="53"/>
      <c r="G800" s="4"/>
      <c r="H800" s="4"/>
      <c r="I800" s="4"/>
      <c r="J800" s="4"/>
      <c r="K800" s="4"/>
      <c r="L800" s="53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76"/>
      <c r="F801" s="53"/>
      <c r="G801" s="4"/>
      <c r="H801" s="4"/>
      <c r="I801" s="4"/>
      <c r="J801" s="4"/>
      <c r="K801" s="4"/>
      <c r="L801" s="53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76"/>
      <c r="F802" s="53"/>
      <c r="G802" s="4"/>
      <c r="H802" s="4"/>
      <c r="I802" s="4"/>
      <c r="J802" s="4"/>
      <c r="K802" s="4"/>
      <c r="L802" s="53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76"/>
      <c r="F803" s="53"/>
      <c r="G803" s="4"/>
      <c r="H803" s="4"/>
      <c r="I803" s="4"/>
      <c r="J803" s="4"/>
      <c r="K803" s="4"/>
      <c r="L803" s="53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76"/>
      <c r="F804" s="53"/>
      <c r="G804" s="4"/>
      <c r="H804" s="4"/>
      <c r="I804" s="4"/>
      <c r="J804" s="4"/>
      <c r="K804" s="4"/>
      <c r="L804" s="53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76"/>
      <c r="F805" s="53"/>
      <c r="G805" s="4"/>
      <c r="H805" s="4"/>
      <c r="I805" s="4"/>
      <c r="J805" s="4"/>
      <c r="K805" s="4"/>
      <c r="L805" s="53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76"/>
      <c r="F806" s="53"/>
      <c r="G806" s="4"/>
      <c r="H806" s="4"/>
      <c r="I806" s="4"/>
      <c r="J806" s="4"/>
      <c r="K806" s="4"/>
      <c r="L806" s="53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76"/>
      <c r="F807" s="53"/>
      <c r="G807" s="4"/>
      <c r="H807" s="4"/>
      <c r="I807" s="4"/>
      <c r="J807" s="4"/>
      <c r="K807" s="4"/>
      <c r="L807" s="53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76"/>
      <c r="F808" s="53"/>
      <c r="G808" s="4"/>
      <c r="H808" s="4"/>
      <c r="I808" s="4"/>
      <c r="J808" s="4"/>
      <c r="K808" s="4"/>
      <c r="L808" s="53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76"/>
      <c r="F809" s="53"/>
      <c r="G809" s="4"/>
      <c r="H809" s="4"/>
      <c r="I809" s="4"/>
      <c r="J809" s="4"/>
      <c r="K809" s="4"/>
      <c r="L809" s="53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76"/>
      <c r="F810" s="53"/>
      <c r="G810" s="4"/>
      <c r="H810" s="4"/>
      <c r="I810" s="4"/>
      <c r="J810" s="4"/>
      <c r="K810" s="4"/>
      <c r="L810" s="53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76"/>
      <c r="F811" s="53"/>
      <c r="G811" s="4"/>
      <c r="H811" s="4"/>
      <c r="I811" s="4"/>
      <c r="J811" s="4"/>
      <c r="K811" s="4"/>
      <c r="L811" s="53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76"/>
      <c r="F812" s="53"/>
      <c r="G812" s="4"/>
      <c r="H812" s="4"/>
      <c r="I812" s="4"/>
      <c r="J812" s="4"/>
      <c r="K812" s="4"/>
      <c r="L812" s="53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76"/>
      <c r="F813" s="53"/>
      <c r="G813" s="4"/>
      <c r="H813" s="4"/>
      <c r="I813" s="4"/>
      <c r="J813" s="4"/>
      <c r="K813" s="4"/>
      <c r="L813" s="53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76"/>
      <c r="F814" s="53"/>
      <c r="G814" s="4"/>
      <c r="H814" s="4"/>
      <c r="I814" s="4"/>
      <c r="J814" s="4"/>
      <c r="K814" s="4"/>
      <c r="L814" s="53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76"/>
      <c r="F815" s="53"/>
      <c r="G815" s="4"/>
      <c r="H815" s="4"/>
      <c r="I815" s="4"/>
      <c r="J815" s="4"/>
      <c r="K815" s="4"/>
      <c r="L815" s="53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76"/>
      <c r="F816" s="53"/>
      <c r="G816" s="4"/>
      <c r="H816" s="4"/>
      <c r="I816" s="4"/>
      <c r="J816" s="4"/>
      <c r="K816" s="4"/>
      <c r="L816" s="53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76"/>
      <c r="F817" s="53"/>
      <c r="G817" s="4"/>
      <c r="H817" s="4"/>
      <c r="I817" s="4"/>
      <c r="J817" s="4"/>
      <c r="K817" s="4"/>
      <c r="L817" s="53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76"/>
      <c r="F818" s="53"/>
      <c r="G818" s="4"/>
      <c r="H818" s="4"/>
      <c r="I818" s="4"/>
      <c r="J818" s="4"/>
      <c r="K818" s="4"/>
      <c r="L818" s="53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76"/>
      <c r="F819" s="53"/>
      <c r="G819" s="4"/>
      <c r="H819" s="4"/>
      <c r="I819" s="4"/>
      <c r="J819" s="4"/>
      <c r="K819" s="4"/>
      <c r="L819" s="53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76"/>
      <c r="F820" s="53"/>
      <c r="G820" s="4"/>
      <c r="H820" s="4"/>
      <c r="I820" s="4"/>
      <c r="J820" s="4"/>
      <c r="K820" s="4"/>
      <c r="L820" s="53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76"/>
      <c r="F821" s="53"/>
      <c r="G821" s="4"/>
      <c r="H821" s="4"/>
      <c r="I821" s="4"/>
      <c r="J821" s="4"/>
      <c r="K821" s="4"/>
      <c r="L821" s="53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76"/>
      <c r="F822" s="53"/>
      <c r="G822" s="4"/>
      <c r="H822" s="4"/>
      <c r="I822" s="4"/>
      <c r="J822" s="4"/>
      <c r="K822" s="4"/>
      <c r="L822" s="53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76"/>
      <c r="F823" s="53"/>
      <c r="G823" s="4"/>
      <c r="H823" s="4"/>
      <c r="I823" s="4"/>
      <c r="J823" s="4"/>
      <c r="K823" s="4"/>
      <c r="L823" s="53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76"/>
      <c r="F824" s="53"/>
      <c r="G824" s="4"/>
      <c r="H824" s="4"/>
      <c r="I824" s="4"/>
      <c r="J824" s="4"/>
      <c r="K824" s="4"/>
      <c r="L824" s="53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76"/>
      <c r="F825" s="53"/>
      <c r="G825" s="4"/>
      <c r="H825" s="4"/>
      <c r="I825" s="4"/>
      <c r="J825" s="4"/>
      <c r="K825" s="4"/>
      <c r="L825" s="53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76"/>
      <c r="F826" s="53"/>
      <c r="G826" s="4"/>
      <c r="H826" s="4"/>
      <c r="I826" s="4"/>
      <c r="J826" s="4"/>
      <c r="K826" s="4"/>
      <c r="L826" s="53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76"/>
      <c r="F827" s="53"/>
      <c r="G827" s="4"/>
      <c r="H827" s="4"/>
      <c r="I827" s="4"/>
      <c r="J827" s="4"/>
      <c r="K827" s="4"/>
      <c r="L827" s="53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76"/>
      <c r="F828" s="53"/>
      <c r="G828" s="4"/>
      <c r="H828" s="4"/>
      <c r="I828" s="4"/>
      <c r="J828" s="4"/>
      <c r="K828" s="4"/>
      <c r="L828" s="53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76"/>
      <c r="F829" s="53"/>
      <c r="G829" s="4"/>
      <c r="H829" s="4"/>
      <c r="I829" s="4"/>
      <c r="J829" s="4"/>
      <c r="K829" s="4"/>
      <c r="L829" s="53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76"/>
      <c r="F830" s="53"/>
      <c r="G830" s="4"/>
      <c r="H830" s="4"/>
      <c r="I830" s="4"/>
      <c r="J830" s="4"/>
      <c r="K830" s="4"/>
      <c r="L830" s="53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76"/>
      <c r="F831" s="53"/>
      <c r="G831" s="4"/>
      <c r="H831" s="4"/>
      <c r="I831" s="4"/>
      <c r="J831" s="4"/>
      <c r="K831" s="4"/>
      <c r="L831" s="53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76"/>
      <c r="F832" s="53"/>
      <c r="G832" s="4"/>
      <c r="H832" s="4"/>
      <c r="I832" s="4"/>
      <c r="J832" s="4"/>
      <c r="K832" s="4"/>
      <c r="L832" s="53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76"/>
      <c r="F833" s="53"/>
      <c r="G833" s="4"/>
      <c r="H833" s="4"/>
      <c r="I833" s="4"/>
      <c r="J833" s="4"/>
      <c r="K833" s="4"/>
      <c r="L833" s="53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76"/>
      <c r="F834" s="53"/>
      <c r="G834" s="4"/>
      <c r="H834" s="4"/>
      <c r="I834" s="4"/>
      <c r="J834" s="4"/>
      <c r="K834" s="4"/>
      <c r="L834" s="53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76"/>
      <c r="F835" s="53"/>
      <c r="G835" s="4"/>
      <c r="H835" s="4"/>
      <c r="I835" s="4"/>
      <c r="J835" s="4"/>
      <c r="K835" s="4"/>
      <c r="L835" s="53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76"/>
      <c r="F836" s="53"/>
      <c r="G836" s="4"/>
      <c r="H836" s="4"/>
      <c r="I836" s="4"/>
      <c r="J836" s="4"/>
      <c r="K836" s="4"/>
      <c r="L836" s="53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76"/>
      <c r="F837" s="53"/>
      <c r="G837" s="4"/>
      <c r="H837" s="4"/>
      <c r="I837" s="4"/>
      <c r="J837" s="4"/>
      <c r="K837" s="4"/>
      <c r="L837" s="53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76"/>
      <c r="F838" s="53"/>
      <c r="G838" s="4"/>
      <c r="H838" s="4"/>
      <c r="I838" s="4"/>
      <c r="J838" s="4"/>
      <c r="K838" s="4"/>
      <c r="L838" s="53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76"/>
      <c r="F839" s="53"/>
      <c r="G839" s="4"/>
      <c r="H839" s="4"/>
      <c r="I839" s="4"/>
      <c r="J839" s="4"/>
      <c r="K839" s="4"/>
      <c r="L839" s="53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76"/>
      <c r="F840" s="53"/>
      <c r="G840" s="4"/>
      <c r="H840" s="4"/>
      <c r="I840" s="4"/>
      <c r="J840" s="4"/>
      <c r="K840" s="4"/>
      <c r="L840" s="53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76"/>
      <c r="F841" s="53"/>
      <c r="G841" s="4"/>
      <c r="H841" s="4"/>
      <c r="I841" s="4"/>
      <c r="J841" s="4"/>
      <c r="K841" s="4"/>
      <c r="L841" s="53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76"/>
      <c r="F842" s="53"/>
      <c r="G842" s="4"/>
      <c r="H842" s="4"/>
      <c r="I842" s="4"/>
      <c r="J842" s="4"/>
      <c r="K842" s="4"/>
      <c r="L842" s="53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76"/>
      <c r="F843" s="53"/>
      <c r="G843" s="4"/>
      <c r="H843" s="4"/>
      <c r="I843" s="4"/>
      <c r="J843" s="4"/>
      <c r="K843" s="4"/>
      <c r="L843" s="53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76"/>
      <c r="F844" s="53"/>
      <c r="G844" s="4"/>
      <c r="H844" s="4"/>
      <c r="I844" s="4"/>
      <c r="J844" s="4"/>
      <c r="K844" s="4"/>
      <c r="L844" s="53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76"/>
      <c r="F845" s="53"/>
      <c r="G845" s="4"/>
      <c r="H845" s="4"/>
      <c r="I845" s="4"/>
      <c r="J845" s="4"/>
      <c r="K845" s="4"/>
      <c r="L845" s="53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76"/>
      <c r="F846" s="53"/>
      <c r="G846" s="4"/>
      <c r="H846" s="4"/>
      <c r="I846" s="4"/>
      <c r="J846" s="4"/>
      <c r="K846" s="4"/>
      <c r="L846" s="53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76"/>
      <c r="F847" s="53"/>
      <c r="G847" s="4"/>
      <c r="H847" s="4"/>
      <c r="I847" s="4"/>
      <c r="J847" s="4"/>
      <c r="K847" s="4"/>
      <c r="L847" s="53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76"/>
      <c r="F848" s="53"/>
      <c r="G848" s="4"/>
      <c r="H848" s="4"/>
      <c r="I848" s="4"/>
      <c r="J848" s="4"/>
      <c r="K848" s="4"/>
      <c r="L848" s="53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76"/>
      <c r="F849" s="53"/>
      <c r="G849" s="4"/>
      <c r="H849" s="4"/>
      <c r="I849" s="4"/>
      <c r="J849" s="4"/>
      <c r="K849" s="4"/>
      <c r="L849" s="53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76"/>
      <c r="F850" s="53"/>
      <c r="G850" s="4"/>
      <c r="H850" s="4"/>
      <c r="I850" s="4"/>
      <c r="J850" s="4"/>
      <c r="K850" s="4"/>
      <c r="L850" s="53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76"/>
      <c r="F851" s="53"/>
      <c r="G851" s="4"/>
      <c r="H851" s="4"/>
      <c r="I851" s="4"/>
      <c r="J851" s="4"/>
      <c r="K851" s="4"/>
      <c r="L851" s="53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76"/>
      <c r="F852" s="53"/>
      <c r="G852" s="4"/>
      <c r="H852" s="4"/>
      <c r="I852" s="4"/>
      <c r="J852" s="4"/>
      <c r="K852" s="4"/>
      <c r="L852" s="53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76"/>
      <c r="F853" s="53"/>
      <c r="G853" s="4"/>
      <c r="H853" s="4"/>
      <c r="I853" s="4"/>
      <c r="J853" s="4"/>
      <c r="K853" s="4"/>
      <c r="L853" s="53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76"/>
      <c r="F854" s="53"/>
      <c r="G854" s="4"/>
      <c r="H854" s="4"/>
      <c r="I854" s="4"/>
      <c r="J854" s="4"/>
      <c r="K854" s="4"/>
      <c r="L854" s="53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76"/>
      <c r="F855" s="53"/>
      <c r="G855" s="4"/>
      <c r="H855" s="4"/>
      <c r="I855" s="4"/>
      <c r="J855" s="4"/>
      <c r="K855" s="4"/>
      <c r="L855" s="53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76"/>
      <c r="F856" s="53"/>
      <c r="G856" s="4"/>
      <c r="H856" s="4"/>
      <c r="I856" s="4"/>
      <c r="J856" s="4"/>
      <c r="K856" s="4"/>
      <c r="L856" s="53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76"/>
      <c r="F857" s="53"/>
      <c r="G857" s="4"/>
      <c r="H857" s="4"/>
      <c r="I857" s="4"/>
      <c r="J857" s="4"/>
      <c r="K857" s="4"/>
      <c r="L857" s="53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76"/>
      <c r="F858" s="53"/>
      <c r="G858" s="4"/>
      <c r="H858" s="4"/>
      <c r="I858" s="4"/>
      <c r="J858" s="4"/>
      <c r="K858" s="4"/>
      <c r="L858" s="53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76"/>
      <c r="F859" s="53"/>
      <c r="G859" s="4"/>
      <c r="H859" s="4"/>
      <c r="I859" s="4"/>
      <c r="J859" s="4"/>
      <c r="K859" s="4"/>
      <c r="L859" s="53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76"/>
      <c r="F860" s="53"/>
      <c r="G860" s="4"/>
      <c r="H860" s="4"/>
      <c r="I860" s="4"/>
      <c r="J860" s="4"/>
      <c r="K860" s="4"/>
      <c r="L860" s="53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76"/>
      <c r="F861" s="53"/>
      <c r="G861" s="4"/>
      <c r="H861" s="4"/>
      <c r="I861" s="4"/>
      <c r="J861" s="4"/>
      <c r="K861" s="4"/>
      <c r="L861" s="53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76"/>
      <c r="F862" s="53"/>
      <c r="G862" s="4"/>
      <c r="H862" s="4"/>
      <c r="I862" s="4"/>
      <c r="J862" s="4"/>
      <c r="K862" s="4"/>
      <c r="L862" s="53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76"/>
      <c r="F863" s="53"/>
      <c r="G863" s="4"/>
      <c r="H863" s="4"/>
      <c r="I863" s="4"/>
      <c r="J863" s="4"/>
      <c r="K863" s="4"/>
      <c r="L863" s="53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76"/>
      <c r="F864" s="53"/>
      <c r="G864" s="4"/>
      <c r="H864" s="4"/>
      <c r="I864" s="4"/>
      <c r="J864" s="4"/>
      <c r="K864" s="4"/>
      <c r="L864" s="53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76"/>
      <c r="F865" s="53"/>
      <c r="G865" s="4"/>
      <c r="H865" s="4"/>
      <c r="I865" s="4"/>
      <c r="J865" s="4"/>
      <c r="K865" s="4"/>
      <c r="L865" s="53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76"/>
      <c r="F866" s="53"/>
      <c r="G866" s="4"/>
      <c r="H866" s="4"/>
      <c r="I866" s="4"/>
      <c r="J866" s="4"/>
      <c r="K866" s="4"/>
      <c r="L866" s="53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76"/>
      <c r="F867" s="53"/>
      <c r="G867" s="4"/>
      <c r="H867" s="4"/>
      <c r="I867" s="4"/>
      <c r="J867" s="4"/>
      <c r="K867" s="4"/>
      <c r="L867" s="53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76"/>
      <c r="F868" s="53"/>
      <c r="G868" s="4"/>
      <c r="H868" s="4"/>
      <c r="I868" s="4"/>
      <c r="J868" s="4"/>
      <c r="K868" s="4"/>
      <c r="L868" s="53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76"/>
      <c r="F869" s="53"/>
      <c r="G869" s="4"/>
      <c r="H869" s="4"/>
      <c r="I869" s="4"/>
      <c r="J869" s="4"/>
      <c r="K869" s="4"/>
      <c r="L869" s="53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76"/>
      <c r="F870" s="53"/>
      <c r="G870" s="4"/>
      <c r="H870" s="4"/>
      <c r="I870" s="4"/>
      <c r="J870" s="4"/>
      <c r="K870" s="4"/>
      <c r="L870" s="53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76"/>
      <c r="F871" s="53"/>
      <c r="G871" s="4"/>
      <c r="H871" s="4"/>
      <c r="I871" s="4"/>
      <c r="J871" s="4"/>
      <c r="K871" s="4"/>
      <c r="L871" s="53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76"/>
      <c r="F872" s="53"/>
      <c r="G872" s="4"/>
      <c r="H872" s="4"/>
      <c r="I872" s="4"/>
      <c r="J872" s="4"/>
      <c r="K872" s="4"/>
      <c r="L872" s="53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76"/>
      <c r="F873" s="53"/>
      <c r="G873" s="4"/>
      <c r="H873" s="4"/>
      <c r="I873" s="4"/>
      <c r="J873" s="4"/>
      <c r="K873" s="4"/>
      <c r="L873" s="53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76"/>
      <c r="F874" s="53"/>
      <c r="G874" s="4"/>
      <c r="H874" s="4"/>
      <c r="I874" s="4"/>
      <c r="J874" s="4"/>
      <c r="K874" s="4"/>
      <c r="L874" s="53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76"/>
      <c r="F875" s="53"/>
      <c r="G875" s="4"/>
      <c r="H875" s="4"/>
      <c r="I875" s="4"/>
      <c r="J875" s="4"/>
      <c r="K875" s="4"/>
      <c r="L875" s="53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76"/>
      <c r="F876" s="53"/>
      <c r="G876" s="4"/>
      <c r="H876" s="4"/>
      <c r="I876" s="4"/>
      <c r="J876" s="4"/>
      <c r="K876" s="4"/>
      <c r="L876" s="53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76"/>
      <c r="F877" s="53"/>
      <c r="G877" s="4"/>
      <c r="H877" s="4"/>
      <c r="I877" s="4"/>
      <c r="J877" s="4"/>
      <c r="K877" s="4"/>
      <c r="L877" s="53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76"/>
      <c r="F878" s="53"/>
      <c r="G878" s="4"/>
      <c r="H878" s="4"/>
      <c r="I878" s="4"/>
      <c r="J878" s="4"/>
      <c r="K878" s="4"/>
      <c r="L878" s="53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76"/>
      <c r="F879" s="53"/>
      <c r="G879" s="4"/>
      <c r="H879" s="4"/>
      <c r="I879" s="4"/>
      <c r="J879" s="4"/>
      <c r="K879" s="4"/>
      <c r="L879" s="53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76"/>
      <c r="F880" s="53"/>
      <c r="G880" s="4"/>
      <c r="H880" s="4"/>
      <c r="I880" s="4"/>
      <c r="J880" s="4"/>
      <c r="K880" s="4"/>
      <c r="L880" s="53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76"/>
      <c r="F881" s="53"/>
      <c r="G881" s="4"/>
      <c r="H881" s="4"/>
      <c r="I881" s="4"/>
      <c r="J881" s="4"/>
      <c r="K881" s="4"/>
      <c r="L881" s="53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76"/>
      <c r="F882" s="53"/>
      <c r="G882" s="4"/>
      <c r="H882" s="4"/>
      <c r="I882" s="4"/>
      <c r="J882" s="4"/>
      <c r="K882" s="4"/>
      <c r="L882" s="53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76"/>
      <c r="F883" s="53"/>
      <c r="G883" s="4"/>
      <c r="H883" s="4"/>
      <c r="I883" s="4"/>
      <c r="J883" s="4"/>
      <c r="K883" s="4"/>
      <c r="L883" s="53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76"/>
      <c r="F884" s="53"/>
      <c r="G884" s="4"/>
      <c r="H884" s="4"/>
      <c r="I884" s="4"/>
      <c r="J884" s="4"/>
      <c r="K884" s="4"/>
      <c r="L884" s="53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76"/>
      <c r="F885" s="53"/>
      <c r="G885" s="4"/>
      <c r="H885" s="4"/>
      <c r="I885" s="4"/>
      <c r="J885" s="4"/>
      <c r="K885" s="4"/>
      <c r="L885" s="53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76"/>
      <c r="F886" s="53"/>
      <c r="G886" s="4"/>
      <c r="H886" s="4"/>
      <c r="I886" s="4"/>
      <c r="J886" s="4"/>
      <c r="K886" s="4"/>
      <c r="L886" s="53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76"/>
      <c r="F887" s="53"/>
      <c r="G887" s="4"/>
      <c r="H887" s="4"/>
      <c r="I887" s="4"/>
      <c r="J887" s="4"/>
      <c r="K887" s="4"/>
      <c r="L887" s="53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76"/>
      <c r="F888" s="53"/>
      <c r="G888" s="4"/>
      <c r="H888" s="4"/>
      <c r="I888" s="4"/>
      <c r="J888" s="4"/>
      <c r="K888" s="4"/>
      <c r="L888" s="53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76"/>
      <c r="F889" s="53"/>
      <c r="G889" s="4"/>
      <c r="H889" s="4"/>
      <c r="I889" s="4"/>
      <c r="J889" s="4"/>
      <c r="K889" s="4"/>
      <c r="L889" s="53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76"/>
      <c r="F890" s="53"/>
      <c r="G890" s="4"/>
      <c r="H890" s="4"/>
      <c r="I890" s="4"/>
      <c r="J890" s="4"/>
      <c r="K890" s="4"/>
      <c r="L890" s="53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76"/>
      <c r="F891" s="53"/>
      <c r="G891" s="4"/>
      <c r="H891" s="4"/>
      <c r="I891" s="4"/>
      <c r="J891" s="4"/>
      <c r="K891" s="4"/>
      <c r="L891" s="53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76"/>
      <c r="F892" s="53"/>
      <c r="G892" s="4"/>
      <c r="H892" s="4"/>
      <c r="I892" s="4"/>
      <c r="J892" s="4"/>
      <c r="K892" s="4"/>
      <c r="L892" s="53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76"/>
      <c r="F893" s="53"/>
      <c r="G893" s="4"/>
      <c r="H893" s="4"/>
      <c r="I893" s="4"/>
      <c r="J893" s="4"/>
      <c r="K893" s="4"/>
      <c r="L893" s="53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76"/>
      <c r="F894" s="53"/>
      <c r="G894" s="4"/>
      <c r="H894" s="4"/>
      <c r="I894" s="4"/>
      <c r="J894" s="4"/>
      <c r="K894" s="4"/>
      <c r="L894" s="53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76"/>
      <c r="F895" s="53"/>
      <c r="G895" s="4"/>
      <c r="H895" s="4"/>
      <c r="I895" s="4"/>
      <c r="J895" s="4"/>
      <c r="K895" s="4"/>
      <c r="L895" s="53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76"/>
      <c r="F896" s="53"/>
      <c r="G896" s="4"/>
      <c r="H896" s="4"/>
      <c r="I896" s="4"/>
      <c r="J896" s="4"/>
      <c r="K896" s="4"/>
      <c r="L896" s="53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76"/>
      <c r="F897" s="53"/>
      <c r="G897" s="4"/>
      <c r="H897" s="4"/>
      <c r="I897" s="4"/>
      <c r="J897" s="4"/>
      <c r="K897" s="4"/>
      <c r="L897" s="53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76"/>
      <c r="F898" s="53"/>
      <c r="G898" s="4"/>
      <c r="H898" s="4"/>
      <c r="I898" s="4"/>
      <c r="J898" s="4"/>
      <c r="K898" s="4"/>
      <c r="L898" s="53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76"/>
      <c r="F899" s="53"/>
      <c r="G899" s="4"/>
      <c r="H899" s="4"/>
      <c r="I899" s="4"/>
      <c r="J899" s="4"/>
      <c r="K899" s="4"/>
      <c r="L899" s="53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76"/>
      <c r="F900" s="53"/>
      <c r="G900" s="4"/>
      <c r="H900" s="4"/>
      <c r="I900" s="4"/>
      <c r="J900" s="4"/>
      <c r="K900" s="4"/>
      <c r="L900" s="53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76"/>
      <c r="F901" s="53"/>
      <c r="G901" s="4"/>
      <c r="H901" s="4"/>
      <c r="I901" s="4"/>
      <c r="J901" s="4"/>
      <c r="K901" s="4"/>
      <c r="L901" s="53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76"/>
      <c r="F902" s="53"/>
      <c r="G902" s="4"/>
      <c r="H902" s="4"/>
      <c r="I902" s="4"/>
      <c r="J902" s="4"/>
      <c r="K902" s="4"/>
      <c r="L902" s="53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76"/>
      <c r="F903" s="53"/>
      <c r="G903" s="4"/>
      <c r="H903" s="4"/>
      <c r="I903" s="4"/>
      <c r="J903" s="4"/>
      <c r="K903" s="4"/>
      <c r="L903" s="53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76"/>
      <c r="F904" s="53"/>
      <c r="G904" s="4"/>
      <c r="H904" s="4"/>
      <c r="I904" s="4"/>
      <c r="J904" s="4"/>
      <c r="K904" s="4"/>
      <c r="L904" s="53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76"/>
      <c r="F905" s="53"/>
      <c r="G905" s="4"/>
      <c r="H905" s="4"/>
      <c r="I905" s="4"/>
      <c r="J905" s="4"/>
      <c r="K905" s="4"/>
      <c r="L905" s="53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76"/>
      <c r="F906" s="53"/>
      <c r="G906" s="4"/>
      <c r="H906" s="4"/>
      <c r="I906" s="4"/>
      <c r="J906" s="4"/>
      <c r="K906" s="4"/>
      <c r="L906" s="53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76"/>
      <c r="F907" s="53"/>
      <c r="G907" s="4"/>
      <c r="H907" s="4"/>
      <c r="I907" s="4"/>
      <c r="J907" s="4"/>
      <c r="K907" s="4"/>
      <c r="L907" s="53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76"/>
      <c r="F908" s="53"/>
      <c r="G908" s="4"/>
      <c r="H908" s="4"/>
      <c r="I908" s="4"/>
      <c r="J908" s="4"/>
      <c r="K908" s="4"/>
      <c r="L908" s="53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76"/>
      <c r="F909" s="53"/>
      <c r="G909" s="4"/>
      <c r="H909" s="4"/>
      <c r="I909" s="4"/>
      <c r="J909" s="4"/>
      <c r="K909" s="4"/>
      <c r="L909" s="53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76"/>
      <c r="F910" s="53"/>
      <c r="G910" s="4"/>
      <c r="H910" s="4"/>
      <c r="I910" s="4"/>
      <c r="J910" s="4"/>
      <c r="K910" s="4"/>
      <c r="L910" s="53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76"/>
      <c r="F911" s="53"/>
      <c r="G911" s="4"/>
      <c r="H911" s="4"/>
      <c r="I911" s="4"/>
      <c r="J911" s="4"/>
      <c r="K911" s="4"/>
      <c r="L911" s="53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76"/>
      <c r="F912" s="53"/>
      <c r="G912" s="4"/>
      <c r="H912" s="4"/>
      <c r="I912" s="4"/>
      <c r="J912" s="4"/>
      <c r="K912" s="4"/>
      <c r="L912" s="53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76"/>
      <c r="F913" s="53"/>
      <c r="G913" s="4"/>
      <c r="H913" s="4"/>
      <c r="I913" s="4"/>
      <c r="J913" s="4"/>
      <c r="K913" s="4"/>
      <c r="L913" s="53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76"/>
      <c r="F914" s="53"/>
      <c r="G914" s="4"/>
      <c r="H914" s="4"/>
      <c r="I914" s="4"/>
      <c r="J914" s="4"/>
      <c r="K914" s="4"/>
      <c r="L914" s="53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76"/>
      <c r="F915" s="53"/>
      <c r="G915" s="4"/>
      <c r="H915" s="4"/>
      <c r="I915" s="4"/>
      <c r="J915" s="4"/>
      <c r="K915" s="4"/>
      <c r="L915" s="53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76"/>
      <c r="F916" s="53"/>
      <c r="G916" s="4"/>
      <c r="H916" s="4"/>
      <c r="I916" s="4"/>
      <c r="J916" s="4"/>
      <c r="K916" s="4"/>
      <c r="L916" s="53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76"/>
      <c r="F917" s="53"/>
      <c r="G917" s="4"/>
      <c r="H917" s="4"/>
      <c r="I917" s="4"/>
      <c r="J917" s="4"/>
      <c r="K917" s="4"/>
      <c r="L917" s="53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76"/>
      <c r="F918" s="53"/>
      <c r="G918" s="4"/>
      <c r="H918" s="4"/>
      <c r="I918" s="4"/>
      <c r="J918" s="4"/>
      <c r="K918" s="4"/>
      <c r="L918" s="53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76"/>
      <c r="F919" s="53"/>
      <c r="G919" s="4"/>
      <c r="H919" s="4"/>
      <c r="I919" s="4"/>
      <c r="J919" s="4"/>
      <c r="K919" s="4"/>
      <c r="L919" s="53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76"/>
      <c r="F920" s="53"/>
      <c r="G920" s="4"/>
      <c r="H920" s="4"/>
      <c r="I920" s="4"/>
      <c r="J920" s="4"/>
      <c r="K920" s="4"/>
      <c r="L920" s="53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76"/>
      <c r="F921" s="53"/>
      <c r="G921" s="4"/>
      <c r="H921" s="4"/>
      <c r="I921" s="4"/>
      <c r="J921" s="4"/>
      <c r="K921" s="4"/>
      <c r="L921" s="53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76"/>
      <c r="F922" s="53"/>
      <c r="G922" s="4"/>
      <c r="H922" s="4"/>
      <c r="I922" s="4"/>
      <c r="J922" s="4"/>
      <c r="K922" s="4"/>
      <c r="L922" s="53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76"/>
      <c r="F923" s="53"/>
      <c r="G923" s="4"/>
      <c r="H923" s="4"/>
      <c r="I923" s="4"/>
      <c r="J923" s="4"/>
      <c r="K923" s="4"/>
      <c r="L923" s="53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76"/>
      <c r="F924" s="53"/>
      <c r="G924" s="4"/>
      <c r="H924" s="4"/>
      <c r="I924" s="4"/>
      <c r="J924" s="4"/>
      <c r="K924" s="4"/>
      <c r="L924" s="53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76"/>
      <c r="F925" s="53"/>
      <c r="G925" s="4"/>
      <c r="H925" s="4"/>
      <c r="I925" s="4"/>
      <c r="J925" s="4"/>
      <c r="K925" s="4"/>
      <c r="L925" s="53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76"/>
      <c r="F926" s="53"/>
      <c r="G926" s="4"/>
      <c r="H926" s="4"/>
      <c r="I926" s="4"/>
      <c r="J926" s="4"/>
      <c r="K926" s="4"/>
      <c r="L926" s="53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76"/>
      <c r="F927" s="53"/>
      <c r="G927" s="4"/>
      <c r="H927" s="4"/>
      <c r="I927" s="4"/>
      <c r="J927" s="4"/>
      <c r="K927" s="4"/>
      <c r="L927" s="53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76"/>
      <c r="F928" s="53"/>
      <c r="G928" s="4"/>
      <c r="H928" s="4"/>
      <c r="I928" s="4"/>
      <c r="J928" s="4"/>
      <c r="K928" s="4"/>
      <c r="L928" s="53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76"/>
      <c r="F929" s="53"/>
      <c r="G929" s="4"/>
      <c r="H929" s="4"/>
      <c r="I929" s="4"/>
      <c r="J929" s="4"/>
      <c r="K929" s="4"/>
      <c r="L929" s="53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76"/>
      <c r="F930" s="53"/>
      <c r="G930" s="4"/>
      <c r="H930" s="4"/>
      <c r="I930" s="4"/>
      <c r="J930" s="4"/>
      <c r="K930" s="4"/>
      <c r="L930" s="53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76"/>
      <c r="F931" s="53"/>
      <c r="G931" s="4"/>
      <c r="H931" s="4"/>
      <c r="I931" s="4"/>
      <c r="J931" s="4"/>
      <c r="K931" s="4"/>
      <c r="L931" s="53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76"/>
      <c r="F932" s="53"/>
      <c r="G932" s="4"/>
      <c r="H932" s="4"/>
      <c r="I932" s="4"/>
      <c r="J932" s="4"/>
      <c r="K932" s="4"/>
      <c r="L932" s="53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76"/>
      <c r="F933" s="53"/>
      <c r="G933" s="4"/>
      <c r="H933" s="4"/>
      <c r="I933" s="4"/>
      <c r="J933" s="4"/>
      <c r="K933" s="4"/>
      <c r="L933" s="53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76"/>
      <c r="F934" s="53"/>
      <c r="G934" s="4"/>
      <c r="H934" s="4"/>
      <c r="I934" s="4"/>
      <c r="J934" s="4"/>
      <c r="K934" s="4"/>
      <c r="L934" s="53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76"/>
      <c r="F935" s="53"/>
      <c r="G935" s="4"/>
      <c r="H935" s="4"/>
      <c r="I935" s="4"/>
      <c r="J935" s="4"/>
      <c r="K935" s="4"/>
      <c r="L935" s="53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76"/>
      <c r="F936" s="53"/>
      <c r="G936" s="4"/>
      <c r="H936" s="4"/>
      <c r="I936" s="4"/>
      <c r="J936" s="4"/>
      <c r="K936" s="4"/>
      <c r="L936" s="53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76"/>
      <c r="F937" s="53"/>
      <c r="G937" s="4"/>
      <c r="H937" s="4"/>
      <c r="I937" s="4"/>
      <c r="J937" s="4"/>
      <c r="K937" s="4"/>
      <c r="L937" s="53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76"/>
      <c r="F938" s="53"/>
      <c r="G938" s="4"/>
      <c r="H938" s="4"/>
      <c r="I938" s="4"/>
      <c r="J938" s="4"/>
      <c r="K938" s="4"/>
      <c r="L938" s="53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76"/>
      <c r="F939" s="53"/>
      <c r="G939" s="4"/>
      <c r="H939" s="4"/>
      <c r="I939" s="4"/>
      <c r="J939" s="4"/>
      <c r="K939" s="4"/>
      <c r="L939" s="53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76"/>
      <c r="F940" s="53"/>
      <c r="G940" s="4"/>
      <c r="H940" s="4"/>
      <c r="I940" s="4"/>
      <c r="J940" s="4"/>
      <c r="K940" s="4"/>
      <c r="L940" s="53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76"/>
      <c r="F941" s="53"/>
      <c r="G941" s="4"/>
      <c r="H941" s="4"/>
      <c r="I941" s="4"/>
      <c r="J941" s="4"/>
      <c r="K941" s="4"/>
      <c r="L941" s="53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76"/>
      <c r="F942" s="53"/>
      <c r="G942" s="4"/>
      <c r="H942" s="4"/>
      <c r="I942" s="4"/>
      <c r="J942" s="4"/>
      <c r="K942" s="4"/>
      <c r="L942" s="53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76"/>
      <c r="F943" s="53"/>
      <c r="G943" s="4"/>
      <c r="H943" s="4"/>
      <c r="I943" s="4"/>
      <c r="J943" s="4"/>
      <c r="K943" s="4"/>
      <c r="L943" s="53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76"/>
      <c r="F944" s="53"/>
      <c r="G944" s="4"/>
      <c r="H944" s="4"/>
      <c r="I944" s="4"/>
      <c r="J944" s="4"/>
      <c r="K944" s="4"/>
      <c r="L944" s="53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76"/>
      <c r="F945" s="53"/>
      <c r="G945" s="4"/>
      <c r="H945" s="4"/>
      <c r="I945" s="4"/>
      <c r="J945" s="4"/>
      <c r="K945" s="4"/>
      <c r="L945" s="53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76"/>
      <c r="F946" s="53"/>
      <c r="G946" s="4"/>
      <c r="H946" s="4"/>
      <c r="I946" s="4"/>
      <c r="J946" s="4"/>
      <c r="K946" s="4"/>
      <c r="L946" s="53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76"/>
      <c r="F947" s="53"/>
      <c r="G947" s="4"/>
      <c r="H947" s="4"/>
      <c r="I947" s="4"/>
      <c r="J947" s="4"/>
      <c r="K947" s="4"/>
      <c r="L947" s="53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76"/>
      <c r="F948" s="53"/>
      <c r="G948" s="4"/>
      <c r="H948" s="4"/>
      <c r="I948" s="4"/>
      <c r="J948" s="4"/>
      <c r="K948" s="4"/>
      <c r="L948" s="53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76"/>
      <c r="F949" s="53"/>
      <c r="G949" s="4"/>
      <c r="H949" s="4"/>
      <c r="I949" s="4"/>
      <c r="J949" s="4"/>
      <c r="K949" s="4"/>
      <c r="L949" s="53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76"/>
      <c r="F950" s="53"/>
      <c r="G950" s="4"/>
      <c r="H950" s="4"/>
      <c r="I950" s="4"/>
      <c r="J950" s="4"/>
      <c r="K950" s="4"/>
      <c r="L950" s="53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76"/>
      <c r="F951" s="53"/>
      <c r="G951" s="4"/>
      <c r="H951" s="4"/>
      <c r="I951" s="4"/>
      <c r="J951" s="4"/>
      <c r="K951" s="4"/>
      <c r="L951" s="53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76"/>
      <c r="F952" s="53"/>
      <c r="G952" s="4"/>
      <c r="H952" s="4"/>
      <c r="I952" s="4"/>
      <c r="J952" s="4"/>
      <c r="K952" s="4"/>
      <c r="L952" s="53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76"/>
      <c r="F953" s="53"/>
      <c r="G953" s="4"/>
      <c r="H953" s="4"/>
      <c r="I953" s="4"/>
      <c r="J953" s="4"/>
      <c r="K953" s="4"/>
      <c r="L953" s="53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76"/>
      <c r="F954" s="53"/>
      <c r="G954" s="4"/>
      <c r="H954" s="4"/>
      <c r="I954" s="4"/>
      <c r="J954" s="4"/>
      <c r="K954" s="4"/>
      <c r="L954" s="53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76"/>
      <c r="F955" s="53"/>
      <c r="G955" s="4"/>
      <c r="H955" s="4"/>
      <c r="I955" s="4"/>
      <c r="J955" s="4"/>
      <c r="K955" s="4"/>
      <c r="L955" s="53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76"/>
      <c r="F956" s="53"/>
      <c r="G956" s="4"/>
      <c r="H956" s="4"/>
      <c r="I956" s="4"/>
      <c r="J956" s="4"/>
      <c r="K956" s="4"/>
      <c r="L956" s="53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76"/>
      <c r="F957" s="53"/>
      <c r="G957" s="4"/>
      <c r="H957" s="4"/>
      <c r="I957" s="4"/>
      <c r="J957" s="4"/>
      <c r="K957" s="4"/>
      <c r="L957" s="53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76"/>
      <c r="F958" s="53"/>
      <c r="G958" s="4"/>
      <c r="H958" s="4"/>
      <c r="I958" s="4"/>
      <c r="J958" s="4"/>
      <c r="K958" s="4"/>
      <c r="L958" s="53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76"/>
      <c r="F959" s="53"/>
      <c r="G959" s="4"/>
      <c r="H959" s="4"/>
      <c r="I959" s="4"/>
      <c r="J959" s="4"/>
      <c r="K959" s="4"/>
      <c r="L959" s="53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76"/>
      <c r="F960" s="53"/>
      <c r="G960" s="4"/>
      <c r="H960" s="4"/>
      <c r="I960" s="4"/>
      <c r="J960" s="4"/>
      <c r="K960" s="4"/>
      <c r="L960" s="53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76"/>
      <c r="F961" s="53"/>
      <c r="G961" s="4"/>
      <c r="H961" s="4"/>
      <c r="I961" s="4"/>
      <c r="J961" s="4"/>
      <c r="K961" s="4"/>
      <c r="L961" s="53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76"/>
      <c r="F962" s="53"/>
      <c r="G962" s="4"/>
      <c r="H962" s="4"/>
      <c r="I962" s="4"/>
      <c r="J962" s="4"/>
      <c r="K962" s="4"/>
      <c r="L962" s="53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76"/>
      <c r="F963" s="53"/>
      <c r="G963" s="4"/>
      <c r="H963" s="4"/>
      <c r="I963" s="4"/>
      <c r="J963" s="4"/>
      <c r="K963" s="4"/>
      <c r="L963" s="53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76"/>
      <c r="F964" s="53"/>
      <c r="G964" s="4"/>
      <c r="H964" s="4"/>
      <c r="I964" s="4"/>
      <c r="J964" s="4"/>
      <c r="K964" s="4"/>
      <c r="L964" s="53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76"/>
      <c r="F965" s="53"/>
      <c r="G965" s="4"/>
      <c r="H965" s="4"/>
      <c r="I965" s="4"/>
      <c r="J965" s="4"/>
      <c r="K965" s="4"/>
      <c r="L965" s="53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76"/>
      <c r="F966" s="53"/>
      <c r="G966" s="4"/>
      <c r="H966" s="4"/>
      <c r="I966" s="4"/>
      <c r="J966" s="4"/>
      <c r="K966" s="4"/>
      <c r="L966" s="53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76"/>
      <c r="F967" s="53"/>
      <c r="G967" s="4"/>
      <c r="H967" s="4"/>
      <c r="I967" s="4"/>
      <c r="J967" s="4"/>
      <c r="K967" s="4"/>
      <c r="L967" s="53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76"/>
      <c r="F968" s="53"/>
      <c r="G968" s="4"/>
      <c r="H968" s="4"/>
      <c r="I968" s="4"/>
      <c r="J968" s="4"/>
      <c r="K968" s="4"/>
      <c r="L968" s="53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76"/>
      <c r="F969" s="53"/>
      <c r="G969" s="4"/>
      <c r="H969" s="4"/>
      <c r="I969" s="4"/>
      <c r="J969" s="4"/>
      <c r="K969" s="4"/>
      <c r="L969" s="53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76"/>
      <c r="F970" s="53"/>
      <c r="G970" s="4"/>
      <c r="H970" s="4"/>
      <c r="I970" s="4"/>
      <c r="J970" s="4"/>
      <c r="K970" s="4"/>
      <c r="L970" s="53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76"/>
      <c r="F971" s="53"/>
      <c r="G971" s="4"/>
      <c r="H971" s="4"/>
      <c r="I971" s="4"/>
      <c r="J971" s="4"/>
      <c r="K971" s="4"/>
      <c r="L971" s="53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76"/>
      <c r="F972" s="53"/>
      <c r="G972" s="4"/>
      <c r="H972" s="4"/>
      <c r="I972" s="4"/>
      <c r="J972" s="4"/>
      <c r="K972" s="4"/>
      <c r="L972" s="53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76"/>
      <c r="F973" s="53"/>
      <c r="G973" s="4"/>
      <c r="H973" s="4"/>
      <c r="I973" s="4"/>
      <c r="J973" s="4"/>
      <c r="K973" s="4"/>
      <c r="L973" s="53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76"/>
      <c r="F974" s="53"/>
      <c r="G974" s="4"/>
      <c r="H974" s="4"/>
      <c r="I974" s="4"/>
      <c r="J974" s="4"/>
      <c r="K974" s="4"/>
      <c r="L974" s="53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76"/>
      <c r="F975" s="53"/>
      <c r="G975" s="4"/>
      <c r="H975" s="4"/>
      <c r="I975" s="4"/>
      <c r="J975" s="4"/>
      <c r="K975" s="4"/>
      <c r="L975" s="53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76"/>
      <c r="F976" s="53"/>
      <c r="G976" s="4"/>
      <c r="H976" s="4"/>
      <c r="I976" s="4"/>
      <c r="J976" s="4"/>
      <c r="K976" s="4"/>
      <c r="L976" s="53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76"/>
      <c r="F977" s="53"/>
      <c r="G977" s="4"/>
      <c r="H977" s="4"/>
      <c r="I977" s="4"/>
      <c r="J977" s="4"/>
      <c r="K977" s="4"/>
      <c r="L977" s="53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76"/>
      <c r="F978" s="53"/>
      <c r="G978" s="4"/>
      <c r="H978" s="4"/>
      <c r="I978" s="4"/>
      <c r="J978" s="4"/>
      <c r="K978" s="4"/>
      <c r="L978" s="53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76"/>
      <c r="F979" s="53"/>
      <c r="G979" s="4"/>
      <c r="H979" s="4"/>
      <c r="I979" s="4"/>
      <c r="J979" s="4"/>
      <c r="K979" s="4"/>
      <c r="L979" s="53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76"/>
      <c r="F980" s="53"/>
      <c r="G980" s="4"/>
      <c r="H980" s="4"/>
      <c r="I980" s="4"/>
      <c r="J980" s="4"/>
      <c r="K980" s="4"/>
      <c r="L980" s="53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76"/>
      <c r="F981" s="53"/>
      <c r="G981" s="4"/>
      <c r="H981" s="4"/>
      <c r="I981" s="4"/>
      <c r="J981" s="4"/>
      <c r="K981" s="4"/>
      <c r="L981" s="53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76"/>
      <c r="F982" s="53"/>
      <c r="G982" s="4"/>
      <c r="H982" s="4"/>
      <c r="I982" s="4"/>
      <c r="J982" s="4"/>
      <c r="K982" s="4"/>
      <c r="L982" s="53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76"/>
      <c r="F983" s="53"/>
      <c r="G983" s="4"/>
      <c r="H983" s="4"/>
      <c r="I983" s="4"/>
      <c r="J983" s="4"/>
      <c r="K983" s="4"/>
      <c r="L983" s="53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76"/>
      <c r="F984" s="53"/>
      <c r="G984" s="4"/>
      <c r="H984" s="4"/>
      <c r="I984" s="4"/>
      <c r="J984" s="4"/>
      <c r="K984" s="4"/>
      <c r="L984" s="53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76"/>
      <c r="F985" s="53"/>
      <c r="G985" s="4"/>
      <c r="H985" s="4"/>
      <c r="I985" s="4"/>
      <c r="J985" s="4"/>
      <c r="K985" s="4"/>
      <c r="L985" s="53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76"/>
      <c r="F986" s="53"/>
      <c r="G986" s="4"/>
      <c r="H986" s="4"/>
      <c r="I986" s="4"/>
      <c r="J986" s="4"/>
      <c r="K986" s="4"/>
      <c r="L986" s="53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76"/>
      <c r="F987" s="53"/>
      <c r="G987" s="4"/>
      <c r="H987" s="4"/>
      <c r="I987" s="4"/>
      <c r="J987" s="4"/>
      <c r="K987" s="4"/>
      <c r="L987" s="53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76"/>
      <c r="F988" s="53"/>
      <c r="G988" s="4"/>
      <c r="H988" s="4"/>
      <c r="I988" s="4"/>
      <c r="J988" s="4"/>
      <c r="K988" s="4"/>
      <c r="L988" s="53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76"/>
      <c r="F989" s="53"/>
      <c r="G989" s="4"/>
      <c r="H989" s="4"/>
      <c r="I989" s="4"/>
      <c r="J989" s="4"/>
      <c r="K989" s="4"/>
      <c r="L989" s="53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76"/>
      <c r="F990" s="53"/>
      <c r="G990" s="4"/>
      <c r="H990" s="4"/>
      <c r="I990" s="4"/>
      <c r="J990" s="4"/>
      <c r="K990" s="4"/>
      <c r="L990" s="53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76"/>
      <c r="F991" s="53"/>
      <c r="G991" s="4"/>
      <c r="H991" s="4"/>
      <c r="I991" s="4"/>
      <c r="J991" s="4"/>
      <c r="K991" s="4"/>
      <c r="L991" s="53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76"/>
      <c r="F992" s="53"/>
      <c r="G992" s="4"/>
      <c r="H992" s="4"/>
      <c r="I992" s="4"/>
      <c r="J992" s="4"/>
      <c r="K992" s="4"/>
      <c r="L992" s="53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76"/>
      <c r="F993" s="53"/>
      <c r="G993" s="4"/>
      <c r="H993" s="4"/>
      <c r="I993" s="4"/>
      <c r="J993" s="4"/>
      <c r="K993" s="4"/>
      <c r="L993" s="53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76"/>
      <c r="F994" s="53"/>
      <c r="G994" s="4"/>
      <c r="H994" s="4"/>
      <c r="I994" s="4"/>
      <c r="J994" s="4"/>
      <c r="K994" s="4"/>
      <c r="L994" s="53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76"/>
      <c r="F995" s="53"/>
      <c r="G995" s="4"/>
      <c r="H995" s="4"/>
      <c r="I995" s="4"/>
      <c r="J995" s="4"/>
      <c r="K995" s="4"/>
      <c r="L995" s="53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76"/>
      <c r="F996" s="53"/>
      <c r="G996" s="4"/>
      <c r="H996" s="4"/>
      <c r="I996" s="4"/>
      <c r="J996" s="4"/>
      <c r="K996" s="4"/>
      <c r="L996" s="53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76"/>
      <c r="F997" s="53"/>
      <c r="G997" s="4"/>
      <c r="H997" s="4"/>
      <c r="I997" s="4"/>
      <c r="J997" s="4"/>
      <c r="K997" s="4"/>
      <c r="L997" s="53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76"/>
      <c r="F998" s="53"/>
      <c r="G998" s="4"/>
      <c r="H998" s="4"/>
      <c r="I998" s="4"/>
      <c r="J998" s="4"/>
      <c r="K998" s="4"/>
      <c r="L998" s="53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76"/>
      <c r="F999" s="53"/>
      <c r="G999" s="4"/>
      <c r="H999" s="4"/>
      <c r="I999" s="4"/>
      <c r="J999" s="4"/>
      <c r="K999" s="4"/>
      <c r="L999" s="53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76"/>
      <c r="F1000" s="53"/>
      <c r="G1000" s="4"/>
      <c r="H1000" s="4"/>
      <c r="I1000" s="4"/>
      <c r="J1000" s="4"/>
      <c r="K1000" s="4"/>
      <c r="L1000" s="53"/>
      <c r="P1000" s="4"/>
      <c r="Q1000" s="4"/>
      <c r="R1000" s="4"/>
      <c r="S1000" s="4"/>
      <c r="T1000" s="4"/>
      <c r="U1000" s="4"/>
      <c r="V1000" s="4"/>
    </row>
  </sheetData>
  <mergeCells count="2">
    <mergeCell ref="A1:H1"/>
    <mergeCell ref="A2:H2"/>
  </mergeCells>
  <conditionalFormatting sqref="D5:D25 D28:D39">
    <cfRule type="containsBlanks" dxfId="0" priority="1">
      <formula>LEN(TRIM(D5))=0</formula>
    </cfRule>
  </conditionalFormatting>
  <conditionalFormatting sqref="F5:F25 F28:F39">
    <cfRule type="cellIs" dxfId="1" priority="2" operator="equal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10.75"/>
    <col customWidth="1" min="3" max="3" width="14.25"/>
    <col customWidth="1" min="4" max="4" width="8.63"/>
    <col customWidth="1" min="5" max="5" width="14.63"/>
    <col customWidth="1" min="6" max="6" width="7.5"/>
    <col customWidth="1" min="7" max="7" width="5.13"/>
    <col customWidth="1" min="8" max="8" width="13.25"/>
    <col customWidth="1" min="9" max="9" width="14.0"/>
    <col customWidth="1" min="10" max="10" width="8.63"/>
    <col customWidth="1" min="11" max="11" width="14.63"/>
    <col customWidth="1" min="12" max="12" width="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P1" s="4"/>
      <c r="Q1" s="4"/>
      <c r="R1" s="4"/>
      <c r="S1" s="4"/>
      <c r="T1" s="4"/>
      <c r="U1" s="4"/>
      <c r="V1" s="4"/>
    </row>
    <row r="2">
      <c r="A2" s="5" t="s">
        <v>66</v>
      </c>
      <c r="P2" s="4"/>
      <c r="Q2" s="4"/>
      <c r="R2" s="4"/>
      <c r="S2" s="4"/>
      <c r="T2" s="4"/>
      <c r="U2" s="4"/>
      <c r="V2" s="4"/>
    </row>
    <row r="3">
      <c r="A3" s="8" t="s">
        <v>4</v>
      </c>
      <c r="B3" s="10"/>
      <c r="C3" s="10"/>
      <c r="D3" s="10"/>
      <c r="E3" s="10"/>
      <c r="F3" s="10"/>
      <c r="G3" s="10"/>
      <c r="H3" s="13"/>
      <c r="P3" s="4"/>
      <c r="Q3" s="4"/>
      <c r="R3" s="4"/>
      <c r="S3" s="4"/>
      <c r="T3" s="4"/>
      <c r="U3" s="4"/>
      <c r="V3" s="4"/>
    </row>
    <row r="4">
      <c r="A4" s="15" t="s">
        <v>6</v>
      </c>
      <c r="B4" s="17" t="s">
        <v>7</v>
      </c>
      <c r="C4" s="19" t="s">
        <v>8</v>
      </c>
      <c r="D4" s="21" t="s">
        <v>9</v>
      </c>
      <c r="E4" s="23" t="s">
        <v>10</v>
      </c>
      <c r="F4" s="24" t="s">
        <v>11</v>
      </c>
      <c r="H4" s="26" t="s">
        <v>12</v>
      </c>
      <c r="P4" s="4"/>
      <c r="Q4" s="4"/>
      <c r="R4" s="4"/>
      <c r="S4" s="4"/>
      <c r="T4" s="4"/>
      <c r="U4" s="4"/>
      <c r="V4" s="4"/>
    </row>
    <row r="5">
      <c r="A5" s="29" t="s">
        <v>13</v>
      </c>
      <c r="B5" s="30" t="s">
        <v>14</v>
      </c>
      <c r="C5" s="32">
        <v>46294.99930555555</v>
      </c>
      <c r="D5" s="33"/>
      <c r="E5" s="75" t="str">
        <f t="shared" ref="E5:E25" si="1">IF(D5&lt;&gt;"",IF(E5="",NOW(),E5),"")</f>
        <v/>
      </c>
      <c r="F5" s="37">
        <f t="shared" ref="F5:F25" si="2">if(D5 = "", 0,IF(E5&lt;C5,0.5,0))</f>
        <v>0</v>
      </c>
      <c r="H5" s="38" t="str">
        <f t="shared" ref="H5:H25" si="3">if(D5 &lt;&gt; "", ABS(E5-C5), "0")</f>
        <v>0</v>
      </c>
      <c r="P5" s="4"/>
      <c r="Q5" s="4"/>
      <c r="R5" s="4"/>
      <c r="S5" s="4"/>
      <c r="T5" s="4"/>
      <c r="U5" s="4"/>
      <c r="V5" s="4"/>
    </row>
    <row r="6">
      <c r="A6" s="39" t="s">
        <v>16</v>
      </c>
      <c r="B6" s="30" t="s">
        <v>14</v>
      </c>
      <c r="C6" s="32">
        <v>46294.99930555555</v>
      </c>
      <c r="D6" s="33"/>
      <c r="E6" s="75" t="str">
        <f t="shared" si="1"/>
        <v/>
      </c>
      <c r="F6" s="37">
        <f t="shared" si="2"/>
        <v>0</v>
      </c>
      <c r="H6" s="38" t="str">
        <f t="shared" si="3"/>
        <v>0</v>
      </c>
      <c r="P6" s="4"/>
      <c r="Q6" s="4"/>
      <c r="R6" s="4"/>
      <c r="S6" s="4"/>
      <c r="T6" s="4"/>
      <c r="U6" s="4"/>
      <c r="V6" s="4"/>
    </row>
    <row r="7">
      <c r="A7" s="39" t="s">
        <v>17</v>
      </c>
      <c r="B7" s="30" t="s">
        <v>18</v>
      </c>
      <c r="C7" s="32">
        <v>46267.99930555555</v>
      </c>
      <c r="D7" s="33" t="s">
        <v>15</v>
      </c>
      <c r="E7" s="35">
        <f t="shared" si="1"/>
        <v>46266.38101</v>
      </c>
      <c r="F7" s="37">
        <f t="shared" si="2"/>
        <v>0.5</v>
      </c>
      <c r="H7" s="38">
        <f t="shared" si="3"/>
        <v>1.618292326</v>
      </c>
      <c r="P7" s="4"/>
      <c r="Q7" s="4"/>
      <c r="R7" s="4"/>
      <c r="S7" s="4"/>
      <c r="T7" s="4"/>
      <c r="U7" s="4"/>
      <c r="V7" s="4"/>
    </row>
    <row r="8">
      <c r="A8" s="39" t="s">
        <v>19</v>
      </c>
      <c r="B8" s="30" t="s">
        <v>20</v>
      </c>
      <c r="C8" s="32">
        <v>46267.99930555555</v>
      </c>
      <c r="D8" s="33" t="s">
        <v>21</v>
      </c>
      <c r="E8" s="35">
        <f t="shared" si="1"/>
        <v>46266.44049</v>
      </c>
      <c r="F8" s="37">
        <f t="shared" si="2"/>
        <v>0.5</v>
      </c>
      <c r="H8" s="38">
        <f t="shared" si="3"/>
        <v>1.558810949</v>
      </c>
      <c r="P8" s="4"/>
      <c r="Q8" s="4"/>
      <c r="R8" s="4"/>
      <c r="S8" s="4"/>
      <c r="T8" s="4"/>
      <c r="U8" s="4"/>
      <c r="V8" s="4"/>
    </row>
    <row r="9">
      <c r="A9" s="39" t="s">
        <v>22</v>
      </c>
      <c r="B9" s="89" t="s">
        <v>65</v>
      </c>
      <c r="C9" s="32">
        <v>46269.99930555555</v>
      </c>
      <c r="D9" s="33"/>
      <c r="E9" s="90" t="str">
        <f t="shared" si="1"/>
        <v/>
      </c>
      <c r="F9" s="37">
        <f t="shared" si="2"/>
        <v>0</v>
      </c>
      <c r="H9" s="38" t="str">
        <f t="shared" si="3"/>
        <v>0</v>
      </c>
      <c r="P9" s="4"/>
      <c r="Q9" s="4"/>
      <c r="R9" s="4"/>
      <c r="S9" s="4"/>
      <c r="T9" s="4"/>
      <c r="U9" s="4"/>
      <c r="V9" s="4"/>
    </row>
    <row r="10">
      <c r="A10" s="39" t="s">
        <v>24</v>
      </c>
      <c r="B10" s="89" t="s">
        <v>65</v>
      </c>
      <c r="C10" s="32">
        <v>46269.99930555555</v>
      </c>
      <c r="D10" s="33"/>
      <c r="E10" s="75" t="str">
        <f t="shared" si="1"/>
        <v/>
      </c>
      <c r="F10" s="37">
        <f t="shared" si="2"/>
        <v>0</v>
      </c>
      <c r="H10" s="38" t="str">
        <f t="shared" si="3"/>
        <v>0</v>
      </c>
      <c r="P10" s="4"/>
      <c r="Q10" s="4"/>
      <c r="R10" s="4"/>
      <c r="S10" s="4"/>
      <c r="T10" s="4"/>
      <c r="U10" s="4"/>
      <c r="V10" s="4"/>
    </row>
    <row r="11">
      <c r="A11" s="39" t="s">
        <v>25</v>
      </c>
      <c r="B11" s="30" t="s">
        <v>14</v>
      </c>
      <c r="C11" s="32">
        <v>46273.99930555555</v>
      </c>
      <c r="D11" s="33" t="s">
        <v>28</v>
      </c>
      <c r="E11" s="35">
        <f t="shared" si="1"/>
        <v>46272.25692</v>
      </c>
      <c r="F11" s="37">
        <f t="shared" si="2"/>
        <v>0.5</v>
      </c>
      <c r="H11" s="38">
        <f t="shared" si="3"/>
        <v>1.742385613</v>
      </c>
      <c r="P11" s="4"/>
      <c r="Q11" s="4"/>
      <c r="R11" s="4"/>
      <c r="S11" s="4"/>
      <c r="T11" s="4"/>
      <c r="U11" s="4"/>
      <c r="V11" s="4"/>
    </row>
    <row r="12">
      <c r="A12" s="49" t="s">
        <v>26</v>
      </c>
      <c r="B12" s="30" t="s">
        <v>14</v>
      </c>
      <c r="C12" s="32">
        <v>46273.99930555555</v>
      </c>
      <c r="D12" s="33" t="s">
        <v>28</v>
      </c>
      <c r="E12" s="35">
        <f t="shared" si="1"/>
        <v>46272.25704</v>
      </c>
      <c r="F12" s="37">
        <f t="shared" si="2"/>
        <v>0.5</v>
      </c>
      <c r="H12" s="38">
        <f t="shared" si="3"/>
        <v>1.742268924</v>
      </c>
      <c r="P12" s="4"/>
      <c r="Q12" s="4"/>
      <c r="R12" s="4"/>
      <c r="S12" s="4"/>
      <c r="T12" s="4"/>
      <c r="U12" s="4"/>
      <c r="V12" s="4"/>
    </row>
    <row r="13">
      <c r="A13" s="49" t="s">
        <v>27</v>
      </c>
      <c r="B13" s="89" t="s">
        <v>63</v>
      </c>
      <c r="C13" s="32">
        <v>46275.99930555555</v>
      </c>
      <c r="D13" s="33"/>
      <c r="E13" s="75" t="str">
        <f t="shared" si="1"/>
        <v/>
      </c>
      <c r="F13" s="37">
        <f t="shared" si="2"/>
        <v>0</v>
      </c>
      <c r="H13" s="38" t="str">
        <f t="shared" si="3"/>
        <v>0</v>
      </c>
      <c r="P13" s="4"/>
      <c r="Q13" s="4"/>
      <c r="R13" s="4"/>
      <c r="S13" s="4"/>
      <c r="T13" s="4"/>
      <c r="U13" s="4"/>
      <c r="V13" s="4"/>
    </row>
    <row r="14">
      <c r="A14" s="49" t="s">
        <v>29</v>
      </c>
      <c r="B14" s="30" t="s">
        <v>30</v>
      </c>
      <c r="C14" s="32">
        <v>46276.99930555555</v>
      </c>
      <c r="D14" s="33" t="s">
        <v>21</v>
      </c>
      <c r="E14" s="35">
        <f t="shared" si="1"/>
        <v>46275.0805</v>
      </c>
      <c r="F14" s="37">
        <f t="shared" si="2"/>
        <v>0.5</v>
      </c>
      <c r="H14" s="38">
        <f t="shared" si="3"/>
        <v>1.91880272</v>
      </c>
      <c r="P14" s="4"/>
      <c r="Q14" s="4"/>
      <c r="R14" s="4"/>
      <c r="S14" s="4"/>
      <c r="T14" s="4"/>
      <c r="U14" s="4"/>
      <c r="V14" s="4"/>
    </row>
    <row r="15">
      <c r="A15" s="49" t="s">
        <v>32</v>
      </c>
      <c r="B15" s="30" t="s">
        <v>20</v>
      </c>
      <c r="C15" s="32">
        <v>46276.99930555555</v>
      </c>
      <c r="D15" s="33" t="s">
        <v>21</v>
      </c>
      <c r="E15" s="35">
        <f t="shared" si="1"/>
        <v>46276.01177</v>
      </c>
      <c r="F15" s="37">
        <f t="shared" si="2"/>
        <v>0.5</v>
      </c>
      <c r="H15" s="38">
        <f t="shared" si="3"/>
        <v>0.9875397454</v>
      </c>
      <c r="P15" s="4"/>
      <c r="Q15" s="4"/>
      <c r="R15" s="4"/>
      <c r="S15" s="4"/>
      <c r="T15" s="4"/>
      <c r="U15" s="4"/>
      <c r="V15" s="4"/>
    </row>
    <row r="16">
      <c r="A16" s="49" t="s">
        <v>33</v>
      </c>
      <c r="B16" s="30" t="s">
        <v>20</v>
      </c>
      <c r="C16" s="32">
        <v>46280.99930555555</v>
      </c>
      <c r="D16" s="33" t="s">
        <v>21</v>
      </c>
      <c r="E16" s="35">
        <f t="shared" si="1"/>
        <v>46280.30671</v>
      </c>
      <c r="F16" s="37">
        <f t="shared" si="2"/>
        <v>0.5</v>
      </c>
      <c r="H16" s="38">
        <f t="shared" si="3"/>
        <v>0.6925968171</v>
      </c>
      <c r="P16" s="4"/>
      <c r="Q16" s="4"/>
      <c r="R16" s="4"/>
      <c r="S16" s="4"/>
      <c r="T16" s="4"/>
      <c r="U16" s="4"/>
      <c r="V16" s="4"/>
    </row>
    <row r="17">
      <c r="A17" s="49" t="s">
        <v>34</v>
      </c>
      <c r="B17" s="30" t="s">
        <v>30</v>
      </c>
      <c r="C17" s="32">
        <v>46280.99930555555</v>
      </c>
      <c r="D17" s="33" t="s">
        <v>21</v>
      </c>
      <c r="E17" s="35">
        <f t="shared" si="1"/>
        <v>46279.34395</v>
      </c>
      <c r="F17" s="37">
        <f t="shared" si="2"/>
        <v>0.5</v>
      </c>
      <c r="G17" s="4"/>
      <c r="H17" s="38">
        <f t="shared" si="3"/>
        <v>1.655353264</v>
      </c>
      <c r="I17" s="4"/>
      <c r="J17" s="4"/>
      <c r="K17" s="4"/>
      <c r="L17" s="53"/>
      <c r="P17" s="4"/>
      <c r="Q17" s="4"/>
      <c r="R17" s="4"/>
      <c r="S17" s="4"/>
      <c r="T17" s="4"/>
      <c r="U17" s="4"/>
      <c r="V17" s="4"/>
    </row>
    <row r="18">
      <c r="A18" s="49" t="s">
        <v>35</v>
      </c>
      <c r="B18" s="30" t="s">
        <v>14</v>
      </c>
      <c r="C18" s="32">
        <v>46283.99930555555</v>
      </c>
      <c r="D18" s="33"/>
      <c r="E18" s="75" t="str">
        <f t="shared" si="1"/>
        <v/>
      </c>
      <c r="F18" s="37">
        <f t="shared" si="2"/>
        <v>0</v>
      </c>
      <c r="G18" s="4"/>
      <c r="H18" s="38" t="str">
        <f t="shared" si="3"/>
        <v>0</v>
      </c>
      <c r="I18" s="4"/>
      <c r="J18" s="4"/>
      <c r="K18" s="4"/>
      <c r="L18" s="53"/>
      <c r="P18" s="4"/>
      <c r="Q18" s="4"/>
      <c r="R18" s="4"/>
      <c r="S18" s="4"/>
      <c r="T18" s="4"/>
      <c r="U18" s="4"/>
      <c r="V18" s="4"/>
    </row>
    <row r="19">
      <c r="A19" s="49" t="s">
        <v>36</v>
      </c>
      <c r="B19" s="89" t="s">
        <v>18</v>
      </c>
      <c r="C19" s="32">
        <v>46283.99930555555</v>
      </c>
      <c r="D19" s="33"/>
      <c r="E19" s="75" t="str">
        <f t="shared" si="1"/>
        <v/>
      </c>
      <c r="F19" s="37">
        <f t="shared" si="2"/>
        <v>0</v>
      </c>
      <c r="G19" s="4"/>
      <c r="H19" s="38" t="str">
        <f t="shared" si="3"/>
        <v>0</v>
      </c>
      <c r="I19" s="4"/>
      <c r="J19" s="4"/>
      <c r="K19" s="4"/>
      <c r="L19" s="53"/>
      <c r="P19" s="4"/>
      <c r="Q19" s="4"/>
      <c r="R19" s="4"/>
      <c r="S19" s="4"/>
      <c r="T19" s="4"/>
      <c r="U19" s="4"/>
      <c r="V19" s="4"/>
    </row>
    <row r="20">
      <c r="A20" s="49" t="s">
        <v>38</v>
      </c>
      <c r="B20" s="30" t="s">
        <v>30</v>
      </c>
      <c r="C20" s="32">
        <v>46286.99930555555</v>
      </c>
      <c r="D20" s="33"/>
      <c r="E20" s="75" t="str">
        <f t="shared" si="1"/>
        <v/>
      </c>
      <c r="F20" s="37">
        <f t="shared" si="2"/>
        <v>0</v>
      </c>
      <c r="G20" s="4"/>
      <c r="H20" s="38" t="str">
        <f t="shared" si="3"/>
        <v>0</v>
      </c>
      <c r="I20" s="4"/>
      <c r="J20" s="4"/>
      <c r="K20" s="4"/>
      <c r="L20" s="53"/>
      <c r="P20" s="4"/>
      <c r="Q20" s="4"/>
      <c r="R20" s="4"/>
      <c r="S20" s="4"/>
      <c r="T20" s="4"/>
      <c r="U20" s="4"/>
      <c r="V20" s="4"/>
    </row>
    <row r="21">
      <c r="A21" s="49" t="s">
        <v>39</v>
      </c>
      <c r="B21" s="30" t="s">
        <v>18</v>
      </c>
      <c r="C21" s="32">
        <v>46286.99930555555</v>
      </c>
      <c r="D21" s="33"/>
      <c r="E21" s="75" t="str">
        <f t="shared" si="1"/>
        <v/>
      </c>
      <c r="F21" s="37">
        <f t="shared" si="2"/>
        <v>0</v>
      </c>
      <c r="G21" s="4"/>
      <c r="H21" s="38" t="str">
        <f t="shared" si="3"/>
        <v>0</v>
      </c>
      <c r="I21" s="4"/>
      <c r="J21" s="4"/>
      <c r="K21" s="4"/>
      <c r="L21" s="53"/>
      <c r="P21" s="4"/>
      <c r="Q21" s="4"/>
      <c r="R21" s="4"/>
      <c r="S21" s="4"/>
      <c r="T21" s="4"/>
      <c r="U21" s="4"/>
      <c r="V21" s="4"/>
    </row>
    <row r="22">
      <c r="A22" s="49" t="s">
        <v>40</v>
      </c>
      <c r="B22" s="89" t="s">
        <v>63</v>
      </c>
      <c r="C22" s="32">
        <v>46288.99930555555</v>
      </c>
      <c r="D22" s="33"/>
      <c r="E22" s="75" t="str">
        <f t="shared" si="1"/>
        <v/>
      </c>
      <c r="F22" s="37">
        <f t="shared" si="2"/>
        <v>0</v>
      </c>
      <c r="G22" s="4"/>
      <c r="H22" s="38" t="str">
        <f t="shared" si="3"/>
        <v>0</v>
      </c>
      <c r="I22" s="4"/>
      <c r="J22" s="4"/>
      <c r="K22" s="4"/>
      <c r="L22" s="53"/>
      <c r="P22" s="4"/>
      <c r="Q22" s="4"/>
      <c r="R22" s="4"/>
      <c r="S22" s="4"/>
      <c r="T22" s="4"/>
      <c r="U22" s="4"/>
      <c r="V22" s="4"/>
    </row>
    <row r="23">
      <c r="A23" s="49" t="s">
        <v>41</v>
      </c>
      <c r="B23" s="30" t="s">
        <v>18</v>
      </c>
      <c r="C23" s="32">
        <v>46288.99930555555</v>
      </c>
      <c r="D23" s="33"/>
      <c r="E23" s="75" t="str">
        <f t="shared" si="1"/>
        <v/>
      </c>
      <c r="F23" s="37">
        <f t="shared" si="2"/>
        <v>0</v>
      </c>
      <c r="G23" s="4"/>
      <c r="H23" s="38" t="str">
        <f t="shared" si="3"/>
        <v>0</v>
      </c>
      <c r="I23" s="4"/>
      <c r="J23" s="4"/>
      <c r="K23" s="4"/>
      <c r="L23" s="53"/>
      <c r="P23" s="4"/>
      <c r="Q23" s="4"/>
      <c r="R23" s="4"/>
      <c r="S23" s="4"/>
      <c r="T23" s="4"/>
      <c r="U23" s="4"/>
      <c r="V23" s="4"/>
    </row>
    <row r="24">
      <c r="A24" s="49" t="s">
        <v>42</v>
      </c>
      <c r="B24" s="89" t="s">
        <v>63</v>
      </c>
      <c r="C24" s="32">
        <v>46290.99930555555</v>
      </c>
      <c r="D24" s="33"/>
      <c r="E24" s="75" t="str">
        <f t="shared" si="1"/>
        <v/>
      </c>
      <c r="F24" s="37">
        <f t="shared" si="2"/>
        <v>0</v>
      </c>
      <c r="G24" s="4"/>
      <c r="H24" s="38" t="str">
        <f t="shared" si="3"/>
        <v>0</v>
      </c>
      <c r="I24" s="4"/>
      <c r="J24" s="4"/>
      <c r="K24" s="4"/>
      <c r="L24" s="53"/>
      <c r="P24" s="4"/>
      <c r="Q24" s="4"/>
      <c r="R24" s="4"/>
      <c r="S24" s="4"/>
      <c r="T24" s="4"/>
      <c r="U24" s="4"/>
      <c r="V24" s="4"/>
    </row>
    <row r="25">
      <c r="A25" s="55" t="s">
        <v>43</v>
      </c>
      <c r="B25" s="89" t="s">
        <v>18</v>
      </c>
      <c r="C25" s="32">
        <v>46290.99930555555</v>
      </c>
      <c r="D25" s="56"/>
      <c r="E25" s="75" t="str">
        <f t="shared" si="1"/>
        <v/>
      </c>
      <c r="F25" s="57">
        <f t="shared" si="2"/>
        <v>0</v>
      </c>
      <c r="G25" s="4"/>
      <c r="H25" s="58" t="str">
        <f t="shared" si="3"/>
        <v>0</v>
      </c>
      <c r="I25" s="4"/>
      <c r="J25" s="4"/>
      <c r="K25" s="4"/>
      <c r="L25" s="53"/>
      <c r="P25" s="4"/>
      <c r="Q25" s="4"/>
      <c r="R25" s="4"/>
      <c r="S25" s="4"/>
      <c r="T25" s="4"/>
      <c r="U25" s="4"/>
      <c r="V25" s="4"/>
    </row>
    <row r="26">
      <c r="A26" s="87" t="s">
        <v>44</v>
      </c>
      <c r="B26" s="60"/>
      <c r="C26" s="87"/>
      <c r="D26" s="87"/>
      <c r="E26" s="87"/>
      <c r="F26" s="87"/>
      <c r="G26" s="87"/>
      <c r="H26" s="87"/>
      <c r="I26" s="4"/>
      <c r="J26" s="4"/>
      <c r="K26" s="4"/>
      <c r="L26" s="53"/>
      <c r="P26" s="4"/>
      <c r="Q26" s="4"/>
      <c r="R26" s="4"/>
      <c r="S26" s="4"/>
      <c r="T26" s="4"/>
      <c r="U26" s="4"/>
      <c r="V26" s="4"/>
    </row>
    <row r="27">
      <c r="A27" s="63" t="s">
        <v>6</v>
      </c>
      <c r="B27" s="17" t="s">
        <v>7</v>
      </c>
      <c r="C27" s="64" t="s">
        <v>8</v>
      </c>
      <c r="D27" s="65" t="s">
        <v>9</v>
      </c>
      <c r="E27" s="27" t="s">
        <v>10</v>
      </c>
      <c r="F27" s="28" t="s">
        <v>11</v>
      </c>
      <c r="G27" s="4"/>
      <c r="H27" s="26" t="s">
        <v>12</v>
      </c>
      <c r="K27" s="4"/>
      <c r="L27" s="53"/>
      <c r="P27" s="4"/>
      <c r="Q27" s="4"/>
      <c r="R27" s="4"/>
      <c r="S27" s="4"/>
      <c r="T27" s="4"/>
      <c r="U27" s="4"/>
      <c r="V27" s="4"/>
    </row>
    <row r="28">
      <c r="A28" s="29" t="s">
        <v>45</v>
      </c>
      <c r="B28" s="30" t="s">
        <v>20</v>
      </c>
      <c r="C28" s="32">
        <v>46294.99930555555</v>
      </c>
      <c r="D28" s="33"/>
      <c r="E28" s="75" t="str">
        <f t="shared" ref="E28:E39" si="4">IF(D28&lt;&gt;"",IF(E28="",NOW(),E28),"")</f>
        <v/>
      </c>
      <c r="F28" s="37">
        <f t="shared" ref="F28:F39" si="5">if(D28 = "", 0,IF(E28&lt;C28,0.5,0))</f>
        <v>0</v>
      </c>
      <c r="G28" s="4"/>
      <c r="H28" s="38" t="str">
        <f t="shared" ref="H28:H39" si="6">if(D28 &lt;&gt; "", ABS(E28-C28), "0")</f>
        <v>0</v>
      </c>
      <c r="K28" s="4"/>
      <c r="L28" s="53"/>
      <c r="P28" s="4"/>
      <c r="Q28" s="4"/>
      <c r="R28" s="4"/>
      <c r="S28" s="4"/>
      <c r="T28" s="4"/>
      <c r="U28" s="4"/>
      <c r="V28" s="4"/>
    </row>
    <row r="29">
      <c r="A29" s="68" t="s">
        <v>46</v>
      </c>
      <c r="B29" s="30" t="s">
        <v>20</v>
      </c>
      <c r="C29" s="32">
        <v>46294.99930555555</v>
      </c>
      <c r="D29" s="33"/>
      <c r="E29" s="75" t="str">
        <f t="shared" si="4"/>
        <v/>
      </c>
      <c r="F29" s="37">
        <f t="shared" si="5"/>
        <v>0</v>
      </c>
      <c r="G29" s="4"/>
      <c r="H29" s="38" t="str">
        <f t="shared" si="6"/>
        <v>0</v>
      </c>
      <c r="K29" s="4"/>
      <c r="L29" s="53"/>
      <c r="P29" s="4"/>
      <c r="Q29" s="4"/>
      <c r="R29" s="4"/>
      <c r="S29" s="4"/>
      <c r="T29" s="4"/>
      <c r="U29" s="4"/>
      <c r="V29" s="4"/>
    </row>
    <row r="30">
      <c r="A30" s="68" t="s">
        <v>47</v>
      </c>
      <c r="B30" s="30" t="s">
        <v>14</v>
      </c>
      <c r="C30" s="32">
        <v>46267.99930555555</v>
      </c>
      <c r="D30" s="33" t="s">
        <v>28</v>
      </c>
      <c r="E30" s="88">
        <f t="shared" si="4"/>
        <v>46266.25606</v>
      </c>
      <c r="F30" s="37">
        <f t="shared" si="5"/>
        <v>0.5</v>
      </c>
      <c r="G30" s="4"/>
      <c r="H30" s="38">
        <f t="shared" si="6"/>
        <v>1.743247326</v>
      </c>
      <c r="K30" s="4"/>
      <c r="L30" s="53"/>
      <c r="P30" s="4"/>
      <c r="Q30" s="4"/>
      <c r="R30" s="4"/>
      <c r="S30" s="4"/>
      <c r="T30" s="4"/>
      <c r="U30" s="4"/>
      <c r="V30" s="4"/>
    </row>
    <row r="31">
      <c r="A31" s="68" t="s">
        <v>48</v>
      </c>
      <c r="B31" s="30" t="s">
        <v>14</v>
      </c>
      <c r="C31" s="32">
        <v>46269.99930555555</v>
      </c>
      <c r="D31" s="33" t="s">
        <v>28</v>
      </c>
      <c r="E31" s="35">
        <f t="shared" si="4"/>
        <v>46269.09323</v>
      </c>
      <c r="F31" s="37">
        <f t="shared" si="5"/>
        <v>0.5</v>
      </c>
      <c r="G31" s="4"/>
      <c r="H31" s="38">
        <f t="shared" si="6"/>
        <v>0.9060728125</v>
      </c>
      <c r="K31" s="4"/>
      <c r="L31" s="53"/>
      <c r="P31" s="4"/>
      <c r="Q31" s="4"/>
      <c r="R31" s="4"/>
      <c r="S31" s="4"/>
      <c r="T31" s="4"/>
      <c r="U31" s="4"/>
      <c r="V31" s="4"/>
    </row>
    <row r="32">
      <c r="A32" s="69" t="s">
        <v>50</v>
      </c>
      <c r="B32" s="89" t="s">
        <v>18</v>
      </c>
      <c r="C32" s="32">
        <v>46273.99930555555</v>
      </c>
      <c r="D32" s="33" t="s">
        <v>15</v>
      </c>
      <c r="E32" s="35">
        <f t="shared" si="4"/>
        <v>46272.44304</v>
      </c>
      <c r="F32" s="37">
        <f t="shared" si="5"/>
        <v>0.5</v>
      </c>
      <c r="G32" s="4"/>
      <c r="H32" s="38">
        <f t="shared" si="6"/>
        <v>1.556262338</v>
      </c>
      <c r="K32" s="4"/>
      <c r="L32" s="53"/>
      <c r="P32" s="4"/>
      <c r="Q32" s="4"/>
      <c r="R32" s="4"/>
      <c r="S32" s="4"/>
      <c r="T32" s="4"/>
      <c r="U32" s="4"/>
      <c r="V32" s="4"/>
    </row>
    <row r="33">
      <c r="A33" s="69" t="s">
        <v>51</v>
      </c>
      <c r="B33" s="30" t="s">
        <v>20</v>
      </c>
      <c r="C33" s="32">
        <v>46276.99930555555</v>
      </c>
      <c r="D33" s="33" t="s">
        <v>21</v>
      </c>
      <c r="E33" s="35">
        <f t="shared" si="4"/>
        <v>46276.01162</v>
      </c>
      <c r="F33" s="37">
        <f t="shared" si="5"/>
        <v>0.5</v>
      </c>
      <c r="G33" s="4"/>
      <c r="H33" s="38">
        <f t="shared" si="6"/>
        <v>0.987687338</v>
      </c>
      <c r="K33" s="4"/>
      <c r="L33" s="53"/>
      <c r="P33" s="4"/>
      <c r="Q33" s="4"/>
      <c r="R33" s="4"/>
      <c r="S33" s="4"/>
      <c r="T33" s="4"/>
      <c r="U33" s="4"/>
      <c r="V33" s="4"/>
    </row>
    <row r="34">
      <c r="A34" s="69" t="s">
        <v>52</v>
      </c>
      <c r="B34" s="30" t="s">
        <v>14</v>
      </c>
      <c r="C34" s="32">
        <v>46280.99930555555</v>
      </c>
      <c r="D34" s="33" t="s">
        <v>15</v>
      </c>
      <c r="E34" s="35">
        <f t="shared" si="4"/>
        <v>46279.10053</v>
      </c>
      <c r="F34" s="37">
        <f t="shared" si="5"/>
        <v>0.5</v>
      </c>
      <c r="G34" s="4"/>
      <c r="H34" s="38">
        <f t="shared" si="6"/>
        <v>1.898775208</v>
      </c>
      <c r="I34" s="4"/>
      <c r="J34" s="4"/>
      <c r="K34" s="4"/>
      <c r="L34" s="53"/>
      <c r="P34" s="4"/>
      <c r="Q34" s="4"/>
      <c r="R34" s="4"/>
      <c r="S34" s="4"/>
      <c r="T34" s="4"/>
      <c r="U34" s="4"/>
      <c r="V34" s="4"/>
    </row>
    <row r="35">
      <c r="A35" s="69" t="s">
        <v>53</v>
      </c>
      <c r="B35" s="30" t="s">
        <v>20</v>
      </c>
      <c r="C35" s="32">
        <v>46283.99930555555</v>
      </c>
      <c r="D35" s="33"/>
      <c r="E35" s="75" t="str">
        <f t="shared" si="4"/>
        <v/>
      </c>
      <c r="F35" s="37">
        <f t="shared" si="5"/>
        <v>0</v>
      </c>
      <c r="G35" s="4"/>
      <c r="H35" s="38" t="str">
        <f t="shared" si="6"/>
        <v>0</v>
      </c>
      <c r="I35" s="70"/>
      <c r="J35" s="70"/>
      <c r="K35" s="4"/>
      <c r="L35" s="71"/>
      <c r="P35" s="4"/>
      <c r="Q35" s="4"/>
      <c r="R35" s="4"/>
      <c r="S35" s="4"/>
      <c r="T35" s="4"/>
      <c r="U35" s="4"/>
      <c r="V35" s="4"/>
    </row>
    <row r="36">
      <c r="A36" s="69" t="s">
        <v>54</v>
      </c>
      <c r="B36" s="30" t="s">
        <v>55</v>
      </c>
      <c r="C36" s="32">
        <v>46286.99930555555</v>
      </c>
      <c r="D36" s="33"/>
      <c r="E36" s="75" t="str">
        <f t="shared" si="4"/>
        <v/>
      </c>
      <c r="F36" s="37">
        <f t="shared" si="5"/>
        <v>0</v>
      </c>
      <c r="G36" s="4"/>
      <c r="H36" s="38" t="str">
        <f t="shared" si="6"/>
        <v>0</v>
      </c>
      <c r="J36" s="70"/>
      <c r="K36" s="70"/>
      <c r="L36" s="72"/>
      <c r="P36" s="4"/>
      <c r="Q36" s="4"/>
      <c r="R36" s="4"/>
      <c r="S36" s="4"/>
      <c r="T36" s="4"/>
      <c r="U36" s="4"/>
      <c r="V36" s="4"/>
    </row>
    <row r="37">
      <c r="A37" s="69" t="s">
        <v>56</v>
      </c>
      <c r="B37" s="30" t="s">
        <v>55</v>
      </c>
      <c r="C37" s="32">
        <v>46288.99930555555</v>
      </c>
      <c r="D37" s="33"/>
      <c r="E37" s="75" t="str">
        <f t="shared" si="4"/>
        <v/>
      </c>
      <c r="F37" s="37">
        <f t="shared" si="5"/>
        <v>0</v>
      </c>
      <c r="G37" s="4"/>
      <c r="H37" s="38" t="str">
        <f t="shared" si="6"/>
        <v>0</v>
      </c>
      <c r="J37" s="70"/>
      <c r="K37" s="70"/>
      <c r="L37" s="72"/>
      <c r="P37" s="4"/>
      <c r="Q37" s="4"/>
      <c r="R37" s="4"/>
      <c r="S37" s="4"/>
      <c r="T37" s="4"/>
      <c r="U37" s="4"/>
      <c r="V37" s="4"/>
    </row>
    <row r="38">
      <c r="A38" s="69" t="s">
        <v>57</v>
      </c>
      <c r="B38" s="30" t="s">
        <v>55</v>
      </c>
      <c r="C38" s="32">
        <v>46290.99930555555</v>
      </c>
      <c r="D38" s="33"/>
      <c r="E38" s="75" t="str">
        <f t="shared" si="4"/>
        <v/>
      </c>
      <c r="F38" s="37">
        <f t="shared" si="5"/>
        <v>0</v>
      </c>
      <c r="G38" s="4"/>
      <c r="H38" s="38" t="str">
        <f t="shared" si="6"/>
        <v>0</v>
      </c>
      <c r="J38" s="70"/>
      <c r="K38" s="70"/>
      <c r="L38" s="72"/>
      <c r="P38" s="4"/>
      <c r="Q38" s="4"/>
      <c r="R38" s="4"/>
      <c r="S38" s="4"/>
      <c r="T38" s="4"/>
      <c r="U38" s="4"/>
      <c r="V38" s="4"/>
    </row>
    <row r="39">
      <c r="A39" s="69" t="s">
        <v>58</v>
      </c>
      <c r="B39" s="89" t="s">
        <v>65</v>
      </c>
      <c r="C39" s="32">
        <v>46290.99930555555</v>
      </c>
      <c r="D39" s="33"/>
      <c r="E39" s="75" t="str">
        <f t="shared" si="4"/>
        <v/>
      </c>
      <c r="F39" s="37">
        <f t="shared" si="5"/>
        <v>0</v>
      </c>
      <c r="G39" s="4"/>
      <c r="H39" s="38" t="str">
        <f t="shared" si="6"/>
        <v>0</v>
      </c>
      <c r="J39" s="70"/>
      <c r="K39" s="70"/>
      <c r="L39" s="72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76"/>
      <c r="F40" s="53"/>
      <c r="G40" s="4"/>
      <c r="H40" s="4"/>
      <c r="J40" s="70"/>
      <c r="K40" s="70"/>
      <c r="L40" s="72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76"/>
      <c r="F41" s="53"/>
      <c r="G41" s="4"/>
      <c r="H41" s="4"/>
      <c r="J41" s="70"/>
      <c r="K41" s="70"/>
      <c r="L41" s="72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76"/>
      <c r="F42" s="53"/>
      <c r="G42" s="4"/>
      <c r="H42" s="4"/>
      <c r="I42" s="4"/>
      <c r="J42" s="4"/>
      <c r="K42" s="4"/>
      <c r="L42" s="53"/>
      <c r="P42" s="4"/>
      <c r="Q42" s="4"/>
      <c r="R42" s="4"/>
      <c r="S42" s="4"/>
      <c r="T42" s="4"/>
      <c r="U42" s="4"/>
      <c r="V42" s="4"/>
    </row>
    <row r="43">
      <c r="C43" s="4"/>
      <c r="D43" s="4"/>
      <c r="E43" s="76"/>
      <c r="F43" s="53"/>
      <c r="G43" s="4"/>
      <c r="H43" s="4"/>
      <c r="I43" s="4"/>
      <c r="J43" s="4"/>
      <c r="K43" s="72">
        <v>0.5</v>
      </c>
      <c r="L43" s="53"/>
      <c r="P43" s="4"/>
      <c r="Q43" s="4"/>
      <c r="R43" s="4"/>
      <c r="S43" s="4"/>
      <c r="T43" s="4"/>
      <c r="U43" s="4"/>
      <c r="V43" s="4"/>
    </row>
    <row r="44">
      <c r="C44" s="4"/>
      <c r="D44" s="4"/>
      <c r="E44" s="76"/>
      <c r="F44" s="53"/>
      <c r="G44" s="4"/>
      <c r="H44" s="4"/>
      <c r="I44" s="4"/>
      <c r="J44" s="4"/>
      <c r="K44" s="72">
        <v>0.5</v>
      </c>
      <c r="L44" s="53"/>
      <c r="P44" s="4"/>
      <c r="Q44" s="4"/>
      <c r="R44" s="4"/>
      <c r="S44" s="4"/>
      <c r="T44" s="4"/>
      <c r="U44" s="4"/>
      <c r="V44" s="4"/>
    </row>
    <row r="45">
      <c r="C45" s="4"/>
      <c r="D45" s="4"/>
      <c r="E45" s="76"/>
      <c r="F45" s="53"/>
      <c r="G45" s="4"/>
      <c r="H45" s="4"/>
      <c r="I45" s="4"/>
      <c r="J45" s="4"/>
      <c r="K45" s="72">
        <v>0.5</v>
      </c>
      <c r="L45" s="53"/>
      <c r="P45" s="4"/>
      <c r="Q45" s="4"/>
      <c r="R45" s="4"/>
      <c r="S45" s="4"/>
      <c r="T45" s="4"/>
      <c r="U45" s="4"/>
      <c r="V45" s="4"/>
    </row>
    <row r="46">
      <c r="C46" s="4"/>
      <c r="D46" s="4"/>
      <c r="E46" s="76"/>
      <c r="F46" s="53"/>
      <c r="G46" s="4"/>
      <c r="H46" s="4"/>
      <c r="I46" s="4"/>
      <c r="J46" s="4"/>
      <c r="K46" s="72">
        <v>0.0</v>
      </c>
      <c r="L46" s="53"/>
      <c r="P46" s="4"/>
      <c r="Q46" s="4"/>
      <c r="R46" s="4"/>
      <c r="S46" s="4"/>
      <c r="T46" s="4"/>
      <c r="U46" s="4"/>
      <c r="V46" s="4"/>
    </row>
    <row r="47">
      <c r="C47" s="4"/>
      <c r="D47" s="4"/>
      <c r="E47" s="76"/>
      <c r="F47" s="53"/>
      <c r="G47" s="4"/>
      <c r="H47" s="4"/>
      <c r="I47" s="4"/>
      <c r="J47" s="4"/>
      <c r="K47" s="4"/>
      <c r="L47" s="53"/>
      <c r="P47" s="4"/>
      <c r="Q47" s="4"/>
      <c r="R47" s="4"/>
      <c r="S47" s="4"/>
      <c r="T47" s="4"/>
      <c r="U47" s="4"/>
      <c r="V47" s="4"/>
    </row>
    <row r="48">
      <c r="C48" s="4"/>
      <c r="D48" s="4"/>
      <c r="E48" s="76"/>
      <c r="F48" s="53"/>
      <c r="G48" s="4"/>
      <c r="H48" s="4"/>
      <c r="I48" s="4"/>
      <c r="J48" s="4"/>
      <c r="K48" s="4"/>
      <c r="L48" s="53"/>
      <c r="P48" s="4"/>
      <c r="Q48" s="4"/>
      <c r="R48" s="4"/>
      <c r="S48" s="4"/>
      <c r="T48" s="4"/>
      <c r="U48" s="4"/>
      <c r="V48" s="4"/>
    </row>
    <row r="49">
      <c r="C49" s="4"/>
      <c r="D49" s="4"/>
      <c r="E49" s="76"/>
      <c r="F49" s="53"/>
      <c r="G49" s="4"/>
      <c r="H49" s="4"/>
      <c r="I49" s="4"/>
      <c r="J49" s="4"/>
      <c r="K49" s="4"/>
      <c r="L49" s="53"/>
      <c r="P49" s="4"/>
      <c r="Q49" s="4"/>
      <c r="R49" s="4"/>
      <c r="S49" s="4"/>
      <c r="T49" s="4"/>
      <c r="U49" s="4"/>
      <c r="V49" s="4"/>
    </row>
    <row r="50">
      <c r="C50" s="4"/>
      <c r="D50" s="4"/>
      <c r="E50" s="76"/>
      <c r="F50" s="53"/>
      <c r="G50" s="4"/>
      <c r="H50" s="4"/>
      <c r="I50" s="4"/>
      <c r="J50" s="4"/>
      <c r="K50" s="4"/>
      <c r="L50" s="53"/>
      <c r="P50" s="4"/>
      <c r="Q50" s="4"/>
      <c r="R50" s="4"/>
      <c r="S50" s="4"/>
      <c r="T50" s="4"/>
      <c r="U50" s="4"/>
      <c r="V50" s="4"/>
    </row>
    <row r="51">
      <c r="C51" s="4"/>
      <c r="D51" s="4"/>
      <c r="E51" s="76"/>
      <c r="F51" s="53"/>
      <c r="G51" s="4"/>
      <c r="H51" s="4"/>
      <c r="I51" s="4"/>
      <c r="J51" s="4"/>
      <c r="K51" s="4"/>
      <c r="L51" s="53"/>
      <c r="P51" s="4"/>
      <c r="Q51" s="4"/>
      <c r="R51" s="4"/>
      <c r="S51" s="4"/>
      <c r="T51" s="4"/>
      <c r="U51" s="4"/>
      <c r="V51" s="4"/>
    </row>
    <row r="52">
      <c r="C52" s="4"/>
      <c r="D52" s="4"/>
      <c r="E52" s="76"/>
      <c r="F52" s="53"/>
      <c r="G52" s="4"/>
      <c r="H52" s="4"/>
      <c r="I52" s="4"/>
      <c r="J52" s="4"/>
      <c r="K52" s="4"/>
      <c r="L52" s="53"/>
      <c r="P52" s="4"/>
      <c r="Q52" s="4"/>
      <c r="R52" s="4"/>
      <c r="S52" s="4"/>
      <c r="T52" s="4"/>
      <c r="U52" s="4"/>
      <c r="V52" s="4"/>
    </row>
    <row r="53">
      <c r="C53" s="4"/>
      <c r="D53" s="4"/>
      <c r="E53" s="76"/>
      <c r="F53" s="53"/>
      <c r="G53" s="4"/>
      <c r="H53" s="4"/>
      <c r="I53" s="4"/>
      <c r="J53" s="4"/>
      <c r="K53" s="4"/>
      <c r="L53" s="53"/>
      <c r="P53" s="4"/>
      <c r="Q53" s="4"/>
      <c r="R53" s="4"/>
      <c r="S53" s="4"/>
      <c r="T53" s="4"/>
      <c r="U53" s="4"/>
      <c r="V53" s="4"/>
    </row>
    <row r="54">
      <c r="C54" s="4"/>
      <c r="D54" s="4"/>
      <c r="E54" s="76"/>
      <c r="F54" s="53"/>
      <c r="G54" s="4"/>
      <c r="H54" s="4"/>
      <c r="I54" s="4"/>
      <c r="J54" s="4"/>
      <c r="K54" s="4"/>
      <c r="L54" s="53"/>
      <c r="P54" s="4"/>
      <c r="Q54" s="4"/>
      <c r="R54" s="4"/>
      <c r="S54" s="4"/>
      <c r="T54" s="4"/>
      <c r="U54" s="4"/>
      <c r="V54" s="4"/>
    </row>
    <row r="55">
      <c r="C55" s="4"/>
      <c r="D55" s="4"/>
      <c r="E55" s="76"/>
      <c r="F55" s="53"/>
      <c r="G55" s="4"/>
      <c r="H55" s="4"/>
      <c r="I55" s="4"/>
      <c r="J55" s="4"/>
      <c r="K55" s="4"/>
      <c r="L55" s="53"/>
      <c r="P55" s="4"/>
      <c r="Q55" s="4"/>
      <c r="R55" s="4"/>
      <c r="S55" s="4"/>
      <c r="T55" s="4"/>
      <c r="U55" s="4"/>
      <c r="V55" s="4"/>
    </row>
    <row r="56">
      <c r="C56" s="4"/>
      <c r="D56" s="4"/>
      <c r="E56" s="76"/>
      <c r="F56" s="53"/>
      <c r="G56" s="4"/>
      <c r="H56" s="4"/>
      <c r="I56" s="4"/>
      <c r="J56" s="4"/>
      <c r="K56" s="4"/>
      <c r="L56" s="53"/>
      <c r="P56" s="4"/>
      <c r="Q56" s="4"/>
      <c r="R56" s="4"/>
      <c r="S56" s="4"/>
      <c r="T56" s="4"/>
      <c r="U56" s="4"/>
      <c r="V56" s="4"/>
    </row>
    <row r="57">
      <c r="C57" s="4"/>
      <c r="D57" s="4"/>
      <c r="E57" s="76"/>
      <c r="F57" s="53"/>
      <c r="G57" s="4"/>
      <c r="H57" s="4"/>
      <c r="I57" s="4"/>
      <c r="J57" s="4"/>
      <c r="K57" s="4"/>
      <c r="L57" s="53"/>
      <c r="P57" s="4"/>
      <c r="Q57" s="4"/>
      <c r="R57" s="4"/>
      <c r="S57" s="4"/>
      <c r="T57" s="4"/>
      <c r="U57" s="4"/>
      <c r="V57" s="4"/>
    </row>
    <row r="58">
      <c r="C58" s="4"/>
      <c r="D58" s="4"/>
      <c r="E58" s="76"/>
      <c r="F58" s="53"/>
      <c r="G58" s="4"/>
      <c r="H58" s="4"/>
      <c r="I58" s="4"/>
      <c r="J58" s="4"/>
      <c r="K58" s="4"/>
      <c r="L58" s="53"/>
      <c r="P58" s="4"/>
      <c r="Q58" s="4"/>
      <c r="R58" s="4"/>
      <c r="S58" s="4"/>
      <c r="T58" s="4"/>
      <c r="U58" s="4"/>
      <c r="V58" s="4"/>
    </row>
    <row r="59">
      <c r="C59" s="4"/>
      <c r="D59" s="4"/>
      <c r="E59" s="76"/>
      <c r="F59" s="53"/>
      <c r="G59" s="4"/>
      <c r="H59" s="4"/>
      <c r="I59" s="4"/>
      <c r="J59" s="4"/>
      <c r="K59" s="4"/>
      <c r="L59" s="53"/>
      <c r="P59" s="4"/>
      <c r="Q59" s="4"/>
      <c r="R59" s="4"/>
      <c r="S59" s="4"/>
      <c r="T59" s="4"/>
      <c r="U59" s="4"/>
      <c r="V59" s="4"/>
    </row>
    <row r="60">
      <c r="C60" s="4"/>
      <c r="D60" s="4"/>
      <c r="E60" s="76"/>
      <c r="F60" s="53"/>
      <c r="G60" s="4"/>
      <c r="H60" s="4"/>
      <c r="I60" s="4"/>
      <c r="J60" s="4"/>
      <c r="K60" s="4"/>
      <c r="L60" s="53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76"/>
      <c r="F61" s="53"/>
      <c r="G61" s="4"/>
      <c r="H61" s="4"/>
      <c r="I61" s="4"/>
      <c r="J61" s="4"/>
      <c r="K61" s="4"/>
      <c r="L61" s="53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76"/>
      <c r="F62" s="53"/>
      <c r="G62" s="4"/>
      <c r="H62" s="4"/>
      <c r="I62" s="4"/>
      <c r="J62" s="4"/>
      <c r="K62" s="4"/>
      <c r="L62" s="53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76"/>
      <c r="F63" s="53"/>
      <c r="G63" s="4"/>
      <c r="H63" s="4"/>
      <c r="I63" s="4"/>
      <c r="J63" s="4"/>
      <c r="K63" s="4"/>
      <c r="L63" s="53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76"/>
      <c r="F64" s="53"/>
      <c r="G64" s="4"/>
      <c r="H64" s="4"/>
      <c r="I64" s="4"/>
      <c r="J64" s="4"/>
      <c r="K64" s="4"/>
      <c r="L64" s="53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76"/>
      <c r="F65" s="53"/>
      <c r="G65" s="4"/>
      <c r="H65" s="4"/>
      <c r="I65" s="4"/>
      <c r="J65" s="4"/>
      <c r="K65" s="4"/>
      <c r="L65" s="53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76"/>
      <c r="F66" s="53"/>
      <c r="G66" s="4"/>
      <c r="H66" s="4"/>
      <c r="I66" s="4"/>
      <c r="J66" s="4"/>
      <c r="K66" s="4"/>
      <c r="L66" s="53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76"/>
      <c r="F67" s="53"/>
      <c r="G67" s="4"/>
      <c r="H67" s="4"/>
      <c r="I67" s="4"/>
      <c r="J67" s="4"/>
      <c r="K67" s="4"/>
      <c r="L67" s="53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76"/>
      <c r="F68" s="53"/>
      <c r="G68" s="4"/>
      <c r="H68" s="4"/>
      <c r="I68" s="4"/>
      <c r="J68" s="4"/>
      <c r="K68" s="4"/>
      <c r="L68" s="53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76"/>
      <c r="F69" s="53"/>
      <c r="G69" s="4"/>
      <c r="H69" s="4"/>
      <c r="I69" s="4"/>
      <c r="J69" s="4"/>
      <c r="K69" s="4"/>
      <c r="L69" s="53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76"/>
      <c r="F70" s="53"/>
      <c r="G70" s="4"/>
      <c r="H70" s="4"/>
      <c r="I70" s="4"/>
      <c r="J70" s="4"/>
      <c r="K70" s="4"/>
      <c r="L70" s="53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76"/>
      <c r="F71" s="53"/>
      <c r="G71" s="4"/>
      <c r="H71" s="4"/>
      <c r="I71" s="4"/>
      <c r="J71" s="4"/>
      <c r="K71" s="4"/>
      <c r="L71" s="53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76"/>
      <c r="F72" s="53"/>
      <c r="G72" s="4"/>
      <c r="H72" s="4"/>
      <c r="I72" s="4"/>
      <c r="J72" s="4"/>
      <c r="K72" s="4"/>
      <c r="L72" s="53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76"/>
      <c r="F73" s="53"/>
      <c r="G73" s="4"/>
      <c r="H73" s="4"/>
      <c r="I73" s="4"/>
      <c r="J73" s="4"/>
      <c r="K73" s="4"/>
      <c r="L73" s="53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76"/>
      <c r="F74" s="53"/>
      <c r="G74" s="4"/>
      <c r="H74" s="4"/>
      <c r="I74" s="4"/>
      <c r="J74" s="4"/>
      <c r="K74" s="4"/>
      <c r="L74" s="53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76"/>
      <c r="F75" s="53"/>
      <c r="G75" s="4"/>
      <c r="H75" s="4"/>
      <c r="I75" s="4"/>
      <c r="J75" s="4"/>
      <c r="K75" s="4"/>
      <c r="L75" s="53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76"/>
      <c r="F76" s="53"/>
      <c r="G76" s="4"/>
      <c r="H76" s="4"/>
      <c r="I76" s="4"/>
      <c r="J76" s="4"/>
      <c r="K76" s="4"/>
      <c r="L76" s="53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76"/>
      <c r="F77" s="53"/>
      <c r="G77" s="4"/>
      <c r="H77" s="4"/>
      <c r="I77" s="4"/>
      <c r="J77" s="4"/>
      <c r="K77" s="4"/>
      <c r="L77" s="53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76"/>
      <c r="F78" s="53"/>
      <c r="G78" s="4"/>
      <c r="H78" s="4"/>
      <c r="I78" s="4"/>
      <c r="J78" s="4"/>
      <c r="K78" s="4"/>
      <c r="L78" s="53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76"/>
      <c r="F79" s="53"/>
      <c r="G79" s="4"/>
      <c r="H79" s="4"/>
      <c r="I79" s="4"/>
      <c r="J79" s="4"/>
      <c r="K79" s="4"/>
      <c r="L79" s="53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76"/>
      <c r="F80" s="53"/>
      <c r="G80" s="4"/>
      <c r="H80" s="4"/>
      <c r="I80" s="4"/>
      <c r="J80" s="4"/>
      <c r="K80" s="4"/>
      <c r="L80" s="53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76"/>
      <c r="F81" s="53"/>
      <c r="G81" s="4"/>
      <c r="H81" s="4"/>
      <c r="I81" s="4"/>
      <c r="J81" s="4"/>
      <c r="K81" s="4"/>
      <c r="L81" s="53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76"/>
      <c r="F82" s="53"/>
      <c r="G82" s="4"/>
      <c r="H82" s="4"/>
      <c r="I82" s="4"/>
      <c r="J82" s="4"/>
      <c r="K82" s="4"/>
      <c r="L82" s="53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76"/>
      <c r="F83" s="53"/>
      <c r="G83" s="4"/>
      <c r="H83" s="4"/>
      <c r="I83" s="4"/>
      <c r="J83" s="4"/>
      <c r="K83" s="4"/>
      <c r="L83" s="53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76"/>
      <c r="F84" s="53"/>
      <c r="G84" s="4"/>
      <c r="H84" s="4"/>
      <c r="I84" s="4"/>
      <c r="J84" s="4"/>
      <c r="K84" s="4"/>
      <c r="L84" s="53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76"/>
      <c r="F85" s="53"/>
      <c r="G85" s="4"/>
      <c r="H85" s="4"/>
      <c r="I85" s="4"/>
      <c r="J85" s="4"/>
      <c r="K85" s="4"/>
      <c r="L85" s="53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76"/>
      <c r="F86" s="53"/>
      <c r="G86" s="4"/>
      <c r="H86" s="4"/>
      <c r="I86" s="4"/>
      <c r="J86" s="4"/>
      <c r="K86" s="4"/>
      <c r="L86" s="53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76"/>
      <c r="F87" s="53"/>
      <c r="G87" s="4"/>
      <c r="H87" s="4"/>
      <c r="I87" s="4"/>
      <c r="J87" s="4"/>
      <c r="K87" s="4"/>
      <c r="L87" s="53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76"/>
      <c r="F88" s="53"/>
      <c r="G88" s="4"/>
      <c r="H88" s="4"/>
      <c r="I88" s="4"/>
      <c r="J88" s="4"/>
      <c r="K88" s="4"/>
      <c r="L88" s="53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76"/>
      <c r="F89" s="53"/>
      <c r="G89" s="4"/>
      <c r="H89" s="4"/>
      <c r="I89" s="4"/>
      <c r="J89" s="4"/>
      <c r="K89" s="4"/>
      <c r="L89" s="53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76"/>
      <c r="F90" s="53"/>
      <c r="G90" s="4"/>
      <c r="H90" s="4"/>
      <c r="I90" s="4"/>
      <c r="J90" s="4"/>
      <c r="K90" s="4"/>
      <c r="L90" s="53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76"/>
      <c r="F91" s="53"/>
      <c r="G91" s="4"/>
      <c r="H91" s="4"/>
      <c r="I91" s="4"/>
      <c r="J91" s="4"/>
      <c r="K91" s="4"/>
      <c r="L91" s="53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76"/>
      <c r="F92" s="53"/>
      <c r="G92" s="4"/>
      <c r="H92" s="4"/>
      <c r="I92" s="4"/>
      <c r="J92" s="4"/>
      <c r="K92" s="4"/>
      <c r="L92" s="53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76"/>
      <c r="F93" s="53"/>
      <c r="G93" s="4"/>
      <c r="H93" s="4"/>
      <c r="I93" s="4"/>
      <c r="J93" s="4"/>
      <c r="K93" s="4"/>
      <c r="L93" s="53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76"/>
      <c r="F94" s="53"/>
      <c r="G94" s="4"/>
      <c r="H94" s="4"/>
      <c r="I94" s="4"/>
      <c r="J94" s="4"/>
      <c r="K94" s="4"/>
      <c r="L94" s="53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76"/>
      <c r="F95" s="53"/>
      <c r="G95" s="4"/>
      <c r="H95" s="4"/>
      <c r="I95" s="4"/>
      <c r="J95" s="4"/>
      <c r="K95" s="4"/>
      <c r="L95" s="53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76"/>
      <c r="F96" s="53"/>
      <c r="G96" s="4"/>
      <c r="H96" s="4"/>
      <c r="I96" s="4"/>
      <c r="J96" s="4"/>
      <c r="K96" s="4"/>
      <c r="L96" s="53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76"/>
      <c r="F97" s="53"/>
      <c r="G97" s="4"/>
      <c r="H97" s="4"/>
      <c r="I97" s="4"/>
      <c r="J97" s="4"/>
      <c r="K97" s="4"/>
      <c r="L97" s="53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76"/>
      <c r="F98" s="53"/>
      <c r="G98" s="4"/>
      <c r="H98" s="4"/>
      <c r="I98" s="4"/>
      <c r="J98" s="4"/>
      <c r="K98" s="4"/>
      <c r="L98" s="53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76"/>
      <c r="F99" s="53"/>
      <c r="G99" s="4"/>
      <c r="H99" s="4"/>
      <c r="I99" s="4"/>
      <c r="J99" s="4"/>
      <c r="K99" s="4"/>
      <c r="L99" s="53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76"/>
      <c r="F100" s="53"/>
      <c r="G100" s="4"/>
      <c r="H100" s="4"/>
      <c r="I100" s="4"/>
      <c r="J100" s="4"/>
      <c r="K100" s="4"/>
      <c r="L100" s="53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76"/>
      <c r="F101" s="53"/>
      <c r="G101" s="4"/>
      <c r="H101" s="4"/>
      <c r="I101" s="4"/>
      <c r="J101" s="4"/>
      <c r="K101" s="4"/>
      <c r="L101" s="53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76"/>
      <c r="F102" s="53"/>
      <c r="G102" s="4"/>
      <c r="H102" s="4"/>
      <c r="I102" s="4"/>
      <c r="J102" s="4"/>
      <c r="K102" s="4"/>
      <c r="L102" s="53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76"/>
      <c r="F103" s="53"/>
      <c r="G103" s="4"/>
      <c r="H103" s="4"/>
      <c r="I103" s="4"/>
      <c r="J103" s="4"/>
      <c r="K103" s="4"/>
      <c r="L103" s="53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76"/>
      <c r="F104" s="53"/>
      <c r="G104" s="4"/>
      <c r="H104" s="4"/>
      <c r="I104" s="4"/>
      <c r="J104" s="4"/>
      <c r="K104" s="4"/>
      <c r="L104" s="53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76"/>
      <c r="F105" s="53"/>
      <c r="G105" s="4"/>
      <c r="H105" s="4"/>
      <c r="I105" s="4"/>
      <c r="J105" s="4"/>
      <c r="K105" s="4"/>
      <c r="L105" s="53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76"/>
      <c r="F106" s="53"/>
      <c r="G106" s="4"/>
      <c r="H106" s="4"/>
      <c r="I106" s="4"/>
      <c r="J106" s="4"/>
      <c r="K106" s="4"/>
      <c r="L106" s="53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76"/>
      <c r="F107" s="53"/>
      <c r="G107" s="4"/>
      <c r="H107" s="4"/>
      <c r="I107" s="4"/>
      <c r="J107" s="4"/>
      <c r="K107" s="4"/>
      <c r="L107" s="53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76"/>
      <c r="F108" s="53"/>
      <c r="G108" s="4"/>
      <c r="H108" s="4"/>
      <c r="I108" s="4"/>
      <c r="J108" s="4"/>
      <c r="K108" s="4"/>
      <c r="L108" s="53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76"/>
      <c r="F109" s="53"/>
      <c r="G109" s="4"/>
      <c r="H109" s="4"/>
      <c r="I109" s="4"/>
      <c r="J109" s="4"/>
      <c r="K109" s="4"/>
      <c r="L109" s="53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76"/>
      <c r="F110" s="53"/>
      <c r="G110" s="4"/>
      <c r="H110" s="4"/>
      <c r="I110" s="4"/>
      <c r="J110" s="4"/>
      <c r="K110" s="4"/>
      <c r="L110" s="53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76"/>
      <c r="F111" s="53"/>
      <c r="G111" s="4"/>
      <c r="H111" s="4"/>
      <c r="I111" s="4"/>
      <c r="J111" s="4"/>
      <c r="K111" s="4"/>
      <c r="L111" s="53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76"/>
      <c r="F112" s="53"/>
      <c r="G112" s="4"/>
      <c r="H112" s="4"/>
      <c r="I112" s="4"/>
      <c r="J112" s="4"/>
      <c r="K112" s="4"/>
      <c r="L112" s="53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76"/>
      <c r="F113" s="53"/>
      <c r="G113" s="4"/>
      <c r="H113" s="4"/>
      <c r="I113" s="4"/>
      <c r="J113" s="4"/>
      <c r="K113" s="4"/>
      <c r="L113" s="53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76"/>
      <c r="F114" s="53"/>
      <c r="G114" s="4"/>
      <c r="H114" s="4"/>
      <c r="I114" s="4"/>
      <c r="J114" s="4"/>
      <c r="K114" s="4"/>
      <c r="L114" s="53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76"/>
      <c r="F115" s="53"/>
      <c r="G115" s="4"/>
      <c r="H115" s="4"/>
      <c r="I115" s="4"/>
      <c r="J115" s="4"/>
      <c r="K115" s="4"/>
      <c r="L115" s="53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76"/>
      <c r="F116" s="53"/>
      <c r="G116" s="4"/>
      <c r="H116" s="4"/>
      <c r="I116" s="4"/>
      <c r="J116" s="4"/>
      <c r="K116" s="4"/>
      <c r="L116" s="53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76"/>
      <c r="F117" s="53"/>
      <c r="G117" s="4"/>
      <c r="H117" s="4"/>
      <c r="I117" s="4"/>
      <c r="J117" s="4"/>
      <c r="K117" s="4"/>
      <c r="L117" s="53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76"/>
      <c r="F118" s="53"/>
      <c r="G118" s="4"/>
      <c r="H118" s="4"/>
      <c r="I118" s="4"/>
      <c r="J118" s="4"/>
      <c r="K118" s="4"/>
      <c r="L118" s="53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76"/>
      <c r="F119" s="53"/>
      <c r="G119" s="4"/>
      <c r="H119" s="4"/>
      <c r="I119" s="4"/>
      <c r="J119" s="4"/>
      <c r="K119" s="4"/>
      <c r="L119" s="53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76"/>
      <c r="F120" s="53"/>
      <c r="G120" s="4"/>
      <c r="H120" s="4"/>
      <c r="I120" s="4"/>
      <c r="J120" s="4"/>
      <c r="K120" s="4"/>
      <c r="L120" s="53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76"/>
      <c r="F121" s="53"/>
      <c r="G121" s="4"/>
      <c r="H121" s="4"/>
      <c r="I121" s="4"/>
      <c r="J121" s="4"/>
      <c r="K121" s="4"/>
      <c r="L121" s="53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76"/>
      <c r="F122" s="53"/>
      <c r="G122" s="4"/>
      <c r="H122" s="4"/>
      <c r="I122" s="4"/>
      <c r="J122" s="4"/>
      <c r="K122" s="4"/>
      <c r="L122" s="53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76"/>
      <c r="F123" s="53"/>
      <c r="G123" s="4"/>
      <c r="H123" s="4"/>
      <c r="I123" s="4"/>
      <c r="J123" s="4"/>
      <c r="K123" s="4"/>
      <c r="L123" s="53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76"/>
      <c r="F124" s="53"/>
      <c r="G124" s="4"/>
      <c r="H124" s="4"/>
      <c r="I124" s="4"/>
      <c r="J124" s="4"/>
      <c r="K124" s="4"/>
      <c r="L124" s="53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76"/>
      <c r="F125" s="53"/>
      <c r="G125" s="4"/>
      <c r="H125" s="4"/>
      <c r="I125" s="4"/>
      <c r="J125" s="4"/>
      <c r="K125" s="4"/>
      <c r="L125" s="53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76"/>
      <c r="F126" s="53"/>
      <c r="G126" s="4"/>
      <c r="H126" s="4"/>
      <c r="I126" s="4"/>
      <c r="J126" s="4"/>
      <c r="K126" s="4"/>
      <c r="L126" s="53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76"/>
      <c r="F127" s="53"/>
      <c r="G127" s="4"/>
      <c r="H127" s="4"/>
      <c r="I127" s="4"/>
      <c r="J127" s="4"/>
      <c r="K127" s="4"/>
      <c r="L127" s="53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76"/>
      <c r="F128" s="53"/>
      <c r="G128" s="4"/>
      <c r="H128" s="4"/>
      <c r="I128" s="4"/>
      <c r="J128" s="4"/>
      <c r="K128" s="4"/>
      <c r="L128" s="53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76"/>
      <c r="F129" s="53"/>
      <c r="G129" s="4"/>
      <c r="H129" s="4"/>
      <c r="I129" s="4"/>
      <c r="J129" s="4"/>
      <c r="K129" s="4"/>
      <c r="L129" s="53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76"/>
      <c r="F130" s="53"/>
      <c r="G130" s="4"/>
      <c r="H130" s="4"/>
      <c r="I130" s="4"/>
      <c r="J130" s="4"/>
      <c r="K130" s="4"/>
      <c r="L130" s="53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76"/>
      <c r="F131" s="53"/>
      <c r="G131" s="4"/>
      <c r="H131" s="4"/>
      <c r="I131" s="4"/>
      <c r="J131" s="4"/>
      <c r="K131" s="4"/>
      <c r="L131" s="53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76"/>
      <c r="F132" s="53"/>
      <c r="G132" s="4"/>
      <c r="H132" s="4"/>
      <c r="I132" s="4"/>
      <c r="J132" s="4"/>
      <c r="K132" s="4"/>
      <c r="L132" s="53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76"/>
      <c r="F133" s="53"/>
      <c r="G133" s="4"/>
      <c r="H133" s="4"/>
      <c r="I133" s="4"/>
      <c r="J133" s="4"/>
      <c r="K133" s="4"/>
      <c r="L133" s="53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76"/>
      <c r="F134" s="53"/>
      <c r="G134" s="4"/>
      <c r="H134" s="4"/>
      <c r="I134" s="4"/>
      <c r="J134" s="4"/>
      <c r="K134" s="4"/>
      <c r="L134" s="53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76"/>
      <c r="F135" s="53"/>
      <c r="G135" s="4"/>
      <c r="H135" s="4"/>
      <c r="I135" s="4"/>
      <c r="J135" s="4"/>
      <c r="K135" s="4"/>
      <c r="L135" s="53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76"/>
      <c r="F136" s="53"/>
      <c r="G136" s="4"/>
      <c r="H136" s="4"/>
      <c r="I136" s="4"/>
      <c r="J136" s="4"/>
      <c r="K136" s="4"/>
      <c r="L136" s="53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76"/>
      <c r="F137" s="53"/>
      <c r="G137" s="4"/>
      <c r="H137" s="4"/>
      <c r="I137" s="4"/>
      <c r="J137" s="4"/>
      <c r="K137" s="4"/>
      <c r="L137" s="53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76"/>
      <c r="F138" s="53"/>
      <c r="G138" s="4"/>
      <c r="H138" s="4"/>
      <c r="I138" s="4"/>
      <c r="J138" s="4"/>
      <c r="K138" s="4"/>
      <c r="L138" s="53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76"/>
      <c r="F139" s="53"/>
      <c r="G139" s="4"/>
      <c r="H139" s="4"/>
      <c r="I139" s="4"/>
      <c r="J139" s="4"/>
      <c r="K139" s="4"/>
      <c r="L139" s="53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76"/>
      <c r="F140" s="53"/>
      <c r="G140" s="4"/>
      <c r="H140" s="4"/>
      <c r="I140" s="4"/>
      <c r="J140" s="4"/>
      <c r="K140" s="4"/>
      <c r="L140" s="53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76"/>
      <c r="F141" s="53"/>
      <c r="G141" s="4"/>
      <c r="H141" s="4"/>
      <c r="I141" s="4"/>
      <c r="J141" s="4"/>
      <c r="K141" s="4"/>
      <c r="L141" s="53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76"/>
      <c r="F142" s="53"/>
      <c r="G142" s="4"/>
      <c r="H142" s="4"/>
      <c r="I142" s="4"/>
      <c r="J142" s="4"/>
      <c r="K142" s="4"/>
      <c r="L142" s="53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76"/>
      <c r="F143" s="53"/>
      <c r="G143" s="4"/>
      <c r="H143" s="4"/>
      <c r="I143" s="4"/>
      <c r="J143" s="4"/>
      <c r="K143" s="4"/>
      <c r="L143" s="53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76"/>
      <c r="F144" s="53"/>
      <c r="G144" s="4"/>
      <c r="H144" s="4"/>
      <c r="I144" s="4"/>
      <c r="J144" s="4"/>
      <c r="K144" s="4"/>
      <c r="L144" s="53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76"/>
      <c r="F145" s="53"/>
      <c r="G145" s="4"/>
      <c r="H145" s="4"/>
      <c r="I145" s="4"/>
      <c r="J145" s="4"/>
      <c r="K145" s="4"/>
      <c r="L145" s="53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76"/>
      <c r="F146" s="53"/>
      <c r="G146" s="4"/>
      <c r="H146" s="4"/>
      <c r="I146" s="4"/>
      <c r="J146" s="4"/>
      <c r="K146" s="4"/>
      <c r="L146" s="53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76"/>
      <c r="F147" s="53"/>
      <c r="G147" s="4"/>
      <c r="H147" s="4"/>
      <c r="I147" s="4"/>
      <c r="J147" s="4"/>
      <c r="K147" s="4"/>
      <c r="L147" s="53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76"/>
      <c r="F148" s="53"/>
      <c r="G148" s="4"/>
      <c r="H148" s="4"/>
      <c r="I148" s="4"/>
      <c r="J148" s="4"/>
      <c r="K148" s="4"/>
      <c r="L148" s="53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76"/>
      <c r="F149" s="53"/>
      <c r="G149" s="4"/>
      <c r="H149" s="4"/>
      <c r="I149" s="4"/>
      <c r="J149" s="4"/>
      <c r="K149" s="4"/>
      <c r="L149" s="53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76"/>
      <c r="F150" s="53"/>
      <c r="G150" s="4"/>
      <c r="H150" s="4"/>
      <c r="I150" s="4"/>
      <c r="J150" s="4"/>
      <c r="K150" s="4"/>
      <c r="L150" s="53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76"/>
      <c r="F151" s="53"/>
      <c r="G151" s="4"/>
      <c r="H151" s="4"/>
      <c r="I151" s="4"/>
      <c r="J151" s="4"/>
      <c r="K151" s="4"/>
      <c r="L151" s="53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76"/>
      <c r="F152" s="53"/>
      <c r="G152" s="4"/>
      <c r="H152" s="4"/>
      <c r="I152" s="4"/>
      <c r="J152" s="4"/>
      <c r="K152" s="4"/>
      <c r="L152" s="53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76"/>
      <c r="F153" s="53"/>
      <c r="G153" s="4"/>
      <c r="H153" s="4"/>
      <c r="I153" s="4"/>
      <c r="J153" s="4"/>
      <c r="K153" s="4"/>
      <c r="L153" s="53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76"/>
      <c r="F154" s="53"/>
      <c r="G154" s="4"/>
      <c r="H154" s="4"/>
      <c r="I154" s="4"/>
      <c r="J154" s="4"/>
      <c r="K154" s="4"/>
      <c r="L154" s="53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76"/>
      <c r="F155" s="53"/>
      <c r="G155" s="4"/>
      <c r="H155" s="4"/>
      <c r="I155" s="4"/>
      <c r="J155" s="4"/>
      <c r="K155" s="4"/>
      <c r="L155" s="53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76"/>
      <c r="F156" s="53"/>
      <c r="G156" s="4"/>
      <c r="H156" s="4"/>
      <c r="I156" s="4"/>
      <c r="J156" s="4"/>
      <c r="K156" s="4"/>
      <c r="L156" s="53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76"/>
      <c r="F157" s="53"/>
      <c r="G157" s="4"/>
      <c r="H157" s="4"/>
      <c r="I157" s="4"/>
      <c r="J157" s="4"/>
      <c r="K157" s="4"/>
      <c r="L157" s="53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76"/>
      <c r="F158" s="53"/>
      <c r="G158" s="4"/>
      <c r="H158" s="4"/>
      <c r="I158" s="4"/>
      <c r="J158" s="4"/>
      <c r="K158" s="4"/>
      <c r="L158" s="53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76"/>
      <c r="F159" s="53"/>
      <c r="G159" s="4"/>
      <c r="H159" s="4"/>
      <c r="I159" s="4"/>
      <c r="J159" s="4"/>
      <c r="K159" s="4"/>
      <c r="L159" s="53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76"/>
      <c r="F160" s="53"/>
      <c r="G160" s="4"/>
      <c r="H160" s="4"/>
      <c r="I160" s="4"/>
      <c r="J160" s="4"/>
      <c r="K160" s="4"/>
      <c r="L160" s="53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76"/>
      <c r="F161" s="53"/>
      <c r="G161" s="4"/>
      <c r="H161" s="4"/>
      <c r="I161" s="4"/>
      <c r="J161" s="4"/>
      <c r="K161" s="4"/>
      <c r="L161" s="53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76"/>
      <c r="F162" s="53"/>
      <c r="G162" s="4"/>
      <c r="H162" s="4"/>
      <c r="I162" s="4"/>
      <c r="J162" s="4"/>
      <c r="K162" s="4"/>
      <c r="L162" s="53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76"/>
      <c r="F163" s="53"/>
      <c r="G163" s="4"/>
      <c r="H163" s="4"/>
      <c r="I163" s="4"/>
      <c r="J163" s="4"/>
      <c r="K163" s="4"/>
      <c r="L163" s="53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76"/>
      <c r="F164" s="53"/>
      <c r="G164" s="4"/>
      <c r="H164" s="4"/>
      <c r="I164" s="4"/>
      <c r="J164" s="4"/>
      <c r="K164" s="4"/>
      <c r="L164" s="53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76"/>
      <c r="F165" s="53"/>
      <c r="G165" s="4"/>
      <c r="H165" s="4"/>
      <c r="I165" s="4"/>
      <c r="J165" s="4"/>
      <c r="K165" s="4"/>
      <c r="L165" s="53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76"/>
      <c r="F166" s="53"/>
      <c r="G166" s="4"/>
      <c r="H166" s="4"/>
      <c r="I166" s="4"/>
      <c r="J166" s="4"/>
      <c r="K166" s="4"/>
      <c r="L166" s="53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76"/>
      <c r="F167" s="53"/>
      <c r="G167" s="4"/>
      <c r="H167" s="4"/>
      <c r="I167" s="4"/>
      <c r="J167" s="4"/>
      <c r="K167" s="4"/>
      <c r="L167" s="53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76"/>
      <c r="F168" s="53"/>
      <c r="G168" s="4"/>
      <c r="H168" s="4"/>
      <c r="I168" s="4"/>
      <c r="J168" s="4"/>
      <c r="K168" s="4"/>
      <c r="L168" s="53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76"/>
      <c r="F169" s="53"/>
      <c r="G169" s="4"/>
      <c r="H169" s="4"/>
      <c r="I169" s="4"/>
      <c r="J169" s="4"/>
      <c r="K169" s="4"/>
      <c r="L169" s="53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76"/>
      <c r="F170" s="53"/>
      <c r="G170" s="4"/>
      <c r="H170" s="4"/>
      <c r="I170" s="4"/>
      <c r="J170" s="4"/>
      <c r="K170" s="4"/>
      <c r="L170" s="53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76"/>
      <c r="F171" s="53"/>
      <c r="G171" s="4"/>
      <c r="H171" s="4"/>
      <c r="I171" s="4"/>
      <c r="J171" s="4"/>
      <c r="K171" s="4"/>
      <c r="L171" s="53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76"/>
      <c r="F172" s="53"/>
      <c r="G172" s="4"/>
      <c r="H172" s="4"/>
      <c r="I172" s="4"/>
      <c r="J172" s="4"/>
      <c r="K172" s="4"/>
      <c r="L172" s="53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76"/>
      <c r="F173" s="53"/>
      <c r="G173" s="4"/>
      <c r="H173" s="4"/>
      <c r="I173" s="4"/>
      <c r="J173" s="4"/>
      <c r="K173" s="4"/>
      <c r="L173" s="53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76"/>
      <c r="F174" s="53"/>
      <c r="G174" s="4"/>
      <c r="H174" s="4"/>
      <c r="I174" s="4"/>
      <c r="J174" s="4"/>
      <c r="K174" s="4"/>
      <c r="L174" s="53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76"/>
      <c r="F175" s="53"/>
      <c r="G175" s="4"/>
      <c r="H175" s="4"/>
      <c r="I175" s="4"/>
      <c r="J175" s="4"/>
      <c r="K175" s="4"/>
      <c r="L175" s="53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76"/>
      <c r="F176" s="53"/>
      <c r="G176" s="4"/>
      <c r="H176" s="4"/>
      <c r="I176" s="4"/>
      <c r="J176" s="4"/>
      <c r="K176" s="4"/>
      <c r="L176" s="53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76"/>
      <c r="F177" s="53"/>
      <c r="G177" s="4"/>
      <c r="H177" s="4"/>
      <c r="I177" s="4"/>
      <c r="J177" s="4"/>
      <c r="K177" s="4"/>
      <c r="L177" s="53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76"/>
      <c r="F178" s="53"/>
      <c r="G178" s="4"/>
      <c r="H178" s="4"/>
      <c r="I178" s="4"/>
      <c r="J178" s="4"/>
      <c r="K178" s="4"/>
      <c r="L178" s="53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76"/>
      <c r="F179" s="53"/>
      <c r="G179" s="4"/>
      <c r="H179" s="4"/>
      <c r="I179" s="4"/>
      <c r="J179" s="4"/>
      <c r="K179" s="4"/>
      <c r="L179" s="53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76"/>
      <c r="F180" s="53"/>
      <c r="G180" s="4"/>
      <c r="H180" s="4"/>
      <c r="I180" s="4"/>
      <c r="J180" s="4"/>
      <c r="K180" s="4"/>
      <c r="L180" s="53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76"/>
      <c r="F181" s="53"/>
      <c r="G181" s="4"/>
      <c r="H181" s="4"/>
      <c r="I181" s="4"/>
      <c r="J181" s="4"/>
      <c r="K181" s="4"/>
      <c r="L181" s="53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76"/>
      <c r="F182" s="53"/>
      <c r="G182" s="4"/>
      <c r="H182" s="4"/>
      <c r="I182" s="4"/>
      <c r="J182" s="4"/>
      <c r="K182" s="4"/>
      <c r="L182" s="53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76"/>
      <c r="F183" s="53"/>
      <c r="G183" s="4"/>
      <c r="H183" s="4"/>
      <c r="I183" s="4"/>
      <c r="J183" s="4"/>
      <c r="K183" s="4"/>
      <c r="L183" s="53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76"/>
      <c r="F184" s="53"/>
      <c r="G184" s="4"/>
      <c r="H184" s="4"/>
      <c r="I184" s="4"/>
      <c r="J184" s="4"/>
      <c r="K184" s="4"/>
      <c r="L184" s="53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76"/>
      <c r="F185" s="53"/>
      <c r="G185" s="4"/>
      <c r="H185" s="4"/>
      <c r="I185" s="4"/>
      <c r="J185" s="4"/>
      <c r="K185" s="4"/>
      <c r="L185" s="53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76"/>
      <c r="F186" s="53"/>
      <c r="G186" s="4"/>
      <c r="H186" s="4"/>
      <c r="I186" s="4"/>
      <c r="J186" s="4"/>
      <c r="K186" s="4"/>
      <c r="L186" s="53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76"/>
      <c r="F187" s="53"/>
      <c r="G187" s="4"/>
      <c r="H187" s="4"/>
      <c r="I187" s="4"/>
      <c r="J187" s="4"/>
      <c r="K187" s="4"/>
      <c r="L187" s="53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76"/>
      <c r="F188" s="53"/>
      <c r="G188" s="4"/>
      <c r="H188" s="4"/>
      <c r="I188" s="4"/>
      <c r="J188" s="4"/>
      <c r="K188" s="4"/>
      <c r="L188" s="53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76"/>
      <c r="F189" s="53"/>
      <c r="G189" s="4"/>
      <c r="H189" s="4"/>
      <c r="I189" s="4"/>
      <c r="J189" s="4"/>
      <c r="K189" s="4"/>
      <c r="L189" s="53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76"/>
      <c r="F190" s="53"/>
      <c r="G190" s="4"/>
      <c r="H190" s="4"/>
      <c r="I190" s="4"/>
      <c r="J190" s="4"/>
      <c r="K190" s="4"/>
      <c r="L190" s="53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76"/>
      <c r="F191" s="53"/>
      <c r="G191" s="4"/>
      <c r="H191" s="4"/>
      <c r="I191" s="4"/>
      <c r="J191" s="4"/>
      <c r="K191" s="4"/>
      <c r="L191" s="53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76"/>
      <c r="F192" s="53"/>
      <c r="G192" s="4"/>
      <c r="H192" s="4"/>
      <c r="I192" s="4"/>
      <c r="J192" s="4"/>
      <c r="K192" s="4"/>
      <c r="L192" s="53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76"/>
      <c r="F193" s="53"/>
      <c r="G193" s="4"/>
      <c r="H193" s="4"/>
      <c r="I193" s="4"/>
      <c r="J193" s="4"/>
      <c r="K193" s="4"/>
      <c r="L193" s="53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76"/>
      <c r="F194" s="53"/>
      <c r="G194" s="4"/>
      <c r="H194" s="4"/>
      <c r="I194" s="4"/>
      <c r="J194" s="4"/>
      <c r="K194" s="4"/>
      <c r="L194" s="53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76"/>
      <c r="F195" s="53"/>
      <c r="G195" s="4"/>
      <c r="H195" s="4"/>
      <c r="I195" s="4"/>
      <c r="J195" s="4"/>
      <c r="K195" s="4"/>
      <c r="L195" s="53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76"/>
      <c r="F196" s="53"/>
      <c r="G196" s="4"/>
      <c r="H196" s="4"/>
      <c r="I196" s="4"/>
      <c r="J196" s="4"/>
      <c r="K196" s="4"/>
      <c r="L196" s="53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76"/>
      <c r="F197" s="53"/>
      <c r="G197" s="4"/>
      <c r="H197" s="4"/>
      <c r="I197" s="4"/>
      <c r="J197" s="4"/>
      <c r="K197" s="4"/>
      <c r="L197" s="53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76"/>
      <c r="F198" s="53"/>
      <c r="G198" s="4"/>
      <c r="H198" s="4"/>
      <c r="I198" s="4"/>
      <c r="J198" s="4"/>
      <c r="K198" s="4"/>
      <c r="L198" s="53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76"/>
      <c r="F199" s="53"/>
      <c r="G199" s="4"/>
      <c r="H199" s="4"/>
      <c r="I199" s="4"/>
      <c r="J199" s="4"/>
      <c r="K199" s="4"/>
      <c r="L199" s="53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76"/>
      <c r="F200" s="53"/>
      <c r="G200" s="4"/>
      <c r="H200" s="4"/>
      <c r="I200" s="4"/>
      <c r="J200" s="4"/>
      <c r="K200" s="4"/>
      <c r="L200" s="53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76"/>
      <c r="F201" s="53"/>
      <c r="G201" s="4"/>
      <c r="H201" s="4"/>
      <c r="I201" s="4"/>
      <c r="J201" s="4"/>
      <c r="K201" s="4"/>
      <c r="L201" s="53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76"/>
      <c r="F202" s="53"/>
      <c r="G202" s="4"/>
      <c r="H202" s="4"/>
      <c r="I202" s="4"/>
      <c r="J202" s="4"/>
      <c r="K202" s="4"/>
      <c r="L202" s="53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76"/>
      <c r="F203" s="53"/>
      <c r="G203" s="4"/>
      <c r="H203" s="4"/>
      <c r="I203" s="4"/>
      <c r="J203" s="4"/>
      <c r="K203" s="4"/>
      <c r="L203" s="53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76"/>
      <c r="F204" s="53"/>
      <c r="G204" s="4"/>
      <c r="H204" s="4"/>
      <c r="I204" s="4"/>
      <c r="J204" s="4"/>
      <c r="K204" s="4"/>
      <c r="L204" s="53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76"/>
      <c r="F205" s="53"/>
      <c r="G205" s="4"/>
      <c r="H205" s="4"/>
      <c r="I205" s="4"/>
      <c r="J205" s="4"/>
      <c r="K205" s="4"/>
      <c r="L205" s="53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76"/>
      <c r="F206" s="53"/>
      <c r="G206" s="4"/>
      <c r="H206" s="4"/>
      <c r="I206" s="4"/>
      <c r="J206" s="4"/>
      <c r="K206" s="4"/>
      <c r="L206" s="53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76"/>
      <c r="F207" s="53"/>
      <c r="G207" s="4"/>
      <c r="H207" s="4"/>
      <c r="I207" s="4"/>
      <c r="J207" s="4"/>
      <c r="K207" s="4"/>
      <c r="L207" s="53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76"/>
      <c r="F208" s="53"/>
      <c r="G208" s="4"/>
      <c r="H208" s="4"/>
      <c r="I208" s="4"/>
      <c r="J208" s="4"/>
      <c r="K208" s="4"/>
      <c r="L208" s="53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76"/>
      <c r="F209" s="53"/>
      <c r="G209" s="4"/>
      <c r="H209" s="4"/>
      <c r="I209" s="4"/>
      <c r="J209" s="4"/>
      <c r="K209" s="4"/>
      <c r="L209" s="53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76"/>
      <c r="F210" s="53"/>
      <c r="G210" s="4"/>
      <c r="H210" s="4"/>
      <c r="I210" s="4"/>
      <c r="J210" s="4"/>
      <c r="K210" s="4"/>
      <c r="L210" s="53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76"/>
      <c r="F211" s="53"/>
      <c r="G211" s="4"/>
      <c r="H211" s="4"/>
      <c r="I211" s="4"/>
      <c r="J211" s="4"/>
      <c r="K211" s="4"/>
      <c r="L211" s="53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76"/>
      <c r="F212" s="53"/>
      <c r="G212" s="4"/>
      <c r="H212" s="4"/>
      <c r="I212" s="4"/>
      <c r="J212" s="4"/>
      <c r="K212" s="4"/>
      <c r="L212" s="53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76"/>
      <c r="F213" s="53"/>
      <c r="G213" s="4"/>
      <c r="H213" s="4"/>
      <c r="I213" s="4"/>
      <c r="J213" s="4"/>
      <c r="K213" s="4"/>
      <c r="L213" s="53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76"/>
      <c r="F214" s="53"/>
      <c r="G214" s="4"/>
      <c r="H214" s="4"/>
      <c r="I214" s="4"/>
      <c r="J214" s="4"/>
      <c r="K214" s="4"/>
      <c r="L214" s="53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76"/>
      <c r="F215" s="53"/>
      <c r="G215" s="4"/>
      <c r="H215" s="4"/>
      <c r="I215" s="4"/>
      <c r="J215" s="4"/>
      <c r="K215" s="4"/>
      <c r="L215" s="53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76"/>
      <c r="F216" s="53"/>
      <c r="G216" s="4"/>
      <c r="H216" s="4"/>
      <c r="I216" s="4"/>
      <c r="J216" s="4"/>
      <c r="K216" s="4"/>
      <c r="L216" s="53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76"/>
      <c r="F217" s="53"/>
      <c r="G217" s="4"/>
      <c r="H217" s="4"/>
      <c r="I217" s="4"/>
      <c r="J217" s="4"/>
      <c r="K217" s="4"/>
      <c r="L217" s="53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76"/>
      <c r="F218" s="53"/>
      <c r="G218" s="4"/>
      <c r="H218" s="4"/>
      <c r="I218" s="4"/>
      <c r="J218" s="4"/>
      <c r="K218" s="4"/>
      <c r="L218" s="53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76"/>
      <c r="F219" s="53"/>
      <c r="G219" s="4"/>
      <c r="H219" s="4"/>
      <c r="I219" s="4"/>
      <c r="J219" s="4"/>
      <c r="K219" s="4"/>
      <c r="L219" s="53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76"/>
      <c r="F220" s="53"/>
      <c r="G220" s="4"/>
      <c r="H220" s="4"/>
      <c r="I220" s="4"/>
      <c r="J220" s="4"/>
      <c r="K220" s="4"/>
      <c r="L220" s="53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76"/>
      <c r="F221" s="53"/>
      <c r="G221" s="4"/>
      <c r="H221" s="4"/>
      <c r="I221" s="4"/>
      <c r="J221" s="4"/>
      <c r="K221" s="4"/>
      <c r="L221" s="53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76"/>
      <c r="F222" s="53"/>
      <c r="G222" s="4"/>
      <c r="H222" s="4"/>
      <c r="I222" s="4"/>
      <c r="J222" s="4"/>
      <c r="K222" s="4"/>
      <c r="L222" s="53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76"/>
      <c r="F223" s="53"/>
      <c r="G223" s="4"/>
      <c r="H223" s="4"/>
      <c r="I223" s="4"/>
      <c r="J223" s="4"/>
      <c r="K223" s="4"/>
      <c r="L223" s="53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76"/>
      <c r="F224" s="53"/>
      <c r="G224" s="4"/>
      <c r="H224" s="4"/>
      <c r="I224" s="4"/>
      <c r="J224" s="4"/>
      <c r="K224" s="4"/>
      <c r="L224" s="53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76"/>
      <c r="F225" s="53"/>
      <c r="G225" s="4"/>
      <c r="H225" s="4"/>
      <c r="I225" s="4"/>
      <c r="J225" s="4"/>
      <c r="K225" s="4"/>
      <c r="L225" s="53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76"/>
      <c r="F226" s="53"/>
      <c r="G226" s="4"/>
      <c r="H226" s="4"/>
      <c r="I226" s="4"/>
      <c r="J226" s="4"/>
      <c r="K226" s="4"/>
      <c r="L226" s="53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76"/>
      <c r="F227" s="53"/>
      <c r="G227" s="4"/>
      <c r="H227" s="4"/>
      <c r="I227" s="4"/>
      <c r="J227" s="4"/>
      <c r="K227" s="4"/>
      <c r="L227" s="53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76"/>
      <c r="F228" s="53"/>
      <c r="G228" s="4"/>
      <c r="H228" s="4"/>
      <c r="I228" s="4"/>
      <c r="J228" s="4"/>
      <c r="K228" s="4"/>
      <c r="L228" s="53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76"/>
      <c r="F229" s="53"/>
      <c r="G229" s="4"/>
      <c r="H229" s="4"/>
      <c r="I229" s="4"/>
      <c r="J229" s="4"/>
      <c r="K229" s="4"/>
      <c r="L229" s="53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76"/>
      <c r="F230" s="53"/>
      <c r="G230" s="4"/>
      <c r="H230" s="4"/>
      <c r="I230" s="4"/>
      <c r="J230" s="4"/>
      <c r="K230" s="4"/>
      <c r="L230" s="53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76"/>
      <c r="F231" s="53"/>
      <c r="G231" s="4"/>
      <c r="H231" s="4"/>
      <c r="I231" s="4"/>
      <c r="J231" s="4"/>
      <c r="K231" s="4"/>
      <c r="L231" s="53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76"/>
      <c r="F232" s="53"/>
      <c r="G232" s="4"/>
      <c r="H232" s="4"/>
      <c r="I232" s="4"/>
      <c r="J232" s="4"/>
      <c r="K232" s="4"/>
      <c r="L232" s="53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76"/>
      <c r="F233" s="53"/>
      <c r="G233" s="4"/>
      <c r="H233" s="4"/>
      <c r="I233" s="4"/>
      <c r="J233" s="4"/>
      <c r="K233" s="4"/>
      <c r="L233" s="53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76"/>
      <c r="F234" s="53"/>
      <c r="G234" s="4"/>
      <c r="H234" s="4"/>
      <c r="I234" s="4"/>
      <c r="J234" s="4"/>
      <c r="K234" s="4"/>
      <c r="L234" s="53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76"/>
      <c r="F235" s="53"/>
      <c r="G235" s="4"/>
      <c r="H235" s="4"/>
      <c r="I235" s="4"/>
      <c r="J235" s="4"/>
      <c r="K235" s="4"/>
      <c r="L235" s="53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76"/>
      <c r="F236" s="53"/>
      <c r="G236" s="4"/>
      <c r="H236" s="4"/>
      <c r="I236" s="4"/>
      <c r="J236" s="4"/>
      <c r="K236" s="4"/>
      <c r="L236" s="53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76"/>
      <c r="F237" s="53"/>
      <c r="G237" s="4"/>
      <c r="H237" s="4"/>
      <c r="I237" s="4"/>
      <c r="J237" s="4"/>
      <c r="K237" s="4"/>
      <c r="L237" s="53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76"/>
      <c r="F238" s="53"/>
      <c r="G238" s="4"/>
      <c r="H238" s="4"/>
      <c r="I238" s="4"/>
      <c r="J238" s="4"/>
      <c r="K238" s="4"/>
      <c r="L238" s="53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76"/>
      <c r="F239" s="53"/>
      <c r="G239" s="4"/>
      <c r="H239" s="4"/>
      <c r="I239" s="4"/>
      <c r="J239" s="4"/>
      <c r="K239" s="4"/>
      <c r="L239" s="53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76"/>
      <c r="F240" s="53"/>
      <c r="G240" s="4"/>
      <c r="H240" s="4"/>
      <c r="I240" s="4"/>
      <c r="J240" s="4"/>
      <c r="K240" s="4"/>
      <c r="L240" s="53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76"/>
      <c r="F241" s="53"/>
      <c r="G241" s="4"/>
      <c r="H241" s="4"/>
      <c r="I241" s="4"/>
      <c r="J241" s="4"/>
      <c r="K241" s="4"/>
      <c r="L241" s="53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76"/>
      <c r="F242" s="53"/>
      <c r="G242" s="4"/>
      <c r="H242" s="4"/>
      <c r="I242" s="4"/>
      <c r="J242" s="4"/>
      <c r="K242" s="4"/>
      <c r="L242" s="53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76"/>
      <c r="F243" s="53"/>
      <c r="G243" s="4"/>
      <c r="H243" s="4"/>
      <c r="I243" s="4"/>
      <c r="J243" s="4"/>
      <c r="K243" s="4"/>
      <c r="L243" s="53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76"/>
      <c r="F244" s="53"/>
      <c r="G244" s="4"/>
      <c r="H244" s="4"/>
      <c r="I244" s="4"/>
      <c r="J244" s="4"/>
      <c r="K244" s="4"/>
      <c r="L244" s="53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76"/>
      <c r="F245" s="53"/>
      <c r="G245" s="4"/>
      <c r="H245" s="4"/>
      <c r="I245" s="4"/>
      <c r="J245" s="4"/>
      <c r="K245" s="4"/>
      <c r="L245" s="53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76"/>
      <c r="F246" s="53"/>
      <c r="G246" s="4"/>
      <c r="H246" s="4"/>
      <c r="I246" s="4"/>
      <c r="J246" s="4"/>
      <c r="K246" s="4"/>
      <c r="L246" s="53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76"/>
      <c r="F247" s="53"/>
      <c r="G247" s="4"/>
      <c r="H247" s="4"/>
      <c r="I247" s="4"/>
      <c r="J247" s="4"/>
      <c r="K247" s="4"/>
      <c r="L247" s="53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76"/>
      <c r="F248" s="53"/>
      <c r="G248" s="4"/>
      <c r="H248" s="4"/>
      <c r="I248" s="4"/>
      <c r="J248" s="4"/>
      <c r="K248" s="4"/>
      <c r="L248" s="53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76"/>
      <c r="F249" s="53"/>
      <c r="G249" s="4"/>
      <c r="H249" s="4"/>
      <c r="I249" s="4"/>
      <c r="J249" s="4"/>
      <c r="K249" s="4"/>
      <c r="L249" s="53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76"/>
      <c r="F250" s="53"/>
      <c r="G250" s="4"/>
      <c r="H250" s="4"/>
      <c r="I250" s="4"/>
      <c r="J250" s="4"/>
      <c r="K250" s="4"/>
      <c r="L250" s="53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76"/>
      <c r="F251" s="53"/>
      <c r="G251" s="4"/>
      <c r="H251" s="4"/>
      <c r="I251" s="4"/>
      <c r="J251" s="4"/>
      <c r="K251" s="4"/>
      <c r="L251" s="53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76"/>
      <c r="F252" s="53"/>
      <c r="G252" s="4"/>
      <c r="H252" s="4"/>
      <c r="I252" s="4"/>
      <c r="J252" s="4"/>
      <c r="K252" s="4"/>
      <c r="L252" s="53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76"/>
      <c r="F253" s="53"/>
      <c r="G253" s="4"/>
      <c r="H253" s="4"/>
      <c r="I253" s="4"/>
      <c r="J253" s="4"/>
      <c r="K253" s="4"/>
      <c r="L253" s="53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76"/>
      <c r="F254" s="53"/>
      <c r="G254" s="4"/>
      <c r="H254" s="4"/>
      <c r="I254" s="4"/>
      <c r="J254" s="4"/>
      <c r="K254" s="4"/>
      <c r="L254" s="53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76"/>
      <c r="F255" s="53"/>
      <c r="G255" s="4"/>
      <c r="H255" s="4"/>
      <c r="I255" s="4"/>
      <c r="J255" s="4"/>
      <c r="K255" s="4"/>
      <c r="L255" s="53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76"/>
      <c r="F256" s="53"/>
      <c r="G256" s="4"/>
      <c r="H256" s="4"/>
      <c r="I256" s="4"/>
      <c r="J256" s="4"/>
      <c r="K256" s="4"/>
      <c r="L256" s="53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76"/>
      <c r="F257" s="53"/>
      <c r="G257" s="4"/>
      <c r="H257" s="4"/>
      <c r="I257" s="4"/>
      <c r="J257" s="4"/>
      <c r="K257" s="4"/>
      <c r="L257" s="53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76"/>
      <c r="F258" s="53"/>
      <c r="G258" s="4"/>
      <c r="H258" s="4"/>
      <c r="I258" s="4"/>
      <c r="J258" s="4"/>
      <c r="K258" s="4"/>
      <c r="L258" s="53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76"/>
      <c r="F259" s="53"/>
      <c r="G259" s="4"/>
      <c r="H259" s="4"/>
      <c r="I259" s="4"/>
      <c r="J259" s="4"/>
      <c r="K259" s="4"/>
      <c r="L259" s="53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76"/>
      <c r="F260" s="53"/>
      <c r="G260" s="4"/>
      <c r="H260" s="4"/>
      <c r="I260" s="4"/>
      <c r="J260" s="4"/>
      <c r="K260" s="4"/>
      <c r="L260" s="53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76"/>
      <c r="F261" s="53"/>
      <c r="G261" s="4"/>
      <c r="H261" s="4"/>
      <c r="I261" s="4"/>
      <c r="J261" s="4"/>
      <c r="K261" s="4"/>
      <c r="L261" s="53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76"/>
      <c r="F262" s="53"/>
      <c r="G262" s="4"/>
      <c r="H262" s="4"/>
      <c r="I262" s="4"/>
      <c r="J262" s="4"/>
      <c r="K262" s="4"/>
      <c r="L262" s="53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76"/>
      <c r="F263" s="53"/>
      <c r="G263" s="4"/>
      <c r="H263" s="4"/>
      <c r="I263" s="4"/>
      <c r="J263" s="4"/>
      <c r="K263" s="4"/>
      <c r="L263" s="53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76"/>
      <c r="F264" s="53"/>
      <c r="G264" s="4"/>
      <c r="H264" s="4"/>
      <c r="I264" s="4"/>
      <c r="J264" s="4"/>
      <c r="K264" s="4"/>
      <c r="L264" s="53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76"/>
      <c r="F265" s="53"/>
      <c r="G265" s="4"/>
      <c r="H265" s="4"/>
      <c r="I265" s="4"/>
      <c r="J265" s="4"/>
      <c r="K265" s="4"/>
      <c r="L265" s="53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76"/>
      <c r="F266" s="53"/>
      <c r="G266" s="4"/>
      <c r="H266" s="4"/>
      <c r="I266" s="4"/>
      <c r="J266" s="4"/>
      <c r="K266" s="4"/>
      <c r="L266" s="53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76"/>
      <c r="F267" s="53"/>
      <c r="G267" s="4"/>
      <c r="H267" s="4"/>
      <c r="I267" s="4"/>
      <c r="J267" s="4"/>
      <c r="K267" s="4"/>
      <c r="L267" s="53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76"/>
      <c r="F268" s="53"/>
      <c r="G268" s="4"/>
      <c r="H268" s="4"/>
      <c r="I268" s="4"/>
      <c r="J268" s="4"/>
      <c r="K268" s="4"/>
      <c r="L268" s="53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76"/>
      <c r="F269" s="53"/>
      <c r="G269" s="4"/>
      <c r="H269" s="4"/>
      <c r="I269" s="4"/>
      <c r="J269" s="4"/>
      <c r="K269" s="4"/>
      <c r="L269" s="53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76"/>
      <c r="F270" s="53"/>
      <c r="G270" s="4"/>
      <c r="H270" s="4"/>
      <c r="I270" s="4"/>
      <c r="J270" s="4"/>
      <c r="K270" s="4"/>
      <c r="L270" s="53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76"/>
      <c r="F271" s="53"/>
      <c r="G271" s="4"/>
      <c r="H271" s="4"/>
      <c r="I271" s="4"/>
      <c r="J271" s="4"/>
      <c r="K271" s="4"/>
      <c r="L271" s="53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76"/>
      <c r="F272" s="53"/>
      <c r="G272" s="4"/>
      <c r="H272" s="4"/>
      <c r="I272" s="4"/>
      <c r="J272" s="4"/>
      <c r="K272" s="4"/>
      <c r="L272" s="53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76"/>
      <c r="F273" s="53"/>
      <c r="G273" s="4"/>
      <c r="H273" s="4"/>
      <c r="I273" s="4"/>
      <c r="J273" s="4"/>
      <c r="K273" s="4"/>
      <c r="L273" s="53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76"/>
      <c r="F274" s="53"/>
      <c r="G274" s="4"/>
      <c r="H274" s="4"/>
      <c r="I274" s="4"/>
      <c r="J274" s="4"/>
      <c r="K274" s="4"/>
      <c r="L274" s="53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76"/>
      <c r="F275" s="53"/>
      <c r="G275" s="4"/>
      <c r="H275" s="4"/>
      <c r="I275" s="4"/>
      <c r="J275" s="4"/>
      <c r="K275" s="4"/>
      <c r="L275" s="53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76"/>
      <c r="F276" s="53"/>
      <c r="G276" s="4"/>
      <c r="H276" s="4"/>
      <c r="I276" s="4"/>
      <c r="J276" s="4"/>
      <c r="K276" s="4"/>
      <c r="L276" s="53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76"/>
      <c r="F277" s="53"/>
      <c r="G277" s="4"/>
      <c r="H277" s="4"/>
      <c r="I277" s="4"/>
      <c r="J277" s="4"/>
      <c r="K277" s="4"/>
      <c r="L277" s="53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76"/>
      <c r="F278" s="53"/>
      <c r="G278" s="4"/>
      <c r="H278" s="4"/>
      <c r="I278" s="4"/>
      <c r="J278" s="4"/>
      <c r="K278" s="4"/>
      <c r="L278" s="53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76"/>
      <c r="F279" s="53"/>
      <c r="G279" s="4"/>
      <c r="H279" s="4"/>
      <c r="I279" s="4"/>
      <c r="J279" s="4"/>
      <c r="K279" s="4"/>
      <c r="L279" s="53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76"/>
      <c r="F280" s="53"/>
      <c r="G280" s="4"/>
      <c r="H280" s="4"/>
      <c r="I280" s="4"/>
      <c r="J280" s="4"/>
      <c r="K280" s="4"/>
      <c r="L280" s="53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76"/>
      <c r="F281" s="53"/>
      <c r="G281" s="4"/>
      <c r="H281" s="4"/>
      <c r="I281" s="4"/>
      <c r="J281" s="4"/>
      <c r="K281" s="4"/>
      <c r="L281" s="53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76"/>
      <c r="F282" s="53"/>
      <c r="G282" s="4"/>
      <c r="H282" s="4"/>
      <c r="I282" s="4"/>
      <c r="J282" s="4"/>
      <c r="K282" s="4"/>
      <c r="L282" s="53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76"/>
      <c r="F283" s="53"/>
      <c r="G283" s="4"/>
      <c r="H283" s="4"/>
      <c r="I283" s="4"/>
      <c r="J283" s="4"/>
      <c r="K283" s="4"/>
      <c r="L283" s="53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76"/>
      <c r="F284" s="53"/>
      <c r="G284" s="4"/>
      <c r="H284" s="4"/>
      <c r="I284" s="4"/>
      <c r="J284" s="4"/>
      <c r="K284" s="4"/>
      <c r="L284" s="53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76"/>
      <c r="F285" s="53"/>
      <c r="G285" s="4"/>
      <c r="H285" s="4"/>
      <c r="I285" s="4"/>
      <c r="J285" s="4"/>
      <c r="K285" s="4"/>
      <c r="L285" s="53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76"/>
      <c r="F286" s="53"/>
      <c r="G286" s="4"/>
      <c r="H286" s="4"/>
      <c r="I286" s="4"/>
      <c r="J286" s="4"/>
      <c r="K286" s="4"/>
      <c r="L286" s="53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76"/>
      <c r="F287" s="53"/>
      <c r="G287" s="4"/>
      <c r="H287" s="4"/>
      <c r="I287" s="4"/>
      <c r="J287" s="4"/>
      <c r="K287" s="4"/>
      <c r="L287" s="53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76"/>
      <c r="F288" s="53"/>
      <c r="G288" s="4"/>
      <c r="H288" s="4"/>
      <c r="I288" s="4"/>
      <c r="J288" s="4"/>
      <c r="K288" s="4"/>
      <c r="L288" s="53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76"/>
      <c r="F289" s="53"/>
      <c r="G289" s="4"/>
      <c r="H289" s="4"/>
      <c r="I289" s="4"/>
      <c r="J289" s="4"/>
      <c r="K289" s="4"/>
      <c r="L289" s="53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76"/>
      <c r="F290" s="53"/>
      <c r="G290" s="4"/>
      <c r="H290" s="4"/>
      <c r="I290" s="4"/>
      <c r="J290" s="4"/>
      <c r="K290" s="4"/>
      <c r="L290" s="53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76"/>
      <c r="F291" s="53"/>
      <c r="G291" s="4"/>
      <c r="H291" s="4"/>
      <c r="I291" s="4"/>
      <c r="J291" s="4"/>
      <c r="K291" s="4"/>
      <c r="L291" s="53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76"/>
      <c r="F292" s="53"/>
      <c r="G292" s="4"/>
      <c r="H292" s="4"/>
      <c r="I292" s="4"/>
      <c r="J292" s="4"/>
      <c r="K292" s="4"/>
      <c r="L292" s="53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76"/>
      <c r="F293" s="53"/>
      <c r="G293" s="4"/>
      <c r="H293" s="4"/>
      <c r="I293" s="4"/>
      <c r="J293" s="4"/>
      <c r="K293" s="4"/>
      <c r="L293" s="53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76"/>
      <c r="F294" s="53"/>
      <c r="G294" s="4"/>
      <c r="H294" s="4"/>
      <c r="I294" s="4"/>
      <c r="J294" s="4"/>
      <c r="K294" s="4"/>
      <c r="L294" s="53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76"/>
      <c r="F295" s="53"/>
      <c r="G295" s="4"/>
      <c r="H295" s="4"/>
      <c r="I295" s="4"/>
      <c r="J295" s="4"/>
      <c r="K295" s="4"/>
      <c r="L295" s="53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76"/>
      <c r="F296" s="53"/>
      <c r="G296" s="4"/>
      <c r="H296" s="4"/>
      <c r="I296" s="4"/>
      <c r="J296" s="4"/>
      <c r="K296" s="4"/>
      <c r="L296" s="53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76"/>
      <c r="F297" s="53"/>
      <c r="G297" s="4"/>
      <c r="H297" s="4"/>
      <c r="I297" s="4"/>
      <c r="J297" s="4"/>
      <c r="K297" s="4"/>
      <c r="L297" s="53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76"/>
      <c r="F298" s="53"/>
      <c r="G298" s="4"/>
      <c r="H298" s="4"/>
      <c r="I298" s="4"/>
      <c r="J298" s="4"/>
      <c r="K298" s="4"/>
      <c r="L298" s="53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76"/>
      <c r="F299" s="53"/>
      <c r="G299" s="4"/>
      <c r="H299" s="4"/>
      <c r="I299" s="4"/>
      <c r="J299" s="4"/>
      <c r="K299" s="4"/>
      <c r="L299" s="53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76"/>
      <c r="F300" s="53"/>
      <c r="G300" s="4"/>
      <c r="H300" s="4"/>
      <c r="I300" s="4"/>
      <c r="J300" s="4"/>
      <c r="K300" s="4"/>
      <c r="L300" s="53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76"/>
      <c r="F301" s="53"/>
      <c r="G301" s="4"/>
      <c r="H301" s="4"/>
      <c r="I301" s="4"/>
      <c r="J301" s="4"/>
      <c r="K301" s="4"/>
      <c r="L301" s="53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76"/>
      <c r="F302" s="53"/>
      <c r="G302" s="4"/>
      <c r="H302" s="4"/>
      <c r="I302" s="4"/>
      <c r="J302" s="4"/>
      <c r="K302" s="4"/>
      <c r="L302" s="53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76"/>
      <c r="F303" s="53"/>
      <c r="G303" s="4"/>
      <c r="H303" s="4"/>
      <c r="I303" s="4"/>
      <c r="J303" s="4"/>
      <c r="K303" s="4"/>
      <c r="L303" s="53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76"/>
      <c r="F304" s="53"/>
      <c r="G304" s="4"/>
      <c r="H304" s="4"/>
      <c r="I304" s="4"/>
      <c r="J304" s="4"/>
      <c r="K304" s="4"/>
      <c r="L304" s="53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76"/>
      <c r="F305" s="53"/>
      <c r="G305" s="4"/>
      <c r="H305" s="4"/>
      <c r="I305" s="4"/>
      <c r="J305" s="4"/>
      <c r="K305" s="4"/>
      <c r="L305" s="53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76"/>
      <c r="F306" s="53"/>
      <c r="G306" s="4"/>
      <c r="H306" s="4"/>
      <c r="I306" s="4"/>
      <c r="J306" s="4"/>
      <c r="K306" s="4"/>
      <c r="L306" s="53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76"/>
      <c r="F307" s="53"/>
      <c r="G307" s="4"/>
      <c r="H307" s="4"/>
      <c r="I307" s="4"/>
      <c r="J307" s="4"/>
      <c r="K307" s="4"/>
      <c r="L307" s="53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76"/>
      <c r="F308" s="53"/>
      <c r="G308" s="4"/>
      <c r="H308" s="4"/>
      <c r="I308" s="4"/>
      <c r="J308" s="4"/>
      <c r="K308" s="4"/>
      <c r="L308" s="53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76"/>
      <c r="F309" s="53"/>
      <c r="G309" s="4"/>
      <c r="H309" s="4"/>
      <c r="I309" s="4"/>
      <c r="J309" s="4"/>
      <c r="K309" s="4"/>
      <c r="L309" s="53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76"/>
      <c r="F310" s="53"/>
      <c r="G310" s="4"/>
      <c r="H310" s="4"/>
      <c r="I310" s="4"/>
      <c r="J310" s="4"/>
      <c r="K310" s="4"/>
      <c r="L310" s="53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76"/>
      <c r="F311" s="53"/>
      <c r="G311" s="4"/>
      <c r="H311" s="4"/>
      <c r="I311" s="4"/>
      <c r="J311" s="4"/>
      <c r="K311" s="4"/>
      <c r="L311" s="53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76"/>
      <c r="F312" s="53"/>
      <c r="G312" s="4"/>
      <c r="H312" s="4"/>
      <c r="I312" s="4"/>
      <c r="J312" s="4"/>
      <c r="K312" s="4"/>
      <c r="L312" s="53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76"/>
      <c r="F313" s="53"/>
      <c r="G313" s="4"/>
      <c r="H313" s="4"/>
      <c r="I313" s="4"/>
      <c r="J313" s="4"/>
      <c r="K313" s="4"/>
      <c r="L313" s="53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76"/>
      <c r="F314" s="53"/>
      <c r="G314" s="4"/>
      <c r="H314" s="4"/>
      <c r="I314" s="4"/>
      <c r="J314" s="4"/>
      <c r="K314" s="4"/>
      <c r="L314" s="53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76"/>
      <c r="F315" s="53"/>
      <c r="G315" s="4"/>
      <c r="H315" s="4"/>
      <c r="I315" s="4"/>
      <c r="J315" s="4"/>
      <c r="K315" s="4"/>
      <c r="L315" s="53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76"/>
      <c r="F316" s="53"/>
      <c r="G316" s="4"/>
      <c r="H316" s="4"/>
      <c r="I316" s="4"/>
      <c r="J316" s="4"/>
      <c r="K316" s="4"/>
      <c r="L316" s="53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76"/>
      <c r="F317" s="53"/>
      <c r="G317" s="4"/>
      <c r="H317" s="4"/>
      <c r="I317" s="4"/>
      <c r="J317" s="4"/>
      <c r="K317" s="4"/>
      <c r="L317" s="53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76"/>
      <c r="F318" s="53"/>
      <c r="G318" s="4"/>
      <c r="H318" s="4"/>
      <c r="I318" s="4"/>
      <c r="J318" s="4"/>
      <c r="K318" s="4"/>
      <c r="L318" s="53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76"/>
      <c r="F319" s="53"/>
      <c r="G319" s="4"/>
      <c r="H319" s="4"/>
      <c r="I319" s="4"/>
      <c r="J319" s="4"/>
      <c r="K319" s="4"/>
      <c r="L319" s="53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76"/>
      <c r="F320" s="53"/>
      <c r="G320" s="4"/>
      <c r="H320" s="4"/>
      <c r="I320" s="4"/>
      <c r="J320" s="4"/>
      <c r="K320" s="4"/>
      <c r="L320" s="53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76"/>
      <c r="F321" s="53"/>
      <c r="G321" s="4"/>
      <c r="H321" s="4"/>
      <c r="I321" s="4"/>
      <c r="J321" s="4"/>
      <c r="K321" s="4"/>
      <c r="L321" s="53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76"/>
      <c r="F322" s="53"/>
      <c r="G322" s="4"/>
      <c r="H322" s="4"/>
      <c r="I322" s="4"/>
      <c r="J322" s="4"/>
      <c r="K322" s="4"/>
      <c r="L322" s="53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76"/>
      <c r="F323" s="53"/>
      <c r="G323" s="4"/>
      <c r="H323" s="4"/>
      <c r="I323" s="4"/>
      <c r="J323" s="4"/>
      <c r="K323" s="4"/>
      <c r="L323" s="53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76"/>
      <c r="F324" s="53"/>
      <c r="G324" s="4"/>
      <c r="H324" s="4"/>
      <c r="I324" s="4"/>
      <c r="J324" s="4"/>
      <c r="K324" s="4"/>
      <c r="L324" s="53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76"/>
      <c r="F325" s="53"/>
      <c r="G325" s="4"/>
      <c r="H325" s="4"/>
      <c r="I325" s="4"/>
      <c r="J325" s="4"/>
      <c r="K325" s="4"/>
      <c r="L325" s="53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76"/>
      <c r="F326" s="53"/>
      <c r="G326" s="4"/>
      <c r="H326" s="4"/>
      <c r="I326" s="4"/>
      <c r="J326" s="4"/>
      <c r="K326" s="4"/>
      <c r="L326" s="53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76"/>
      <c r="F327" s="53"/>
      <c r="G327" s="4"/>
      <c r="H327" s="4"/>
      <c r="I327" s="4"/>
      <c r="J327" s="4"/>
      <c r="K327" s="4"/>
      <c r="L327" s="53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76"/>
      <c r="F328" s="53"/>
      <c r="G328" s="4"/>
      <c r="H328" s="4"/>
      <c r="I328" s="4"/>
      <c r="J328" s="4"/>
      <c r="K328" s="4"/>
      <c r="L328" s="53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76"/>
      <c r="F329" s="53"/>
      <c r="G329" s="4"/>
      <c r="H329" s="4"/>
      <c r="I329" s="4"/>
      <c r="J329" s="4"/>
      <c r="K329" s="4"/>
      <c r="L329" s="53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76"/>
      <c r="F330" s="53"/>
      <c r="G330" s="4"/>
      <c r="H330" s="4"/>
      <c r="I330" s="4"/>
      <c r="J330" s="4"/>
      <c r="K330" s="4"/>
      <c r="L330" s="53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76"/>
      <c r="F331" s="53"/>
      <c r="G331" s="4"/>
      <c r="H331" s="4"/>
      <c r="I331" s="4"/>
      <c r="J331" s="4"/>
      <c r="K331" s="4"/>
      <c r="L331" s="53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76"/>
      <c r="F332" s="53"/>
      <c r="G332" s="4"/>
      <c r="H332" s="4"/>
      <c r="I332" s="4"/>
      <c r="J332" s="4"/>
      <c r="K332" s="4"/>
      <c r="L332" s="53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76"/>
      <c r="F333" s="53"/>
      <c r="G333" s="4"/>
      <c r="H333" s="4"/>
      <c r="I333" s="4"/>
      <c r="J333" s="4"/>
      <c r="K333" s="4"/>
      <c r="L333" s="53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76"/>
      <c r="F334" s="53"/>
      <c r="G334" s="4"/>
      <c r="H334" s="4"/>
      <c r="I334" s="4"/>
      <c r="J334" s="4"/>
      <c r="K334" s="4"/>
      <c r="L334" s="53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76"/>
      <c r="F335" s="53"/>
      <c r="G335" s="4"/>
      <c r="H335" s="4"/>
      <c r="I335" s="4"/>
      <c r="J335" s="4"/>
      <c r="K335" s="4"/>
      <c r="L335" s="53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76"/>
      <c r="F336" s="53"/>
      <c r="G336" s="4"/>
      <c r="H336" s="4"/>
      <c r="I336" s="4"/>
      <c r="J336" s="4"/>
      <c r="K336" s="4"/>
      <c r="L336" s="53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76"/>
      <c r="F337" s="53"/>
      <c r="G337" s="4"/>
      <c r="H337" s="4"/>
      <c r="I337" s="4"/>
      <c r="J337" s="4"/>
      <c r="K337" s="4"/>
      <c r="L337" s="53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76"/>
      <c r="F338" s="53"/>
      <c r="G338" s="4"/>
      <c r="H338" s="4"/>
      <c r="I338" s="4"/>
      <c r="J338" s="4"/>
      <c r="K338" s="4"/>
      <c r="L338" s="53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76"/>
      <c r="F339" s="53"/>
      <c r="G339" s="4"/>
      <c r="H339" s="4"/>
      <c r="I339" s="4"/>
      <c r="J339" s="4"/>
      <c r="K339" s="4"/>
      <c r="L339" s="53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76"/>
      <c r="F340" s="53"/>
      <c r="G340" s="4"/>
      <c r="H340" s="4"/>
      <c r="I340" s="4"/>
      <c r="J340" s="4"/>
      <c r="K340" s="4"/>
      <c r="L340" s="53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76"/>
      <c r="F341" s="53"/>
      <c r="G341" s="4"/>
      <c r="H341" s="4"/>
      <c r="I341" s="4"/>
      <c r="J341" s="4"/>
      <c r="K341" s="4"/>
      <c r="L341" s="53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76"/>
      <c r="F342" s="53"/>
      <c r="G342" s="4"/>
      <c r="H342" s="4"/>
      <c r="I342" s="4"/>
      <c r="J342" s="4"/>
      <c r="K342" s="4"/>
      <c r="L342" s="53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76"/>
      <c r="F343" s="53"/>
      <c r="G343" s="4"/>
      <c r="H343" s="4"/>
      <c r="I343" s="4"/>
      <c r="J343" s="4"/>
      <c r="K343" s="4"/>
      <c r="L343" s="53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76"/>
      <c r="F344" s="53"/>
      <c r="G344" s="4"/>
      <c r="H344" s="4"/>
      <c r="I344" s="4"/>
      <c r="J344" s="4"/>
      <c r="K344" s="4"/>
      <c r="L344" s="53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76"/>
      <c r="F345" s="53"/>
      <c r="G345" s="4"/>
      <c r="H345" s="4"/>
      <c r="I345" s="4"/>
      <c r="J345" s="4"/>
      <c r="K345" s="4"/>
      <c r="L345" s="53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76"/>
      <c r="F346" s="53"/>
      <c r="G346" s="4"/>
      <c r="H346" s="4"/>
      <c r="I346" s="4"/>
      <c r="J346" s="4"/>
      <c r="K346" s="4"/>
      <c r="L346" s="53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76"/>
      <c r="F347" s="53"/>
      <c r="G347" s="4"/>
      <c r="H347" s="4"/>
      <c r="I347" s="4"/>
      <c r="J347" s="4"/>
      <c r="K347" s="4"/>
      <c r="L347" s="53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76"/>
      <c r="F348" s="53"/>
      <c r="G348" s="4"/>
      <c r="H348" s="4"/>
      <c r="I348" s="4"/>
      <c r="J348" s="4"/>
      <c r="K348" s="4"/>
      <c r="L348" s="53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76"/>
      <c r="F349" s="53"/>
      <c r="G349" s="4"/>
      <c r="H349" s="4"/>
      <c r="I349" s="4"/>
      <c r="J349" s="4"/>
      <c r="K349" s="4"/>
      <c r="L349" s="53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76"/>
      <c r="F350" s="53"/>
      <c r="G350" s="4"/>
      <c r="H350" s="4"/>
      <c r="I350" s="4"/>
      <c r="J350" s="4"/>
      <c r="K350" s="4"/>
      <c r="L350" s="53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76"/>
      <c r="F351" s="53"/>
      <c r="G351" s="4"/>
      <c r="H351" s="4"/>
      <c r="I351" s="4"/>
      <c r="J351" s="4"/>
      <c r="K351" s="4"/>
      <c r="L351" s="53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76"/>
      <c r="F352" s="53"/>
      <c r="G352" s="4"/>
      <c r="H352" s="4"/>
      <c r="I352" s="4"/>
      <c r="J352" s="4"/>
      <c r="K352" s="4"/>
      <c r="L352" s="53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76"/>
      <c r="F353" s="53"/>
      <c r="G353" s="4"/>
      <c r="H353" s="4"/>
      <c r="I353" s="4"/>
      <c r="J353" s="4"/>
      <c r="K353" s="4"/>
      <c r="L353" s="53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76"/>
      <c r="F354" s="53"/>
      <c r="G354" s="4"/>
      <c r="H354" s="4"/>
      <c r="I354" s="4"/>
      <c r="J354" s="4"/>
      <c r="K354" s="4"/>
      <c r="L354" s="53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76"/>
      <c r="F355" s="53"/>
      <c r="G355" s="4"/>
      <c r="H355" s="4"/>
      <c r="I355" s="4"/>
      <c r="J355" s="4"/>
      <c r="K355" s="4"/>
      <c r="L355" s="53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76"/>
      <c r="F356" s="53"/>
      <c r="G356" s="4"/>
      <c r="H356" s="4"/>
      <c r="I356" s="4"/>
      <c r="J356" s="4"/>
      <c r="K356" s="4"/>
      <c r="L356" s="53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76"/>
      <c r="F357" s="53"/>
      <c r="G357" s="4"/>
      <c r="H357" s="4"/>
      <c r="I357" s="4"/>
      <c r="J357" s="4"/>
      <c r="K357" s="4"/>
      <c r="L357" s="53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76"/>
      <c r="F358" s="53"/>
      <c r="G358" s="4"/>
      <c r="H358" s="4"/>
      <c r="I358" s="4"/>
      <c r="J358" s="4"/>
      <c r="K358" s="4"/>
      <c r="L358" s="53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76"/>
      <c r="F359" s="53"/>
      <c r="G359" s="4"/>
      <c r="H359" s="4"/>
      <c r="I359" s="4"/>
      <c r="J359" s="4"/>
      <c r="K359" s="4"/>
      <c r="L359" s="53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76"/>
      <c r="F360" s="53"/>
      <c r="G360" s="4"/>
      <c r="H360" s="4"/>
      <c r="I360" s="4"/>
      <c r="J360" s="4"/>
      <c r="K360" s="4"/>
      <c r="L360" s="53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76"/>
      <c r="F361" s="53"/>
      <c r="G361" s="4"/>
      <c r="H361" s="4"/>
      <c r="I361" s="4"/>
      <c r="J361" s="4"/>
      <c r="K361" s="4"/>
      <c r="L361" s="53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76"/>
      <c r="F362" s="53"/>
      <c r="G362" s="4"/>
      <c r="H362" s="4"/>
      <c r="I362" s="4"/>
      <c r="J362" s="4"/>
      <c r="K362" s="4"/>
      <c r="L362" s="53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76"/>
      <c r="F363" s="53"/>
      <c r="G363" s="4"/>
      <c r="H363" s="4"/>
      <c r="I363" s="4"/>
      <c r="J363" s="4"/>
      <c r="K363" s="4"/>
      <c r="L363" s="53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76"/>
      <c r="F364" s="53"/>
      <c r="G364" s="4"/>
      <c r="H364" s="4"/>
      <c r="I364" s="4"/>
      <c r="J364" s="4"/>
      <c r="K364" s="4"/>
      <c r="L364" s="53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76"/>
      <c r="F365" s="53"/>
      <c r="G365" s="4"/>
      <c r="H365" s="4"/>
      <c r="I365" s="4"/>
      <c r="J365" s="4"/>
      <c r="K365" s="4"/>
      <c r="L365" s="53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76"/>
      <c r="F366" s="53"/>
      <c r="G366" s="4"/>
      <c r="H366" s="4"/>
      <c r="I366" s="4"/>
      <c r="J366" s="4"/>
      <c r="K366" s="4"/>
      <c r="L366" s="53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76"/>
      <c r="F367" s="53"/>
      <c r="G367" s="4"/>
      <c r="H367" s="4"/>
      <c r="I367" s="4"/>
      <c r="J367" s="4"/>
      <c r="K367" s="4"/>
      <c r="L367" s="53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76"/>
      <c r="F368" s="53"/>
      <c r="G368" s="4"/>
      <c r="H368" s="4"/>
      <c r="I368" s="4"/>
      <c r="J368" s="4"/>
      <c r="K368" s="4"/>
      <c r="L368" s="53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76"/>
      <c r="F369" s="53"/>
      <c r="G369" s="4"/>
      <c r="H369" s="4"/>
      <c r="I369" s="4"/>
      <c r="J369" s="4"/>
      <c r="K369" s="4"/>
      <c r="L369" s="53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76"/>
      <c r="F370" s="53"/>
      <c r="G370" s="4"/>
      <c r="H370" s="4"/>
      <c r="I370" s="4"/>
      <c r="J370" s="4"/>
      <c r="K370" s="4"/>
      <c r="L370" s="53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76"/>
      <c r="F371" s="53"/>
      <c r="G371" s="4"/>
      <c r="H371" s="4"/>
      <c r="I371" s="4"/>
      <c r="J371" s="4"/>
      <c r="K371" s="4"/>
      <c r="L371" s="53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76"/>
      <c r="F372" s="53"/>
      <c r="G372" s="4"/>
      <c r="H372" s="4"/>
      <c r="I372" s="4"/>
      <c r="J372" s="4"/>
      <c r="K372" s="4"/>
      <c r="L372" s="53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76"/>
      <c r="F373" s="53"/>
      <c r="G373" s="4"/>
      <c r="H373" s="4"/>
      <c r="I373" s="4"/>
      <c r="J373" s="4"/>
      <c r="K373" s="4"/>
      <c r="L373" s="53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76"/>
      <c r="F374" s="53"/>
      <c r="G374" s="4"/>
      <c r="H374" s="4"/>
      <c r="I374" s="4"/>
      <c r="J374" s="4"/>
      <c r="K374" s="4"/>
      <c r="L374" s="53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76"/>
      <c r="F375" s="53"/>
      <c r="G375" s="4"/>
      <c r="H375" s="4"/>
      <c r="I375" s="4"/>
      <c r="J375" s="4"/>
      <c r="K375" s="4"/>
      <c r="L375" s="53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76"/>
      <c r="F376" s="53"/>
      <c r="G376" s="4"/>
      <c r="H376" s="4"/>
      <c r="I376" s="4"/>
      <c r="J376" s="4"/>
      <c r="K376" s="4"/>
      <c r="L376" s="53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76"/>
      <c r="F377" s="53"/>
      <c r="G377" s="4"/>
      <c r="H377" s="4"/>
      <c r="I377" s="4"/>
      <c r="J377" s="4"/>
      <c r="K377" s="4"/>
      <c r="L377" s="53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76"/>
      <c r="F378" s="53"/>
      <c r="G378" s="4"/>
      <c r="H378" s="4"/>
      <c r="I378" s="4"/>
      <c r="J378" s="4"/>
      <c r="K378" s="4"/>
      <c r="L378" s="53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76"/>
      <c r="F379" s="53"/>
      <c r="G379" s="4"/>
      <c r="H379" s="4"/>
      <c r="I379" s="4"/>
      <c r="J379" s="4"/>
      <c r="K379" s="4"/>
      <c r="L379" s="53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76"/>
      <c r="F380" s="53"/>
      <c r="G380" s="4"/>
      <c r="H380" s="4"/>
      <c r="I380" s="4"/>
      <c r="J380" s="4"/>
      <c r="K380" s="4"/>
      <c r="L380" s="53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76"/>
      <c r="F381" s="53"/>
      <c r="G381" s="4"/>
      <c r="H381" s="4"/>
      <c r="I381" s="4"/>
      <c r="J381" s="4"/>
      <c r="K381" s="4"/>
      <c r="L381" s="53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76"/>
      <c r="F382" s="53"/>
      <c r="G382" s="4"/>
      <c r="H382" s="4"/>
      <c r="I382" s="4"/>
      <c r="J382" s="4"/>
      <c r="K382" s="4"/>
      <c r="L382" s="53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76"/>
      <c r="F383" s="53"/>
      <c r="G383" s="4"/>
      <c r="H383" s="4"/>
      <c r="I383" s="4"/>
      <c r="J383" s="4"/>
      <c r="K383" s="4"/>
      <c r="L383" s="53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76"/>
      <c r="F384" s="53"/>
      <c r="G384" s="4"/>
      <c r="H384" s="4"/>
      <c r="I384" s="4"/>
      <c r="J384" s="4"/>
      <c r="K384" s="4"/>
      <c r="L384" s="53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76"/>
      <c r="F385" s="53"/>
      <c r="G385" s="4"/>
      <c r="H385" s="4"/>
      <c r="I385" s="4"/>
      <c r="J385" s="4"/>
      <c r="K385" s="4"/>
      <c r="L385" s="53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76"/>
      <c r="F386" s="53"/>
      <c r="G386" s="4"/>
      <c r="H386" s="4"/>
      <c r="I386" s="4"/>
      <c r="J386" s="4"/>
      <c r="K386" s="4"/>
      <c r="L386" s="53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76"/>
      <c r="F387" s="53"/>
      <c r="G387" s="4"/>
      <c r="H387" s="4"/>
      <c r="I387" s="4"/>
      <c r="J387" s="4"/>
      <c r="K387" s="4"/>
      <c r="L387" s="53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76"/>
      <c r="F388" s="53"/>
      <c r="G388" s="4"/>
      <c r="H388" s="4"/>
      <c r="I388" s="4"/>
      <c r="J388" s="4"/>
      <c r="K388" s="4"/>
      <c r="L388" s="53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76"/>
      <c r="F389" s="53"/>
      <c r="G389" s="4"/>
      <c r="H389" s="4"/>
      <c r="I389" s="4"/>
      <c r="J389" s="4"/>
      <c r="K389" s="4"/>
      <c r="L389" s="53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76"/>
      <c r="F390" s="53"/>
      <c r="G390" s="4"/>
      <c r="H390" s="4"/>
      <c r="I390" s="4"/>
      <c r="J390" s="4"/>
      <c r="K390" s="4"/>
      <c r="L390" s="53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76"/>
      <c r="F391" s="53"/>
      <c r="G391" s="4"/>
      <c r="H391" s="4"/>
      <c r="I391" s="4"/>
      <c r="J391" s="4"/>
      <c r="K391" s="4"/>
      <c r="L391" s="53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76"/>
      <c r="F392" s="53"/>
      <c r="G392" s="4"/>
      <c r="H392" s="4"/>
      <c r="I392" s="4"/>
      <c r="J392" s="4"/>
      <c r="K392" s="4"/>
      <c r="L392" s="53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76"/>
      <c r="F393" s="53"/>
      <c r="G393" s="4"/>
      <c r="H393" s="4"/>
      <c r="I393" s="4"/>
      <c r="J393" s="4"/>
      <c r="K393" s="4"/>
      <c r="L393" s="53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76"/>
      <c r="F394" s="53"/>
      <c r="G394" s="4"/>
      <c r="H394" s="4"/>
      <c r="I394" s="4"/>
      <c r="J394" s="4"/>
      <c r="K394" s="4"/>
      <c r="L394" s="53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76"/>
      <c r="F395" s="53"/>
      <c r="G395" s="4"/>
      <c r="H395" s="4"/>
      <c r="I395" s="4"/>
      <c r="J395" s="4"/>
      <c r="K395" s="4"/>
      <c r="L395" s="53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76"/>
      <c r="F396" s="53"/>
      <c r="G396" s="4"/>
      <c r="H396" s="4"/>
      <c r="I396" s="4"/>
      <c r="J396" s="4"/>
      <c r="K396" s="4"/>
      <c r="L396" s="53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76"/>
      <c r="F397" s="53"/>
      <c r="G397" s="4"/>
      <c r="H397" s="4"/>
      <c r="I397" s="4"/>
      <c r="J397" s="4"/>
      <c r="K397" s="4"/>
      <c r="L397" s="53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76"/>
      <c r="F398" s="53"/>
      <c r="G398" s="4"/>
      <c r="H398" s="4"/>
      <c r="I398" s="4"/>
      <c r="J398" s="4"/>
      <c r="K398" s="4"/>
      <c r="L398" s="53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76"/>
      <c r="F399" s="53"/>
      <c r="G399" s="4"/>
      <c r="H399" s="4"/>
      <c r="I399" s="4"/>
      <c r="J399" s="4"/>
      <c r="K399" s="4"/>
      <c r="L399" s="53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76"/>
      <c r="F400" s="53"/>
      <c r="G400" s="4"/>
      <c r="H400" s="4"/>
      <c r="I400" s="4"/>
      <c r="J400" s="4"/>
      <c r="K400" s="4"/>
      <c r="L400" s="53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76"/>
      <c r="F401" s="53"/>
      <c r="G401" s="4"/>
      <c r="H401" s="4"/>
      <c r="I401" s="4"/>
      <c r="J401" s="4"/>
      <c r="K401" s="4"/>
      <c r="L401" s="53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76"/>
      <c r="F402" s="53"/>
      <c r="G402" s="4"/>
      <c r="H402" s="4"/>
      <c r="I402" s="4"/>
      <c r="J402" s="4"/>
      <c r="K402" s="4"/>
      <c r="L402" s="53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76"/>
      <c r="F403" s="53"/>
      <c r="G403" s="4"/>
      <c r="H403" s="4"/>
      <c r="I403" s="4"/>
      <c r="J403" s="4"/>
      <c r="K403" s="4"/>
      <c r="L403" s="53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76"/>
      <c r="F404" s="53"/>
      <c r="G404" s="4"/>
      <c r="H404" s="4"/>
      <c r="I404" s="4"/>
      <c r="J404" s="4"/>
      <c r="K404" s="4"/>
      <c r="L404" s="53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76"/>
      <c r="F405" s="53"/>
      <c r="G405" s="4"/>
      <c r="H405" s="4"/>
      <c r="I405" s="4"/>
      <c r="J405" s="4"/>
      <c r="K405" s="4"/>
      <c r="L405" s="53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76"/>
      <c r="F406" s="53"/>
      <c r="G406" s="4"/>
      <c r="H406" s="4"/>
      <c r="I406" s="4"/>
      <c r="J406" s="4"/>
      <c r="K406" s="4"/>
      <c r="L406" s="53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76"/>
      <c r="F407" s="53"/>
      <c r="G407" s="4"/>
      <c r="H407" s="4"/>
      <c r="I407" s="4"/>
      <c r="J407" s="4"/>
      <c r="K407" s="4"/>
      <c r="L407" s="53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76"/>
      <c r="F408" s="53"/>
      <c r="G408" s="4"/>
      <c r="H408" s="4"/>
      <c r="I408" s="4"/>
      <c r="J408" s="4"/>
      <c r="K408" s="4"/>
      <c r="L408" s="53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76"/>
      <c r="F409" s="53"/>
      <c r="G409" s="4"/>
      <c r="H409" s="4"/>
      <c r="I409" s="4"/>
      <c r="J409" s="4"/>
      <c r="K409" s="4"/>
      <c r="L409" s="53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76"/>
      <c r="F410" s="53"/>
      <c r="G410" s="4"/>
      <c r="H410" s="4"/>
      <c r="I410" s="4"/>
      <c r="J410" s="4"/>
      <c r="K410" s="4"/>
      <c r="L410" s="53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76"/>
      <c r="F411" s="53"/>
      <c r="G411" s="4"/>
      <c r="H411" s="4"/>
      <c r="I411" s="4"/>
      <c r="J411" s="4"/>
      <c r="K411" s="4"/>
      <c r="L411" s="53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76"/>
      <c r="F412" s="53"/>
      <c r="G412" s="4"/>
      <c r="H412" s="4"/>
      <c r="I412" s="4"/>
      <c r="J412" s="4"/>
      <c r="K412" s="4"/>
      <c r="L412" s="53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76"/>
      <c r="F413" s="53"/>
      <c r="G413" s="4"/>
      <c r="H413" s="4"/>
      <c r="I413" s="4"/>
      <c r="J413" s="4"/>
      <c r="K413" s="4"/>
      <c r="L413" s="53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76"/>
      <c r="F414" s="53"/>
      <c r="G414" s="4"/>
      <c r="H414" s="4"/>
      <c r="I414" s="4"/>
      <c r="J414" s="4"/>
      <c r="K414" s="4"/>
      <c r="L414" s="53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76"/>
      <c r="F415" s="53"/>
      <c r="G415" s="4"/>
      <c r="H415" s="4"/>
      <c r="I415" s="4"/>
      <c r="J415" s="4"/>
      <c r="K415" s="4"/>
      <c r="L415" s="53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76"/>
      <c r="F416" s="53"/>
      <c r="G416" s="4"/>
      <c r="H416" s="4"/>
      <c r="I416" s="4"/>
      <c r="J416" s="4"/>
      <c r="K416" s="4"/>
      <c r="L416" s="53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76"/>
      <c r="F417" s="53"/>
      <c r="G417" s="4"/>
      <c r="H417" s="4"/>
      <c r="I417" s="4"/>
      <c r="J417" s="4"/>
      <c r="K417" s="4"/>
      <c r="L417" s="53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76"/>
      <c r="F418" s="53"/>
      <c r="G418" s="4"/>
      <c r="H418" s="4"/>
      <c r="I418" s="4"/>
      <c r="J418" s="4"/>
      <c r="K418" s="4"/>
      <c r="L418" s="53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76"/>
      <c r="F419" s="53"/>
      <c r="G419" s="4"/>
      <c r="H419" s="4"/>
      <c r="I419" s="4"/>
      <c r="J419" s="4"/>
      <c r="K419" s="4"/>
      <c r="L419" s="53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76"/>
      <c r="F420" s="53"/>
      <c r="G420" s="4"/>
      <c r="H420" s="4"/>
      <c r="I420" s="4"/>
      <c r="J420" s="4"/>
      <c r="K420" s="4"/>
      <c r="L420" s="53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76"/>
      <c r="F421" s="53"/>
      <c r="G421" s="4"/>
      <c r="H421" s="4"/>
      <c r="I421" s="4"/>
      <c r="J421" s="4"/>
      <c r="K421" s="4"/>
      <c r="L421" s="53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76"/>
      <c r="F422" s="53"/>
      <c r="G422" s="4"/>
      <c r="H422" s="4"/>
      <c r="I422" s="4"/>
      <c r="J422" s="4"/>
      <c r="K422" s="4"/>
      <c r="L422" s="53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76"/>
      <c r="F423" s="53"/>
      <c r="G423" s="4"/>
      <c r="H423" s="4"/>
      <c r="I423" s="4"/>
      <c r="J423" s="4"/>
      <c r="K423" s="4"/>
      <c r="L423" s="53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76"/>
      <c r="F424" s="53"/>
      <c r="G424" s="4"/>
      <c r="H424" s="4"/>
      <c r="I424" s="4"/>
      <c r="J424" s="4"/>
      <c r="K424" s="4"/>
      <c r="L424" s="53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76"/>
      <c r="F425" s="53"/>
      <c r="G425" s="4"/>
      <c r="H425" s="4"/>
      <c r="I425" s="4"/>
      <c r="J425" s="4"/>
      <c r="K425" s="4"/>
      <c r="L425" s="53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76"/>
      <c r="F426" s="53"/>
      <c r="G426" s="4"/>
      <c r="H426" s="4"/>
      <c r="I426" s="4"/>
      <c r="J426" s="4"/>
      <c r="K426" s="4"/>
      <c r="L426" s="53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76"/>
      <c r="F427" s="53"/>
      <c r="G427" s="4"/>
      <c r="H427" s="4"/>
      <c r="I427" s="4"/>
      <c r="J427" s="4"/>
      <c r="K427" s="4"/>
      <c r="L427" s="53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76"/>
      <c r="F428" s="53"/>
      <c r="G428" s="4"/>
      <c r="H428" s="4"/>
      <c r="I428" s="4"/>
      <c r="J428" s="4"/>
      <c r="K428" s="4"/>
      <c r="L428" s="53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76"/>
      <c r="F429" s="53"/>
      <c r="G429" s="4"/>
      <c r="H429" s="4"/>
      <c r="I429" s="4"/>
      <c r="J429" s="4"/>
      <c r="K429" s="4"/>
      <c r="L429" s="53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76"/>
      <c r="F430" s="53"/>
      <c r="G430" s="4"/>
      <c r="H430" s="4"/>
      <c r="I430" s="4"/>
      <c r="J430" s="4"/>
      <c r="K430" s="4"/>
      <c r="L430" s="53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76"/>
      <c r="F431" s="53"/>
      <c r="G431" s="4"/>
      <c r="H431" s="4"/>
      <c r="I431" s="4"/>
      <c r="J431" s="4"/>
      <c r="K431" s="4"/>
      <c r="L431" s="53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76"/>
      <c r="F432" s="53"/>
      <c r="G432" s="4"/>
      <c r="H432" s="4"/>
      <c r="I432" s="4"/>
      <c r="J432" s="4"/>
      <c r="K432" s="4"/>
      <c r="L432" s="53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76"/>
      <c r="F433" s="53"/>
      <c r="G433" s="4"/>
      <c r="H433" s="4"/>
      <c r="I433" s="4"/>
      <c r="J433" s="4"/>
      <c r="K433" s="4"/>
      <c r="L433" s="53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76"/>
      <c r="F434" s="53"/>
      <c r="G434" s="4"/>
      <c r="H434" s="4"/>
      <c r="I434" s="4"/>
      <c r="J434" s="4"/>
      <c r="K434" s="4"/>
      <c r="L434" s="53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76"/>
      <c r="F435" s="53"/>
      <c r="G435" s="4"/>
      <c r="H435" s="4"/>
      <c r="I435" s="4"/>
      <c r="J435" s="4"/>
      <c r="K435" s="4"/>
      <c r="L435" s="53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76"/>
      <c r="F436" s="53"/>
      <c r="G436" s="4"/>
      <c r="H436" s="4"/>
      <c r="I436" s="4"/>
      <c r="J436" s="4"/>
      <c r="K436" s="4"/>
      <c r="L436" s="53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76"/>
      <c r="F437" s="53"/>
      <c r="G437" s="4"/>
      <c r="H437" s="4"/>
      <c r="I437" s="4"/>
      <c r="J437" s="4"/>
      <c r="K437" s="4"/>
      <c r="L437" s="53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76"/>
      <c r="F438" s="53"/>
      <c r="G438" s="4"/>
      <c r="H438" s="4"/>
      <c r="I438" s="4"/>
      <c r="J438" s="4"/>
      <c r="K438" s="4"/>
      <c r="L438" s="53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76"/>
      <c r="F439" s="53"/>
      <c r="G439" s="4"/>
      <c r="H439" s="4"/>
      <c r="I439" s="4"/>
      <c r="J439" s="4"/>
      <c r="K439" s="4"/>
      <c r="L439" s="53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76"/>
      <c r="F440" s="53"/>
      <c r="G440" s="4"/>
      <c r="H440" s="4"/>
      <c r="I440" s="4"/>
      <c r="J440" s="4"/>
      <c r="K440" s="4"/>
      <c r="L440" s="53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76"/>
      <c r="F441" s="53"/>
      <c r="G441" s="4"/>
      <c r="H441" s="4"/>
      <c r="I441" s="4"/>
      <c r="J441" s="4"/>
      <c r="K441" s="4"/>
      <c r="L441" s="53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76"/>
      <c r="F442" s="53"/>
      <c r="G442" s="4"/>
      <c r="H442" s="4"/>
      <c r="I442" s="4"/>
      <c r="J442" s="4"/>
      <c r="K442" s="4"/>
      <c r="L442" s="53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76"/>
      <c r="F443" s="53"/>
      <c r="G443" s="4"/>
      <c r="H443" s="4"/>
      <c r="I443" s="4"/>
      <c r="J443" s="4"/>
      <c r="K443" s="4"/>
      <c r="L443" s="53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76"/>
      <c r="F444" s="53"/>
      <c r="G444" s="4"/>
      <c r="H444" s="4"/>
      <c r="I444" s="4"/>
      <c r="J444" s="4"/>
      <c r="K444" s="4"/>
      <c r="L444" s="53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76"/>
      <c r="F445" s="53"/>
      <c r="G445" s="4"/>
      <c r="H445" s="4"/>
      <c r="I445" s="4"/>
      <c r="J445" s="4"/>
      <c r="K445" s="4"/>
      <c r="L445" s="53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76"/>
      <c r="F446" s="53"/>
      <c r="G446" s="4"/>
      <c r="H446" s="4"/>
      <c r="I446" s="4"/>
      <c r="J446" s="4"/>
      <c r="K446" s="4"/>
      <c r="L446" s="53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76"/>
      <c r="F447" s="53"/>
      <c r="G447" s="4"/>
      <c r="H447" s="4"/>
      <c r="I447" s="4"/>
      <c r="J447" s="4"/>
      <c r="K447" s="4"/>
      <c r="L447" s="53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76"/>
      <c r="F448" s="53"/>
      <c r="G448" s="4"/>
      <c r="H448" s="4"/>
      <c r="I448" s="4"/>
      <c r="J448" s="4"/>
      <c r="K448" s="4"/>
      <c r="L448" s="53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76"/>
      <c r="F449" s="53"/>
      <c r="G449" s="4"/>
      <c r="H449" s="4"/>
      <c r="I449" s="4"/>
      <c r="J449" s="4"/>
      <c r="K449" s="4"/>
      <c r="L449" s="53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76"/>
      <c r="F450" s="53"/>
      <c r="G450" s="4"/>
      <c r="H450" s="4"/>
      <c r="I450" s="4"/>
      <c r="J450" s="4"/>
      <c r="K450" s="4"/>
      <c r="L450" s="53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76"/>
      <c r="F451" s="53"/>
      <c r="G451" s="4"/>
      <c r="H451" s="4"/>
      <c r="I451" s="4"/>
      <c r="J451" s="4"/>
      <c r="K451" s="4"/>
      <c r="L451" s="53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76"/>
      <c r="F452" s="53"/>
      <c r="G452" s="4"/>
      <c r="H452" s="4"/>
      <c r="I452" s="4"/>
      <c r="J452" s="4"/>
      <c r="K452" s="4"/>
      <c r="L452" s="53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76"/>
      <c r="F453" s="53"/>
      <c r="G453" s="4"/>
      <c r="H453" s="4"/>
      <c r="I453" s="4"/>
      <c r="J453" s="4"/>
      <c r="K453" s="4"/>
      <c r="L453" s="53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76"/>
      <c r="F454" s="53"/>
      <c r="G454" s="4"/>
      <c r="H454" s="4"/>
      <c r="I454" s="4"/>
      <c r="J454" s="4"/>
      <c r="K454" s="4"/>
      <c r="L454" s="53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76"/>
      <c r="F455" s="53"/>
      <c r="G455" s="4"/>
      <c r="H455" s="4"/>
      <c r="I455" s="4"/>
      <c r="J455" s="4"/>
      <c r="K455" s="4"/>
      <c r="L455" s="53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76"/>
      <c r="F456" s="53"/>
      <c r="G456" s="4"/>
      <c r="H456" s="4"/>
      <c r="I456" s="4"/>
      <c r="J456" s="4"/>
      <c r="K456" s="4"/>
      <c r="L456" s="53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76"/>
      <c r="F457" s="53"/>
      <c r="G457" s="4"/>
      <c r="H457" s="4"/>
      <c r="I457" s="4"/>
      <c r="J457" s="4"/>
      <c r="K457" s="4"/>
      <c r="L457" s="53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76"/>
      <c r="F458" s="53"/>
      <c r="G458" s="4"/>
      <c r="H458" s="4"/>
      <c r="I458" s="4"/>
      <c r="J458" s="4"/>
      <c r="K458" s="4"/>
      <c r="L458" s="53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76"/>
      <c r="F459" s="53"/>
      <c r="G459" s="4"/>
      <c r="H459" s="4"/>
      <c r="I459" s="4"/>
      <c r="J459" s="4"/>
      <c r="K459" s="4"/>
      <c r="L459" s="53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76"/>
      <c r="F460" s="53"/>
      <c r="G460" s="4"/>
      <c r="H460" s="4"/>
      <c r="I460" s="4"/>
      <c r="J460" s="4"/>
      <c r="K460" s="4"/>
      <c r="L460" s="53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76"/>
      <c r="F461" s="53"/>
      <c r="G461" s="4"/>
      <c r="H461" s="4"/>
      <c r="I461" s="4"/>
      <c r="J461" s="4"/>
      <c r="K461" s="4"/>
      <c r="L461" s="53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76"/>
      <c r="F462" s="53"/>
      <c r="G462" s="4"/>
      <c r="H462" s="4"/>
      <c r="I462" s="4"/>
      <c r="J462" s="4"/>
      <c r="K462" s="4"/>
      <c r="L462" s="53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76"/>
      <c r="F463" s="53"/>
      <c r="G463" s="4"/>
      <c r="H463" s="4"/>
      <c r="I463" s="4"/>
      <c r="J463" s="4"/>
      <c r="K463" s="4"/>
      <c r="L463" s="53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76"/>
      <c r="F464" s="53"/>
      <c r="G464" s="4"/>
      <c r="H464" s="4"/>
      <c r="I464" s="4"/>
      <c r="J464" s="4"/>
      <c r="K464" s="4"/>
      <c r="L464" s="53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76"/>
      <c r="F465" s="53"/>
      <c r="G465" s="4"/>
      <c r="H465" s="4"/>
      <c r="I465" s="4"/>
      <c r="J465" s="4"/>
      <c r="K465" s="4"/>
      <c r="L465" s="53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76"/>
      <c r="F466" s="53"/>
      <c r="G466" s="4"/>
      <c r="H466" s="4"/>
      <c r="I466" s="4"/>
      <c r="J466" s="4"/>
      <c r="K466" s="4"/>
      <c r="L466" s="53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76"/>
      <c r="F467" s="53"/>
      <c r="G467" s="4"/>
      <c r="H467" s="4"/>
      <c r="I467" s="4"/>
      <c r="J467" s="4"/>
      <c r="K467" s="4"/>
      <c r="L467" s="53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76"/>
      <c r="F468" s="53"/>
      <c r="G468" s="4"/>
      <c r="H468" s="4"/>
      <c r="I468" s="4"/>
      <c r="J468" s="4"/>
      <c r="K468" s="4"/>
      <c r="L468" s="53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76"/>
      <c r="F469" s="53"/>
      <c r="G469" s="4"/>
      <c r="H469" s="4"/>
      <c r="I469" s="4"/>
      <c r="J469" s="4"/>
      <c r="K469" s="4"/>
      <c r="L469" s="53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76"/>
      <c r="F470" s="53"/>
      <c r="G470" s="4"/>
      <c r="H470" s="4"/>
      <c r="I470" s="4"/>
      <c r="J470" s="4"/>
      <c r="K470" s="4"/>
      <c r="L470" s="53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76"/>
      <c r="F471" s="53"/>
      <c r="G471" s="4"/>
      <c r="H471" s="4"/>
      <c r="I471" s="4"/>
      <c r="J471" s="4"/>
      <c r="K471" s="4"/>
      <c r="L471" s="53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76"/>
      <c r="F472" s="53"/>
      <c r="G472" s="4"/>
      <c r="H472" s="4"/>
      <c r="I472" s="4"/>
      <c r="J472" s="4"/>
      <c r="K472" s="4"/>
      <c r="L472" s="53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76"/>
      <c r="F473" s="53"/>
      <c r="G473" s="4"/>
      <c r="H473" s="4"/>
      <c r="I473" s="4"/>
      <c r="J473" s="4"/>
      <c r="K473" s="4"/>
      <c r="L473" s="53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76"/>
      <c r="F474" s="53"/>
      <c r="G474" s="4"/>
      <c r="H474" s="4"/>
      <c r="I474" s="4"/>
      <c r="J474" s="4"/>
      <c r="K474" s="4"/>
      <c r="L474" s="53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76"/>
      <c r="F475" s="53"/>
      <c r="G475" s="4"/>
      <c r="H475" s="4"/>
      <c r="I475" s="4"/>
      <c r="J475" s="4"/>
      <c r="K475" s="4"/>
      <c r="L475" s="53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76"/>
      <c r="F476" s="53"/>
      <c r="G476" s="4"/>
      <c r="H476" s="4"/>
      <c r="I476" s="4"/>
      <c r="J476" s="4"/>
      <c r="K476" s="4"/>
      <c r="L476" s="53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76"/>
      <c r="F477" s="53"/>
      <c r="G477" s="4"/>
      <c r="H477" s="4"/>
      <c r="I477" s="4"/>
      <c r="J477" s="4"/>
      <c r="K477" s="4"/>
      <c r="L477" s="53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76"/>
      <c r="F478" s="53"/>
      <c r="G478" s="4"/>
      <c r="H478" s="4"/>
      <c r="I478" s="4"/>
      <c r="J478" s="4"/>
      <c r="K478" s="4"/>
      <c r="L478" s="53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76"/>
      <c r="F479" s="53"/>
      <c r="G479" s="4"/>
      <c r="H479" s="4"/>
      <c r="I479" s="4"/>
      <c r="J479" s="4"/>
      <c r="K479" s="4"/>
      <c r="L479" s="53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76"/>
      <c r="F480" s="53"/>
      <c r="G480" s="4"/>
      <c r="H480" s="4"/>
      <c r="I480" s="4"/>
      <c r="J480" s="4"/>
      <c r="K480" s="4"/>
      <c r="L480" s="53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76"/>
      <c r="F481" s="53"/>
      <c r="G481" s="4"/>
      <c r="H481" s="4"/>
      <c r="I481" s="4"/>
      <c r="J481" s="4"/>
      <c r="K481" s="4"/>
      <c r="L481" s="53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76"/>
      <c r="F482" s="53"/>
      <c r="G482" s="4"/>
      <c r="H482" s="4"/>
      <c r="I482" s="4"/>
      <c r="J482" s="4"/>
      <c r="K482" s="4"/>
      <c r="L482" s="53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76"/>
      <c r="F483" s="53"/>
      <c r="G483" s="4"/>
      <c r="H483" s="4"/>
      <c r="I483" s="4"/>
      <c r="J483" s="4"/>
      <c r="K483" s="4"/>
      <c r="L483" s="53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76"/>
      <c r="F484" s="53"/>
      <c r="G484" s="4"/>
      <c r="H484" s="4"/>
      <c r="I484" s="4"/>
      <c r="J484" s="4"/>
      <c r="K484" s="4"/>
      <c r="L484" s="53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76"/>
      <c r="F485" s="53"/>
      <c r="G485" s="4"/>
      <c r="H485" s="4"/>
      <c r="I485" s="4"/>
      <c r="J485" s="4"/>
      <c r="K485" s="4"/>
      <c r="L485" s="53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76"/>
      <c r="F486" s="53"/>
      <c r="G486" s="4"/>
      <c r="H486" s="4"/>
      <c r="I486" s="4"/>
      <c r="J486" s="4"/>
      <c r="K486" s="4"/>
      <c r="L486" s="53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76"/>
      <c r="F487" s="53"/>
      <c r="G487" s="4"/>
      <c r="H487" s="4"/>
      <c r="I487" s="4"/>
      <c r="J487" s="4"/>
      <c r="K487" s="4"/>
      <c r="L487" s="53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76"/>
      <c r="F488" s="53"/>
      <c r="G488" s="4"/>
      <c r="H488" s="4"/>
      <c r="I488" s="4"/>
      <c r="J488" s="4"/>
      <c r="K488" s="4"/>
      <c r="L488" s="53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76"/>
      <c r="F489" s="53"/>
      <c r="G489" s="4"/>
      <c r="H489" s="4"/>
      <c r="I489" s="4"/>
      <c r="J489" s="4"/>
      <c r="K489" s="4"/>
      <c r="L489" s="53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76"/>
      <c r="F490" s="53"/>
      <c r="G490" s="4"/>
      <c r="H490" s="4"/>
      <c r="I490" s="4"/>
      <c r="J490" s="4"/>
      <c r="K490" s="4"/>
      <c r="L490" s="53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76"/>
      <c r="F491" s="53"/>
      <c r="G491" s="4"/>
      <c r="H491" s="4"/>
      <c r="I491" s="4"/>
      <c r="J491" s="4"/>
      <c r="K491" s="4"/>
      <c r="L491" s="53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76"/>
      <c r="F492" s="53"/>
      <c r="G492" s="4"/>
      <c r="H492" s="4"/>
      <c r="I492" s="4"/>
      <c r="J492" s="4"/>
      <c r="K492" s="4"/>
      <c r="L492" s="53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76"/>
      <c r="F493" s="53"/>
      <c r="G493" s="4"/>
      <c r="H493" s="4"/>
      <c r="I493" s="4"/>
      <c r="J493" s="4"/>
      <c r="K493" s="4"/>
      <c r="L493" s="53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76"/>
      <c r="F494" s="53"/>
      <c r="G494" s="4"/>
      <c r="H494" s="4"/>
      <c r="I494" s="4"/>
      <c r="J494" s="4"/>
      <c r="K494" s="4"/>
      <c r="L494" s="53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76"/>
      <c r="F495" s="53"/>
      <c r="G495" s="4"/>
      <c r="H495" s="4"/>
      <c r="I495" s="4"/>
      <c r="J495" s="4"/>
      <c r="K495" s="4"/>
      <c r="L495" s="53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76"/>
      <c r="F496" s="53"/>
      <c r="G496" s="4"/>
      <c r="H496" s="4"/>
      <c r="I496" s="4"/>
      <c r="J496" s="4"/>
      <c r="K496" s="4"/>
      <c r="L496" s="53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76"/>
      <c r="F497" s="53"/>
      <c r="G497" s="4"/>
      <c r="H497" s="4"/>
      <c r="I497" s="4"/>
      <c r="J497" s="4"/>
      <c r="K497" s="4"/>
      <c r="L497" s="53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76"/>
      <c r="F498" s="53"/>
      <c r="G498" s="4"/>
      <c r="H498" s="4"/>
      <c r="I498" s="4"/>
      <c r="J498" s="4"/>
      <c r="K498" s="4"/>
      <c r="L498" s="53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76"/>
      <c r="F499" s="53"/>
      <c r="G499" s="4"/>
      <c r="H499" s="4"/>
      <c r="I499" s="4"/>
      <c r="J499" s="4"/>
      <c r="K499" s="4"/>
      <c r="L499" s="53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76"/>
      <c r="F500" s="53"/>
      <c r="G500" s="4"/>
      <c r="H500" s="4"/>
      <c r="I500" s="4"/>
      <c r="J500" s="4"/>
      <c r="K500" s="4"/>
      <c r="L500" s="53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76"/>
      <c r="F501" s="53"/>
      <c r="G501" s="4"/>
      <c r="H501" s="4"/>
      <c r="I501" s="4"/>
      <c r="J501" s="4"/>
      <c r="K501" s="4"/>
      <c r="L501" s="53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76"/>
      <c r="F502" s="53"/>
      <c r="G502" s="4"/>
      <c r="H502" s="4"/>
      <c r="I502" s="4"/>
      <c r="J502" s="4"/>
      <c r="K502" s="4"/>
      <c r="L502" s="53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76"/>
      <c r="F503" s="53"/>
      <c r="G503" s="4"/>
      <c r="H503" s="4"/>
      <c r="I503" s="4"/>
      <c r="J503" s="4"/>
      <c r="K503" s="4"/>
      <c r="L503" s="53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76"/>
      <c r="F504" s="53"/>
      <c r="G504" s="4"/>
      <c r="H504" s="4"/>
      <c r="I504" s="4"/>
      <c r="J504" s="4"/>
      <c r="K504" s="4"/>
      <c r="L504" s="53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76"/>
      <c r="F505" s="53"/>
      <c r="G505" s="4"/>
      <c r="H505" s="4"/>
      <c r="I505" s="4"/>
      <c r="J505" s="4"/>
      <c r="K505" s="4"/>
      <c r="L505" s="53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76"/>
      <c r="F506" s="53"/>
      <c r="G506" s="4"/>
      <c r="H506" s="4"/>
      <c r="I506" s="4"/>
      <c r="J506" s="4"/>
      <c r="K506" s="4"/>
      <c r="L506" s="53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76"/>
      <c r="F507" s="53"/>
      <c r="G507" s="4"/>
      <c r="H507" s="4"/>
      <c r="I507" s="4"/>
      <c r="J507" s="4"/>
      <c r="K507" s="4"/>
      <c r="L507" s="53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76"/>
      <c r="F508" s="53"/>
      <c r="G508" s="4"/>
      <c r="H508" s="4"/>
      <c r="I508" s="4"/>
      <c r="J508" s="4"/>
      <c r="K508" s="4"/>
      <c r="L508" s="53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76"/>
      <c r="F509" s="53"/>
      <c r="G509" s="4"/>
      <c r="H509" s="4"/>
      <c r="I509" s="4"/>
      <c r="J509" s="4"/>
      <c r="K509" s="4"/>
      <c r="L509" s="53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76"/>
      <c r="F510" s="53"/>
      <c r="G510" s="4"/>
      <c r="H510" s="4"/>
      <c r="I510" s="4"/>
      <c r="J510" s="4"/>
      <c r="K510" s="4"/>
      <c r="L510" s="53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76"/>
      <c r="F511" s="53"/>
      <c r="G511" s="4"/>
      <c r="H511" s="4"/>
      <c r="I511" s="4"/>
      <c r="J511" s="4"/>
      <c r="K511" s="4"/>
      <c r="L511" s="53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76"/>
      <c r="F512" s="53"/>
      <c r="G512" s="4"/>
      <c r="H512" s="4"/>
      <c r="I512" s="4"/>
      <c r="J512" s="4"/>
      <c r="K512" s="4"/>
      <c r="L512" s="53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76"/>
      <c r="F513" s="53"/>
      <c r="G513" s="4"/>
      <c r="H513" s="4"/>
      <c r="I513" s="4"/>
      <c r="J513" s="4"/>
      <c r="K513" s="4"/>
      <c r="L513" s="53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76"/>
      <c r="F514" s="53"/>
      <c r="G514" s="4"/>
      <c r="H514" s="4"/>
      <c r="I514" s="4"/>
      <c r="J514" s="4"/>
      <c r="K514" s="4"/>
      <c r="L514" s="53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76"/>
      <c r="F515" s="53"/>
      <c r="G515" s="4"/>
      <c r="H515" s="4"/>
      <c r="I515" s="4"/>
      <c r="J515" s="4"/>
      <c r="K515" s="4"/>
      <c r="L515" s="53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76"/>
      <c r="F516" s="53"/>
      <c r="G516" s="4"/>
      <c r="H516" s="4"/>
      <c r="I516" s="4"/>
      <c r="J516" s="4"/>
      <c r="K516" s="4"/>
      <c r="L516" s="53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76"/>
      <c r="F517" s="53"/>
      <c r="G517" s="4"/>
      <c r="H517" s="4"/>
      <c r="I517" s="4"/>
      <c r="J517" s="4"/>
      <c r="K517" s="4"/>
      <c r="L517" s="53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76"/>
      <c r="F518" s="53"/>
      <c r="G518" s="4"/>
      <c r="H518" s="4"/>
      <c r="I518" s="4"/>
      <c r="J518" s="4"/>
      <c r="K518" s="4"/>
      <c r="L518" s="53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76"/>
      <c r="F519" s="53"/>
      <c r="G519" s="4"/>
      <c r="H519" s="4"/>
      <c r="I519" s="4"/>
      <c r="J519" s="4"/>
      <c r="K519" s="4"/>
      <c r="L519" s="53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76"/>
      <c r="F520" s="53"/>
      <c r="G520" s="4"/>
      <c r="H520" s="4"/>
      <c r="I520" s="4"/>
      <c r="J520" s="4"/>
      <c r="K520" s="4"/>
      <c r="L520" s="53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76"/>
      <c r="F521" s="53"/>
      <c r="G521" s="4"/>
      <c r="H521" s="4"/>
      <c r="I521" s="4"/>
      <c r="J521" s="4"/>
      <c r="K521" s="4"/>
      <c r="L521" s="53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76"/>
      <c r="F522" s="53"/>
      <c r="G522" s="4"/>
      <c r="H522" s="4"/>
      <c r="I522" s="4"/>
      <c r="J522" s="4"/>
      <c r="K522" s="4"/>
      <c r="L522" s="53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76"/>
      <c r="F523" s="53"/>
      <c r="G523" s="4"/>
      <c r="H523" s="4"/>
      <c r="I523" s="4"/>
      <c r="J523" s="4"/>
      <c r="K523" s="4"/>
      <c r="L523" s="53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76"/>
      <c r="F524" s="53"/>
      <c r="G524" s="4"/>
      <c r="H524" s="4"/>
      <c r="I524" s="4"/>
      <c r="J524" s="4"/>
      <c r="K524" s="4"/>
      <c r="L524" s="53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76"/>
      <c r="F525" s="53"/>
      <c r="G525" s="4"/>
      <c r="H525" s="4"/>
      <c r="I525" s="4"/>
      <c r="J525" s="4"/>
      <c r="K525" s="4"/>
      <c r="L525" s="53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76"/>
      <c r="F526" s="53"/>
      <c r="G526" s="4"/>
      <c r="H526" s="4"/>
      <c r="I526" s="4"/>
      <c r="J526" s="4"/>
      <c r="K526" s="4"/>
      <c r="L526" s="53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76"/>
      <c r="F527" s="53"/>
      <c r="G527" s="4"/>
      <c r="H527" s="4"/>
      <c r="I527" s="4"/>
      <c r="J527" s="4"/>
      <c r="K527" s="4"/>
      <c r="L527" s="53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76"/>
      <c r="F528" s="53"/>
      <c r="G528" s="4"/>
      <c r="H528" s="4"/>
      <c r="I528" s="4"/>
      <c r="J528" s="4"/>
      <c r="K528" s="4"/>
      <c r="L528" s="53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76"/>
      <c r="F529" s="53"/>
      <c r="G529" s="4"/>
      <c r="H529" s="4"/>
      <c r="I529" s="4"/>
      <c r="J529" s="4"/>
      <c r="K529" s="4"/>
      <c r="L529" s="53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76"/>
      <c r="F530" s="53"/>
      <c r="G530" s="4"/>
      <c r="H530" s="4"/>
      <c r="I530" s="4"/>
      <c r="J530" s="4"/>
      <c r="K530" s="4"/>
      <c r="L530" s="53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76"/>
      <c r="F531" s="53"/>
      <c r="G531" s="4"/>
      <c r="H531" s="4"/>
      <c r="I531" s="4"/>
      <c r="J531" s="4"/>
      <c r="K531" s="4"/>
      <c r="L531" s="53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76"/>
      <c r="F532" s="53"/>
      <c r="G532" s="4"/>
      <c r="H532" s="4"/>
      <c r="I532" s="4"/>
      <c r="J532" s="4"/>
      <c r="K532" s="4"/>
      <c r="L532" s="53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76"/>
      <c r="F533" s="53"/>
      <c r="G533" s="4"/>
      <c r="H533" s="4"/>
      <c r="I533" s="4"/>
      <c r="J533" s="4"/>
      <c r="K533" s="4"/>
      <c r="L533" s="53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76"/>
      <c r="F534" s="53"/>
      <c r="G534" s="4"/>
      <c r="H534" s="4"/>
      <c r="I534" s="4"/>
      <c r="J534" s="4"/>
      <c r="K534" s="4"/>
      <c r="L534" s="53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76"/>
      <c r="F535" s="53"/>
      <c r="G535" s="4"/>
      <c r="H535" s="4"/>
      <c r="I535" s="4"/>
      <c r="J535" s="4"/>
      <c r="K535" s="4"/>
      <c r="L535" s="53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76"/>
      <c r="F536" s="53"/>
      <c r="G536" s="4"/>
      <c r="H536" s="4"/>
      <c r="I536" s="4"/>
      <c r="J536" s="4"/>
      <c r="K536" s="4"/>
      <c r="L536" s="53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76"/>
      <c r="F537" s="53"/>
      <c r="G537" s="4"/>
      <c r="H537" s="4"/>
      <c r="I537" s="4"/>
      <c r="J537" s="4"/>
      <c r="K537" s="4"/>
      <c r="L537" s="53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76"/>
      <c r="F538" s="53"/>
      <c r="G538" s="4"/>
      <c r="H538" s="4"/>
      <c r="I538" s="4"/>
      <c r="J538" s="4"/>
      <c r="K538" s="4"/>
      <c r="L538" s="53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76"/>
      <c r="F539" s="53"/>
      <c r="G539" s="4"/>
      <c r="H539" s="4"/>
      <c r="I539" s="4"/>
      <c r="J539" s="4"/>
      <c r="K539" s="4"/>
      <c r="L539" s="53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76"/>
      <c r="F540" s="53"/>
      <c r="G540" s="4"/>
      <c r="H540" s="4"/>
      <c r="I540" s="4"/>
      <c r="J540" s="4"/>
      <c r="K540" s="4"/>
      <c r="L540" s="53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76"/>
      <c r="F541" s="53"/>
      <c r="G541" s="4"/>
      <c r="H541" s="4"/>
      <c r="I541" s="4"/>
      <c r="J541" s="4"/>
      <c r="K541" s="4"/>
      <c r="L541" s="53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76"/>
      <c r="F542" s="53"/>
      <c r="G542" s="4"/>
      <c r="H542" s="4"/>
      <c r="I542" s="4"/>
      <c r="J542" s="4"/>
      <c r="K542" s="4"/>
      <c r="L542" s="53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76"/>
      <c r="F543" s="53"/>
      <c r="G543" s="4"/>
      <c r="H543" s="4"/>
      <c r="I543" s="4"/>
      <c r="J543" s="4"/>
      <c r="K543" s="4"/>
      <c r="L543" s="53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76"/>
      <c r="F544" s="53"/>
      <c r="G544" s="4"/>
      <c r="H544" s="4"/>
      <c r="I544" s="4"/>
      <c r="J544" s="4"/>
      <c r="K544" s="4"/>
      <c r="L544" s="53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76"/>
      <c r="F545" s="53"/>
      <c r="G545" s="4"/>
      <c r="H545" s="4"/>
      <c r="I545" s="4"/>
      <c r="J545" s="4"/>
      <c r="K545" s="4"/>
      <c r="L545" s="53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76"/>
      <c r="F546" s="53"/>
      <c r="G546" s="4"/>
      <c r="H546" s="4"/>
      <c r="I546" s="4"/>
      <c r="J546" s="4"/>
      <c r="K546" s="4"/>
      <c r="L546" s="53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76"/>
      <c r="F547" s="53"/>
      <c r="G547" s="4"/>
      <c r="H547" s="4"/>
      <c r="I547" s="4"/>
      <c r="J547" s="4"/>
      <c r="K547" s="4"/>
      <c r="L547" s="53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76"/>
      <c r="F548" s="53"/>
      <c r="G548" s="4"/>
      <c r="H548" s="4"/>
      <c r="I548" s="4"/>
      <c r="J548" s="4"/>
      <c r="K548" s="4"/>
      <c r="L548" s="53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76"/>
      <c r="F549" s="53"/>
      <c r="G549" s="4"/>
      <c r="H549" s="4"/>
      <c r="I549" s="4"/>
      <c r="J549" s="4"/>
      <c r="K549" s="4"/>
      <c r="L549" s="53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76"/>
      <c r="F550" s="53"/>
      <c r="G550" s="4"/>
      <c r="H550" s="4"/>
      <c r="I550" s="4"/>
      <c r="J550" s="4"/>
      <c r="K550" s="4"/>
      <c r="L550" s="53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76"/>
      <c r="F551" s="53"/>
      <c r="G551" s="4"/>
      <c r="H551" s="4"/>
      <c r="I551" s="4"/>
      <c r="J551" s="4"/>
      <c r="K551" s="4"/>
      <c r="L551" s="53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76"/>
      <c r="F552" s="53"/>
      <c r="G552" s="4"/>
      <c r="H552" s="4"/>
      <c r="I552" s="4"/>
      <c r="J552" s="4"/>
      <c r="K552" s="4"/>
      <c r="L552" s="53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76"/>
      <c r="F553" s="53"/>
      <c r="G553" s="4"/>
      <c r="H553" s="4"/>
      <c r="I553" s="4"/>
      <c r="J553" s="4"/>
      <c r="K553" s="4"/>
      <c r="L553" s="53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76"/>
      <c r="F554" s="53"/>
      <c r="G554" s="4"/>
      <c r="H554" s="4"/>
      <c r="I554" s="4"/>
      <c r="J554" s="4"/>
      <c r="K554" s="4"/>
      <c r="L554" s="53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76"/>
      <c r="F555" s="53"/>
      <c r="G555" s="4"/>
      <c r="H555" s="4"/>
      <c r="I555" s="4"/>
      <c r="J555" s="4"/>
      <c r="K555" s="4"/>
      <c r="L555" s="53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76"/>
      <c r="F556" s="53"/>
      <c r="G556" s="4"/>
      <c r="H556" s="4"/>
      <c r="I556" s="4"/>
      <c r="J556" s="4"/>
      <c r="K556" s="4"/>
      <c r="L556" s="53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76"/>
      <c r="F557" s="53"/>
      <c r="G557" s="4"/>
      <c r="H557" s="4"/>
      <c r="I557" s="4"/>
      <c r="J557" s="4"/>
      <c r="K557" s="4"/>
      <c r="L557" s="53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76"/>
      <c r="F558" s="53"/>
      <c r="G558" s="4"/>
      <c r="H558" s="4"/>
      <c r="I558" s="4"/>
      <c r="J558" s="4"/>
      <c r="K558" s="4"/>
      <c r="L558" s="53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76"/>
      <c r="F559" s="53"/>
      <c r="G559" s="4"/>
      <c r="H559" s="4"/>
      <c r="I559" s="4"/>
      <c r="J559" s="4"/>
      <c r="K559" s="4"/>
      <c r="L559" s="53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76"/>
      <c r="F560" s="53"/>
      <c r="G560" s="4"/>
      <c r="H560" s="4"/>
      <c r="I560" s="4"/>
      <c r="J560" s="4"/>
      <c r="K560" s="4"/>
      <c r="L560" s="53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76"/>
      <c r="F561" s="53"/>
      <c r="G561" s="4"/>
      <c r="H561" s="4"/>
      <c r="I561" s="4"/>
      <c r="J561" s="4"/>
      <c r="K561" s="4"/>
      <c r="L561" s="53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76"/>
      <c r="F562" s="53"/>
      <c r="G562" s="4"/>
      <c r="H562" s="4"/>
      <c r="I562" s="4"/>
      <c r="J562" s="4"/>
      <c r="K562" s="4"/>
      <c r="L562" s="53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76"/>
      <c r="F563" s="53"/>
      <c r="G563" s="4"/>
      <c r="H563" s="4"/>
      <c r="I563" s="4"/>
      <c r="J563" s="4"/>
      <c r="K563" s="4"/>
      <c r="L563" s="53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76"/>
      <c r="F564" s="53"/>
      <c r="G564" s="4"/>
      <c r="H564" s="4"/>
      <c r="I564" s="4"/>
      <c r="J564" s="4"/>
      <c r="K564" s="4"/>
      <c r="L564" s="53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76"/>
      <c r="F565" s="53"/>
      <c r="G565" s="4"/>
      <c r="H565" s="4"/>
      <c r="I565" s="4"/>
      <c r="J565" s="4"/>
      <c r="K565" s="4"/>
      <c r="L565" s="53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76"/>
      <c r="F566" s="53"/>
      <c r="G566" s="4"/>
      <c r="H566" s="4"/>
      <c r="I566" s="4"/>
      <c r="J566" s="4"/>
      <c r="K566" s="4"/>
      <c r="L566" s="53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76"/>
      <c r="F567" s="53"/>
      <c r="G567" s="4"/>
      <c r="H567" s="4"/>
      <c r="I567" s="4"/>
      <c r="J567" s="4"/>
      <c r="K567" s="4"/>
      <c r="L567" s="53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76"/>
      <c r="F568" s="53"/>
      <c r="G568" s="4"/>
      <c r="H568" s="4"/>
      <c r="I568" s="4"/>
      <c r="J568" s="4"/>
      <c r="K568" s="4"/>
      <c r="L568" s="53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76"/>
      <c r="F569" s="53"/>
      <c r="G569" s="4"/>
      <c r="H569" s="4"/>
      <c r="I569" s="4"/>
      <c r="J569" s="4"/>
      <c r="K569" s="4"/>
      <c r="L569" s="53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76"/>
      <c r="F570" s="53"/>
      <c r="G570" s="4"/>
      <c r="H570" s="4"/>
      <c r="I570" s="4"/>
      <c r="J570" s="4"/>
      <c r="K570" s="4"/>
      <c r="L570" s="53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76"/>
      <c r="F571" s="53"/>
      <c r="G571" s="4"/>
      <c r="H571" s="4"/>
      <c r="I571" s="4"/>
      <c r="J571" s="4"/>
      <c r="K571" s="4"/>
      <c r="L571" s="53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76"/>
      <c r="F572" s="53"/>
      <c r="G572" s="4"/>
      <c r="H572" s="4"/>
      <c r="I572" s="4"/>
      <c r="J572" s="4"/>
      <c r="K572" s="4"/>
      <c r="L572" s="53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76"/>
      <c r="F573" s="53"/>
      <c r="G573" s="4"/>
      <c r="H573" s="4"/>
      <c r="I573" s="4"/>
      <c r="J573" s="4"/>
      <c r="K573" s="4"/>
      <c r="L573" s="53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76"/>
      <c r="F574" s="53"/>
      <c r="G574" s="4"/>
      <c r="H574" s="4"/>
      <c r="I574" s="4"/>
      <c r="J574" s="4"/>
      <c r="K574" s="4"/>
      <c r="L574" s="53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76"/>
      <c r="F575" s="53"/>
      <c r="G575" s="4"/>
      <c r="H575" s="4"/>
      <c r="I575" s="4"/>
      <c r="J575" s="4"/>
      <c r="K575" s="4"/>
      <c r="L575" s="53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76"/>
      <c r="F576" s="53"/>
      <c r="G576" s="4"/>
      <c r="H576" s="4"/>
      <c r="I576" s="4"/>
      <c r="J576" s="4"/>
      <c r="K576" s="4"/>
      <c r="L576" s="53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76"/>
      <c r="F577" s="53"/>
      <c r="G577" s="4"/>
      <c r="H577" s="4"/>
      <c r="I577" s="4"/>
      <c r="J577" s="4"/>
      <c r="K577" s="4"/>
      <c r="L577" s="53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76"/>
      <c r="F578" s="53"/>
      <c r="G578" s="4"/>
      <c r="H578" s="4"/>
      <c r="I578" s="4"/>
      <c r="J578" s="4"/>
      <c r="K578" s="4"/>
      <c r="L578" s="53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76"/>
      <c r="F579" s="53"/>
      <c r="G579" s="4"/>
      <c r="H579" s="4"/>
      <c r="I579" s="4"/>
      <c r="J579" s="4"/>
      <c r="K579" s="4"/>
      <c r="L579" s="53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76"/>
      <c r="F580" s="53"/>
      <c r="G580" s="4"/>
      <c r="H580" s="4"/>
      <c r="I580" s="4"/>
      <c r="J580" s="4"/>
      <c r="K580" s="4"/>
      <c r="L580" s="53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76"/>
      <c r="F581" s="53"/>
      <c r="G581" s="4"/>
      <c r="H581" s="4"/>
      <c r="I581" s="4"/>
      <c r="J581" s="4"/>
      <c r="K581" s="4"/>
      <c r="L581" s="53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76"/>
      <c r="F582" s="53"/>
      <c r="G582" s="4"/>
      <c r="H582" s="4"/>
      <c r="I582" s="4"/>
      <c r="J582" s="4"/>
      <c r="K582" s="4"/>
      <c r="L582" s="53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76"/>
      <c r="F583" s="53"/>
      <c r="G583" s="4"/>
      <c r="H583" s="4"/>
      <c r="I583" s="4"/>
      <c r="J583" s="4"/>
      <c r="K583" s="4"/>
      <c r="L583" s="53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76"/>
      <c r="F584" s="53"/>
      <c r="G584" s="4"/>
      <c r="H584" s="4"/>
      <c r="I584" s="4"/>
      <c r="J584" s="4"/>
      <c r="K584" s="4"/>
      <c r="L584" s="53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76"/>
      <c r="F585" s="53"/>
      <c r="G585" s="4"/>
      <c r="H585" s="4"/>
      <c r="I585" s="4"/>
      <c r="J585" s="4"/>
      <c r="K585" s="4"/>
      <c r="L585" s="53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76"/>
      <c r="F586" s="53"/>
      <c r="G586" s="4"/>
      <c r="H586" s="4"/>
      <c r="I586" s="4"/>
      <c r="J586" s="4"/>
      <c r="K586" s="4"/>
      <c r="L586" s="53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76"/>
      <c r="F587" s="53"/>
      <c r="G587" s="4"/>
      <c r="H587" s="4"/>
      <c r="I587" s="4"/>
      <c r="J587" s="4"/>
      <c r="K587" s="4"/>
      <c r="L587" s="53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76"/>
      <c r="F588" s="53"/>
      <c r="G588" s="4"/>
      <c r="H588" s="4"/>
      <c r="I588" s="4"/>
      <c r="J588" s="4"/>
      <c r="K588" s="4"/>
      <c r="L588" s="53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76"/>
      <c r="F589" s="53"/>
      <c r="G589" s="4"/>
      <c r="H589" s="4"/>
      <c r="I589" s="4"/>
      <c r="J589" s="4"/>
      <c r="K589" s="4"/>
      <c r="L589" s="53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76"/>
      <c r="F590" s="53"/>
      <c r="G590" s="4"/>
      <c r="H590" s="4"/>
      <c r="I590" s="4"/>
      <c r="J590" s="4"/>
      <c r="K590" s="4"/>
      <c r="L590" s="53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76"/>
      <c r="F591" s="53"/>
      <c r="G591" s="4"/>
      <c r="H591" s="4"/>
      <c r="I591" s="4"/>
      <c r="J591" s="4"/>
      <c r="K591" s="4"/>
      <c r="L591" s="53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76"/>
      <c r="F592" s="53"/>
      <c r="G592" s="4"/>
      <c r="H592" s="4"/>
      <c r="I592" s="4"/>
      <c r="J592" s="4"/>
      <c r="K592" s="4"/>
      <c r="L592" s="53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76"/>
      <c r="F593" s="53"/>
      <c r="G593" s="4"/>
      <c r="H593" s="4"/>
      <c r="I593" s="4"/>
      <c r="J593" s="4"/>
      <c r="K593" s="4"/>
      <c r="L593" s="53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76"/>
      <c r="F594" s="53"/>
      <c r="G594" s="4"/>
      <c r="H594" s="4"/>
      <c r="I594" s="4"/>
      <c r="J594" s="4"/>
      <c r="K594" s="4"/>
      <c r="L594" s="53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76"/>
      <c r="F595" s="53"/>
      <c r="G595" s="4"/>
      <c r="H595" s="4"/>
      <c r="I595" s="4"/>
      <c r="J595" s="4"/>
      <c r="K595" s="4"/>
      <c r="L595" s="53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76"/>
      <c r="F596" s="53"/>
      <c r="G596" s="4"/>
      <c r="H596" s="4"/>
      <c r="I596" s="4"/>
      <c r="J596" s="4"/>
      <c r="K596" s="4"/>
      <c r="L596" s="53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76"/>
      <c r="F597" s="53"/>
      <c r="G597" s="4"/>
      <c r="H597" s="4"/>
      <c r="I597" s="4"/>
      <c r="J597" s="4"/>
      <c r="K597" s="4"/>
      <c r="L597" s="53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76"/>
      <c r="F598" s="53"/>
      <c r="G598" s="4"/>
      <c r="H598" s="4"/>
      <c r="I598" s="4"/>
      <c r="J598" s="4"/>
      <c r="K598" s="4"/>
      <c r="L598" s="53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76"/>
      <c r="F599" s="53"/>
      <c r="G599" s="4"/>
      <c r="H599" s="4"/>
      <c r="I599" s="4"/>
      <c r="J599" s="4"/>
      <c r="K599" s="4"/>
      <c r="L599" s="53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76"/>
      <c r="F600" s="53"/>
      <c r="G600" s="4"/>
      <c r="H600" s="4"/>
      <c r="I600" s="4"/>
      <c r="J600" s="4"/>
      <c r="K600" s="4"/>
      <c r="L600" s="53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76"/>
      <c r="F601" s="53"/>
      <c r="G601" s="4"/>
      <c r="H601" s="4"/>
      <c r="I601" s="4"/>
      <c r="J601" s="4"/>
      <c r="K601" s="4"/>
      <c r="L601" s="53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76"/>
      <c r="F602" s="53"/>
      <c r="G602" s="4"/>
      <c r="H602" s="4"/>
      <c r="I602" s="4"/>
      <c r="J602" s="4"/>
      <c r="K602" s="4"/>
      <c r="L602" s="53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76"/>
      <c r="F603" s="53"/>
      <c r="G603" s="4"/>
      <c r="H603" s="4"/>
      <c r="I603" s="4"/>
      <c r="J603" s="4"/>
      <c r="K603" s="4"/>
      <c r="L603" s="53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76"/>
      <c r="F604" s="53"/>
      <c r="G604" s="4"/>
      <c r="H604" s="4"/>
      <c r="I604" s="4"/>
      <c r="J604" s="4"/>
      <c r="K604" s="4"/>
      <c r="L604" s="53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76"/>
      <c r="F605" s="53"/>
      <c r="G605" s="4"/>
      <c r="H605" s="4"/>
      <c r="I605" s="4"/>
      <c r="J605" s="4"/>
      <c r="K605" s="4"/>
      <c r="L605" s="53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76"/>
      <c r="F606" s="53"/>
      <c r="G606" s="4"/>
      <c r="H606" s="4"/>
      <c r="I606" s="4"/>
      <c r="J606" s="4"/>
      <c r="K606" s="4"/>
      <c r="L606" s="53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76"/>
      <c r="F607" s="53"/>
      <c r="G607" s="4"/>
      <c r="H607" s="4"/>
      <c r="I607" s="4"/>
      <c r="J607" s="4"/>
      <c r="K607" s="4"/>
      <c r="L607" s="53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76"/>
      <c r="F608" s="53"/>
      <c r="G608" s="4"/>
      <c r="H608" s="4"/>
      <c r="I608" s="4"/>
      <c r="J608" s="4"/>
      <c r="K608" s="4"/>
      <c r="L608" s="53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76"/>
      <c r="F609" s="53"/>
      <c r="G609" s="4"/>
      <c r="H609" s="4"/>
      <c r="I609" s="4"/>
      <c r="J609" s="4"/>
      <c r="K609" s="4"/>
      <c r="L609" s="53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76"/>
      <c r="F610" s="53"/>
      <c r="G610" s="4"/>
      <c r="H610" s="4"/>
      <c r="I610" s="4"/>
      <c r="J610" s="4"/>
      <c r="K610" s="4"/>
      <c r="L610" s="53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76"/>
      <c r="F611" s="53"/>
      <c r="G611" s="4"/>
      <c r="H611" s="4"/>
      <c r="I611" s="4"/>
      <c r="J611" s="4"/>
      <c r="K611" s="4"/>
      <c r="L611" s="53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76"/>
      <c r="F612" s="53"/>
      <c r="G612" s="4"/>
      <c r="H612" s="4"/>
      <c r="I612" s="4"/>
      <c r="J612" s="4"/>
      <c r="K612" s="4"/>
      <c r="L612" s="53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76"/>
      <c r="F613" s="53"/>
      <c r="G613" s="4"/>
      <c r="H613" s="4"/>
      <c r="I613" s="4"/>
      <c r="J613" s="4"/>
      <c r="K613" s="4"/>
      <c r="L613" s="53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76"/>
      <c r="F614" s="53"/>
      <c r="G614" s="4"/>
      <c r="H614" s="4"/>
      <c r="I614" s="4"/>
      <c r="J614" s="4"/>
      <c r="K614" s="4"/>
      <c r="L614" s="53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76"/>
      <c r="F615" s="53"/>
      <c r="G615" s="4"/>
      <c r="H615" s="4"/>
      <c r="I615" s="4"/>
      <c r="J615" s="4"/>
      <c r="K615" s="4"/>
      <c r="L615" s="53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76"/>
      <c r="F616" s="53"/>
      <c r="G616" s="4"/>
      <c r="H616" s="4"/>
      <c r="I616" s="4"/>
      <c r="J616" s="4"/>
      <c r="K616" s="4"/>
      <c r="L616" s="53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76"/>
      <c r="F617" s="53"/>
      <c r="G617" s="4"/>
      <c r="H617" s="4"/>
      <c r="I617" s="4"/>
      <c r="J617" s="4"/>
      <c r="K617" s="4"/>
      <c r="L617" s="53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76"/>
      <c r="F618" s="53"/>
      <c r="G618" s="4"/>
      <c r="H618" s="4"/>
      <c r="I618" s="4"/>
      <c r="J618" s="4"/>
      <c r="K618" s="4"/>
      <c r="L618" s="53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76"/>
      <c r="F619" s="53"/>
      <c r="G619" s="4"/>
      <c r="H619" s="4"/>
      <c r="I619" s="4"/>
      <c r="J619" s="4"/>
      <c r="K619" s="4"/>
      <c r="L619" s="53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76"/>
      <c r="F620" s="53"/>
      <c r="G620" s="4"/>
      <c r="H620" s="4"/>
      <c r="I620" s="4"/>
      <c r="J620" s="4"/>
      <c r="K620" s="4"/>
      <c r="L620" s="53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76"/>
      <c r="F621" s="53"/>
      <c r="G621" s="4"/>
      <c r="H621" s="4"/>
      <c r="I621" s="4"/>
      <c r="J621" s="4"/>
      <c r="K621" s="4"/>
      <c r="L621" s="53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76"/>
      <c r="F622" s="53"/>
      <c r="G622" s="4"/>
      <c r="H622" s="4"/>
      <c r="I622" s="4"/>
      <c r="J622" s="4"/>
      <c r="K622" s="4"/>
      <c r="L622" s="53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76"/>
      <c r="F623" s="53"/>
      <c r="G623" s="4"/>
      <c r="H623" s="4"/>
      <c r="I623" s="4"/>
      <c r="J623" s="4"/>
      <c r="K623" s="4"/>
      <c r="L623" s="53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76"/>
      <c r="F624" s="53"/>
      <c r="G624" s="4"/>
      <c r="H624" s="4"/>
      <c r="I624" s="4"/>
      <c r="J624" s="4"/>
      <c r="K624" s="4"/>
      <c r="L624" s="53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76"/>
      <c r="F625" s="53"/>
      <c r="G625" s="4"/>
      <c r="H625" s="4"/>
      <c r="I625" s="4"/>
      <c r="J625" s="4"/>
      <c r="K625" s="4"/>
      <c r="L625" s="53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76"/>
      <c r="F626" s="53"/>
      <c r="G626" s="4"/>
      <c r="H626" s="4"/>
      <c r="I626" s="4"/>
      <c r="J626" s="4"/>
      <c r="K626" s="4"/>
      <c r="L626" s="53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76"/>
      <c r="F627" s="53"/>
      <c r="G627" s="4"/>
      <c r="H627" s="4"/>
      <c r="I627" s="4"/>
      <c r="J627" s="4"/>
      <c r="K627" s="4"/>
      <c r="L627" s="53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76"/>
      <c r="F628" s="53"/>
      <c r="G628" s="4"/>
      <c r="H628" s="4"/>
      <c r="I628" s="4"/>
      <c r="J628" s="4"/>
      <c r="K628" s="4"/>
      <c r="L628" s="53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76"/>
      <c r="F629" s="53"/>
      <c r="G629" s="4"/>
      <c r="H629" s="4"/>
      <c r="I629" s="4"/>
      <c r="J629" s="4"/>
      <c r="K629" s="4"/>
      <c r="L629" s="53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76"/>
      <c r="F630" s="53"/>
      <c r="G630" s="4"/>
      <c r="H630" s="4"/>
      <c r="I630" s="4"/>
      <c r="J630" s="4"/>
      <c r="K630" s="4"/>
      <c r="L630" s="53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76"/>
      <c r="F631" s="53"/>
      <c r="G631" s="4"/>
      <c r="H631" s="4"/>
      <c r="I631" s="4"/>
      <c r="J631" s="4"/>
      <c r="K631" s="4"/>
      <c r="L631" s="53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76"/>
      <c r="F632" s="53"/>
      <c r="G632" s="4"/>
      <c r="H632" s="4"/>
      <c r="I632" s="4"/>
      <c r="J632" s="4"/>
      <c r="K632" s="4"/>
      <c r="L632" s="53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76"/>
      <c r="F633" s="53"/>
      <c r="G633" s="4"/>
      <c r="H633" s="4"/>
      <c r="I633" s="4"/>
      <c r="J633" s="4"/>
      <c r="K633" s="4"/>
      <c r="L633" s="53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76"/>
      <c r="F634" s="53"/>
      <c r="G634" s="4"/>
      <c r="H634" s="4"/>
      <c r="I634" s="4"/>
      <c r="J634" s="4"/>
      <c r="K634" s="4"/>
      <c r="L634" s="53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76"/>
      <c r="F635" s="53"/>
      <c r="G635" s="4"/>
      <c r="H635" s="4"/>
      <c r="I635" s="4"/>
      <c r="J635" s="4"/>
      <c r="K635" s="4"/>
      <c r="L635" s="53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76"/>
      <c r="F636" s="53"/>
      <c r="G636" s="4"/>
      <c r="H636" s="4"/>
      <c r="I636" s="4"/>
      <c r="J636" s="4"/>
      <c r="K636" s="4"/>
      <c r="L636" s="53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76"/>
      <c r="F637" s="53"/>
      <c r="G637" s="4"/>
      <c r="H637" s="4"/>
      <c r="I637" s="4"/>
      <c r="J637" s="4"/>
      <c r="K637" s="4"/>
      <c r="L637" s="53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76"/>
      <c r="F638" s="53"/>
      <c r="G638" s="4"/>
      <c r="H638" s="4"/>
      <c r="I638" s="4"/>
      <c r="J638" s="4"/>
      <c r="K638" s="4"/>
      <c r="L638" s="53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76"/>
      <c r="F639" s="53"/>
      <c r="G639" s="4"/>
      <c r="H639" s="4"/>
      <c r="I639" s="4"/>
      <c r="J639" s="4"/>
      <c r="K639" s="4"/>
      <c r="L639" s="53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76"/>
      <c r="F640" s="53"/>
      <c r="G640" s="4"/>
      <c r="H640" s="4"/>
      <c r="I640" s="4"/>
      <c r="J640" s="4"/>
      <c r="K640" s="4"/>
      <c r="L640" s="53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76"/>
      <c r="F641" s="53"/>
      <c r="G641" s="4"/>
      <c r="H641" s="4"/>
      <c r="I641" s="4"/>
      <c r="J641" s="4"/>
      <c r="K641" s="4"/>
      <c r="L641" s="53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76"/>
      <c r="F642" s="53"/>
      <c r="G642" s="4"/>
      <c r="H642" s="4"/>
      <c r="I642" s="4"/>
      <c r="J642" s="4"/>
      <c r="K642" s="4"/>
      <c r="L642" s="53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76"/>
      <c r="F643" s="53"/>
      <c r="G643" s="4"/>
      <c r="H643" s="4"/>
      <c r="I643" s="4"/>
      <c r="J643" s="4"/>
      <c r="K643" s="4"/>
      <c r="L643" s="53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76"/>
      <c r="F644" s="53"/>
      <c r="G644" s="4"/>
      <c r="H644" s="4"/>
      <c r="I644" s="4"/>
      <c r="J644" s="4"/>
      <c r="K644" s="4"/>
      <c r="L644" s="53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76"/>
      <c r="F645" s="53"/>
      <c r="G645" s="4"/>
      <c r="H645" s="4"/>
      <c r="I645" s="4"/>
      <c r="J645" s="4"/>
      <c r="K645" s="4"/>
      <c r="L645" s="53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76"/>
      <c r="F646" s="53"/>
      <c r="G646" s="4"/>
      <c r="H646" s="4"/>
      <c r="I646" s="4"/>
      <c r="J646" s="4"/>
      <c r="K646" s="4"/>
      <c r="L646" s="53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76"/>
      <c r="F647" s="53"/>
      <c r="G647" s="4"/>
      <c r="H647" s="4"/>
      <c r="I647" s="4"/>
      <c r="J647" s="4"/>
      <c r="K647" s="4"/>
      <c r="L647" s="53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76"/>
      <c r="F648" s="53"/>
      <c r="G648" s="4"/>
      <c r="H648" s="4"/>
      <c r="I648" s="4"/>
      <c r="J648" s="4"/>
      <c r="K648" s="4"/>
      <c r="L648" s="53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76"/>
      <c r="F649" s="53"/>
      <c r="G649" s="4"/>
      <c r="H649" s="4"/>
      <c r="I649" s="4"/>
      <c r="J649" s="4"/>
      <c r="K649" s="4"/>
      <c r="L649" s="53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76"/>
      <c r="F650" s="53"/>
      <c r="G650" s="4"/>
      <c r="H650" s="4"/>
      <c r="I650" s="4"/>
      <c r="J650" s="4"/>
      <c r="K650" s="4"/>
      <c r="L650" s="53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76"/>
      <c r="F651" s="53"/>
      <c r="G651" s="4"/>
      <c r="H651" s="4"/>
      <c r="I651" s="4"/>
      <c r="J651" s="4"/>
      <c r="K651" s="4"/>
      <c r="L651" s="53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76"/>
      <c r="F652" s="53"/>
      <c r="G652" s="4"/>
      <c r="H652" s="4"/>
      <c r="I652" s="4"/>
      <c r="J652" s="4"/>
      <c r="K652" s="4"/>
      <c r="L652" s="53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76"/>
      <c r="F653" s="53"/>
      <c r="G653" s="4"/>
      <c r="H653" s="4"/>
      <c r="I653" s="4"/>
      <c r="J653" s="4"/>
      <c r="K653" s="4"/>
      <c r="L653" s="53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76"/>
      <c r="F654" s="53"/>
      <c r="G654" s="4"/>
      <c r="H654" s="4"/>
      <c r="I654" s="4"/>
      <c r="J654" s="4"/>
      <c r="K654" s="4"/>
      <c r="L654" s="53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76"/>
      <c r="F655" s="53"/>
      <c r="G655" s="4"/>
      <c r="H655" s="4"/>
      <c r="I655" s="4"/>
      <c r="J655" s="4"/>
      <c r="K655" s="4"/>
      <c r="L655" s="53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76"/>
      <c r="F656" s="53"/>
      <c r="G656" s="4"/>
      <c r="H656" s="4"/>
      <c r="I656" s="4"/>
      <c r="J656" s="4"/>
      <c r="K656" s="4"/>
      <c r="L656" s="53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76"/>
      <c r="F657" s="53"/>
      <c r="G657" s="4"/>
      <c r="H657" s="4"/>
      <c r="I657" s="4"/>
      <c r="J657" s="4"/>
      <c r="K657" s="4"/>
      <c r="L657" s="53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76"/>
      <c r="F658" s="53"/>
      <c r="G658" s="4"/>
      <c r="H658" s="4"/>
      <c r="I658" s="4"/>
      <c r="J658" s="4"/>
      <c r="K658" s="4"/>
      <c r="L658" s="53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76"/>
      <c r="F659" s="53"/>
      <c r="G659" s="4"/>
      <c r="H659" s="4"/>
      <c r="I659" s="4"/>
      <c r="J659" s="4"/>
      <c r="K659" s="4"/>
      <c r="L659" s="53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76"/>
      <c r="F660" s="53"/>
      <c r="G660" s="4"/>
      <c r="H660" s="4"/>
      <c r="I660" s="4"/>
      <c r="J660" s="4"/>
      <c r="K660" s="4"/>
      <c r="L660" s="53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76"/>
      <c r="F661" s="53"/>
      <c r="G661" s="4"/>
      <c r="H661" s="4"/>
      <c r="I661" s="4"/>
      <c r="J661" s="4"/>
      <c r="K661" s="4"/>
      <c r="L661" s="53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76"/>
      <c r="F662" s="53"/>
      <c r="G662" s="4"/>
      <c r="H662" s="4"/>
      <c r="I662" s="4"/>
      <c r="J662" s="4"/>
      <c r="K662" s="4"/>
      <c r="L662" s="53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76"/>
      <c r="F663" s="53"/>
      <c r="G663" s="4"/>
      <c r="H663" s="4"/>
      <c r="I663" s="4"/>
      <c r="J663" s="4"/>
      <c r="K663" s="4"/>
      <c r="L663" s="53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76"/>
      <c r="F664" s="53"/>
      <c r="G664" s="4"/>
      <c r="H664" s="4"/>
      <c r="I664" s="4"/>
      <c r="J664" s="4"/>
      <c r="K664" s="4"/>
      <c r="L664" s="53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76"/>
      <c r="F665" s="53"/>
      <c r="G665" s="4"/>
      <c r="H665" s="4"/>
      <c r="I665" s="4"/>
      <c r="J665" s="4"/>
      <c r="K665" s="4"/>
      <c r="L665" s="53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76"/>
      <c r="F666" s="53"/>
      <c r="G666" s="4"/>
      <c r="H666" s="4"/>
      <c r="I666" s="4"/>
      <c r="J666" s="4"/>
      <c r="K666" s="4"/>
      <c r="L666" s="53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76"/>
      <c r="F667" s="53"/>
      <c r="G667" s="4"/>
      <c r="H667" s="4"/>
      <c r="I667" s="4"/>
      <c r="J667" s="4"/>
      <c r="K667" s="4"/>
      <c r="L667" s="53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76"/>
      <c r="F668" s="53"/>
      <c r="G668" s="4"/>
      <c r="H668" s="4"/>
      <c r="I668" s="4"/>
      <c r="J668" s="4"/>
      <c r="K668" s="4"/>
      <c r="L668" s="53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76"/>
      <c r="F669" s="53"/>
      <c r="G669" s="4"/>
      <c r="H669" s="4"/>
      <c r="I669" s="4"/>
      <c r="J669" s="4"/>
      <c r="K669" s="4"/>
      <c r="L669" s="53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76"/>
      <c r="F670" s="53"/>
      <c r="G670" s="4"/>
      <c r="H670" s="4"/>
      <c r="I670" s="4"/>
      <c r="J670" s="4"/>
      <c r="K670" s="4"/>
      <c r="L670" s="53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76"/>
      <c r="F671" s="53"/>
      <c r="G671" s="4"/>
      <c r="H671" s="4"/>
      <c r="I671" s="4"/>
      <c r="J671" s="4"/>
      <c r="K671" s="4"/>
      <c r="L671" s="53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76"/>
      <c r="F672" s="53"/>
      <c r="G672" s="4"/>
      <c r="H672" s="4"/>
      <c r="I672" s="4"/>
      <c r="J672" s="4"/>
      <c r="K672" s="4"/>
      <c r="L672" s="53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76"/>
      <c r="F673" s="53"/>
      <c r="G673" s="4"/>
      <c r="H673" s="4"/>
      <c r="I673" s="4"/>
      <c r="J673" s="4"/>
      <c r="K673" s="4"/>
      <c r="L673" s="53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76"/>
      <c r="F674" s="53"/>
      <c r="G674" s="4"/>
      <c r="H674" s="4"/>
      <c r="I674" s="4"/>
      <c r="J674" s="4"/>
      <c r="K674" s="4"/>
      <c r="L674" s="53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76"/>
      <c r="F675" s="53"/>
      <c r="G675" s="4"/>
      <c r="H675" s="4"/>
      <c r="I675" s="4"/>
      <c r="J675" s="4"/>
      <c r="K675" s="4"/>
      <c r="L675" s="53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76"/>
      <c r="F676" s="53"/>
      <c r="G676" s="4"/>
      <c r="H676" s="4"/>
      <c r="I676" s="4"/>
      <c r="J676" s="4"/>
      <c r="K676" s="4"/>
      <c r="L676" s="53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76"/>
      <c r="F677" s="53"/>
      <c r="G677" s="4"/>
      <c r="H677" s="4"/>
      <c r="I677" s="4"/>
      <c r="J677" s="4"/>
      <c r="K677" s="4"/>
      <c r="L677" s="53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76"/>
      <c r="F678" s="53"/>
      <c r="G678" s="4"/>
      <c r="H678" s="4"/>
      <c r="I678" s="4"/>
      <c r="J678" s="4"/>
      <c r="K678" s="4"/>
      <c r="L678" s="53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76"/>
      <c r="F679" s="53"/>
      <c r="G679" s="4"/>
      <c r="H679" s="4"/>
      <c r="I679" s="4"/>
      <c r="J679" s="4"/>
      <c r="K679" s="4"/>
      <c r="L679" s="53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76"/>
      <c r="F680" s="53"/>
      <c r="G680" s="4"/>
      <c r="H680" s="4"/>
      <c r="I680" s="4"/>
      <c r="J680" s="4"/>
      <c r="K680" s="4"/>
      <c r="L680" s="53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76"/>
      <c r="F681" s="53"/>
      <c r="G681" s="4"/>
      <c r="H681" s="4"/>
      <c r="I681" s="4"/>
      <c r="J681" s="4"/>
      <c r="K681" s="4"/>
      <c r="L681" s="53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76"/>
      <c r="F682" s="53"/>
      <c r="G682" s="4"/>
      <c r="H682" s="4"/>
      <c r="I682" s="4"/>
      <c r="J682" s="4"/>
      <c r="K682" s="4"/>
      <c r="L682" s="53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76"/>
      <c r="F683" s="53"/>
      <c r="G683" s="4"/>
      <c r="H683" s="4"/>
      <c r="I683" s="4"/>
      <c r="J683" s="4"/>
      <c r="K683" s="4"/>
      <c r="L683" s="53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76"/>
      <c r="F684" s="53"/>
      <c r="G684" s="4"/>
      <c r="H684" s="4"/>
      <c r="I684" s="4"/>
      <c r="J684" s="4"/>
      <c r="K684" s="4"/>
      <c r="L684" s="53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76"/>
      <c r="F685" s="53"/>
      <c r="G685" s="4"/>
      <c r="H685" s="4"/>
      <c r="I685" s="4"/>
      <c r="J685" s="4"/>
      <c r="K685" s="4"/>
      <c r="L685" s="53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76"/>
      <c r="F686" s="53"/>
      <c r="G686" s="4"/>
      <c r="H686" s="4"/>
      <c r="I686" s="4"/>
      <c r="J686" s="4"/>
      <c r="K686" s="4"/>
      <c r="L686" s="53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76"/>
      <c r="F687" s="53"/>
      <c r="G687" s="4"/>
      <c r="H687" s="4"/>
      <c r="I687" s="4"/>
      <c r="J687" s="4"/>
      <c r="K687" s="4"/>
      <c r="L687" s="53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76"/>
      <c r="F688" s="53"/>
      <c r="G688" s="4"/>
      <c r="H688" s="4"/>
      <c r="I688" s="4"/>
      <c r="J688" s="4"/>
      <c r="K688" s="4"/>
      <c r="L688" s="53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76"/>
      <c r="F689" s="53"/>
      <c r="G689" s="4"/>
      <c r="H689" s="4"/>
      <c r="I689" s="4"/>
      <c r="J689" s="4"/>
      <c r="K689" s="4"/>
      <c r="L689" s="53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76"/>
      <c r="F690" s="53"/>
      <c r="G690" s="4"/>
      <c r="H690" s="4"/>
      <c r="I690" s="4"/>
      <c r="J690" s="4"/>
      <c r="K690" s="4"/>
      <c r="L690" s="53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76"/>
      <c r="F691" s="53"/>
      <c r="G691" s="4"/>
      <c r="H691" s="4"/>
      <c r="I691" s="4"/>
      <c r="J691" s="4"/>
      <c r="K691" s="4"/>
      <c r="L691" s="53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76"/>
      <c r="F692" s="53"/>
      <c r="G692" s="4"/>
      <c r="H692" s="4"/>
      <c r="I692" s="4"/>
      <c r="J692" s="4"/>
      <c r="K692" s="4"/>
      <c r="L692" s="53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76"/>
      <c r="F693" s="53"/>
      <c r="G693" s="4"/>
      <c r="H693" s="4"/>
      <c r="I693" s="4"/>
      <c r="J693" s="4"/>
      <c r="K693" s="4"/>
      <c r="L693" s="53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76"/>
      <c r="F694" s="53"/>
      <c r="G694" s="4"/>
      <c r="H694" s="4"/>
      <c r="I694" s="4"/>
      <c r="J694" s="4"/>
      <c r="K694" s="4"/>
      <c r="L694" s="53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76"/>
      <c r="F695" s="53"/>
      <c r="G695" s="4"/>
      <c r="H695" s="4"/>
      <c r="I695" s="4"/>
      <c r="J695" s="4"/>
      <c r="K695" s="4"/>
      <c r="L695" s="53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76"/>
      <c r="F696" s="53"/>
      <c r="G696" s="4"/>
      <c r="H696" s="4"/>
      <c r="I696" s="4"/>
      <c r="J696" s="4"/>
      <c r="K696" s="4"/>
      <c r="L696" s="53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76"/>
      <c r="F697" s="53"/>
      <c r="G697" s="4"/>
      <c r="H697" s="4"/>
      <c r="I697" s="4"/>
      <c r="J697" s="4"/>
      <c r="K697" s="4"/>
      <c r="L697" s="53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76"/>
      <c r="F698" s="53"/>
      <c r="G698" s="4"/>
      <c r="H698" s="4"/>
      <c r="I698" s="4"/>
      <c r="J698" s="4"/>
      <c r="K698" s="4"/>
      <c r="L698" s="53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76"/>
      <c r="F699" s="53"/>
      <c r="G699" s="4"/>
      <c r="H699" s="4"/>
      <c r="I699" s="4"/>
      <c r="J699" s="4"/>
      <c r="K699" s="4"/>
      <c r="L699" s="53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76"/>
      <c r="F700" s="53"/>
      <c r="G700" s="4"/>
      <c r="H700" s="4"/>
      <c r="I700" s="4"/>
      <c r="J700" s="4"/>
      <c r="K700" s="4"/>
      <c r="L700" s="53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76"/>
      <c r="F701" s="53"/>
      <c r="G701" s="4"/>
      <c r="H701" s="4"/>
      <c r="I701" s="4"/>
      <c r="J701" s="4"/>
      <c r="K701" s="4"/>
      <c r="L701" s="53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76"/>
      <c r="F702" s="53"/>
      <c r="G702" s="4"/>
      <c r="H702" s="4"/>
      <c r="I702" s="4"/>
      <c r="J702" s="4"/>
      <c r="K702" s="4"/>
      <c r="L702" s="53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76"/>
      <c r="F703" s="53"/>
      <c r="G703" s="4"/>
      <c r="H703" s="4"/>
      <c r="I703" s="4"/>
      <c r="J703" s="4"/>
      <c r="K703" s="4"/>
      <c r="L703" s="53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76"/>
      <c r="F704" s="53"/>
      <c r="G704" s="4"/>
      <c r="H704" s="4"/>
      <c r="I704" s="4"/>
      <c r="J704" s="4"/>
      <c r="K704" s="4"/>
      <c r="L704" s="53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76"/>
      <c r="F705" s="53"/>
      <c r="G705" s="4"/>
      <c r="H705" s="4"/>
      <c r="I705" s="4"/>
      <c r="J705" s="4"/>
      <c r="K705" s="4"/>
      <c r="L705" s="53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76"/>
      <c r="F706" s="53"/>
      <c r="G706" s="4"/>
      <c r="H706" s="4"/>
      <c r="I706" s="4"/>
      <c r="J706" s="4"/>
      <c r="K706" s="4"/>
      <c r="L706" s="53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76"/>
      <c r="F707" s="53"/>
      <c r="G707" s="4"/>
      <c r="H707" s="4"/>
      <c r="I707" s="4"/>
      <c r="J707" s="4"/>
      <c r="K707" s="4"/>
      <c r="L707" s="53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76"/>
      <c r="F708" s="53"/>
      <c r="G708" s="4"/>
      <c r="H708" s="4"/>
      <c r="I708" s="4"/>
      <c r="J708" s="4"/>
      <c r="K708" s="4"/>
      <c r="L708" s="53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76"/>
      <c r="F709" s="53"/>
      <c r="G709" s="4"/>
      <c r="H709" s="4"/>
      <c r="I709" s="4"/>
      <c r="J709" s="4"/>
      <c r="K709" s="4"/>
      <c r="L709" s="53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76"/>
      <c r="F710" s="53"/>
      <c r="G710" s="4"/>
      <c r="H710" s="4"/>
      <c r="I710" s="4"/>
      <c r="J710" s="4"/>
      <c r="K710" s="4"/>
      <c r="L710" s="53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76"/>
      <c r="F711" s="53"/>
      <c r="G711" s="4"/>
      <c r="H711" s="4"/>
      <c r="I711" s="4"/>
      <c r="J711" s="4"/>
      <c r="K711" s="4"/>
      <c r="L711" s="53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76"/>
      <c r="F712" s="53"/>
      <c r="G712" s="4"/>
      <c r="H712" s="4"/>
      <c r="I712" s="4"/>
      <c r="J712" s="4"/>
      <c r="K712" s="4"/>
      <c r="L712" s="53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76"/>
      <c r="F713" s="53"/>
      <c r="G713" s="4"/>
      <c r="H713" s="4"/>
      <c r="I713" s="4"/>
      <c r="J713" s="4"/>
      <c r="K713" s="4"/>
      <c r="L713" s="53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76"/>
      <c r="F714" s="53"/>
      <c r="G714" s="4"/>
      <c r="H714" s="4"/>
      <c r="I714" s="4"/>
      <c r="J714" s="4"/>
      <c r="K714" s="4"/>
      <c r="L714" s="53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76"/>
      <c r="F715" s="53"/>
      <c r="G715" s="4"/>
      <c r="H715" s="4"/>
      <c r="I715" s="4"/>
      <c r="J715" s="4"/>
      <c r="K715" s="4"/>
      <c r="L715" s="53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76"/>
      <c r="F716" s="53"/>
      <c r="G716" s="4"/>
      <c r="H716" s="4"/>
      <c r="I716" s="4"/>
      <c r="J716" s="4"/>
      <c r="K716" s="4"/>
      <c r="L716" s="53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76"/>
      <c r="F717" s="53"/>
      <c r="G717" s="4"/>
      <c r="H717" s="4"/>
      <c r="I717" s="4"/>
      <c r="J717" s="4"/>
      <c r="K717" s="4"/>
      <c r="L717" s="53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76"/>
      <c r="F718" s="53"/>
      <c r="G718" s="4"/>
      <c r="H718" s="4"/>
      <c r="I718" s="4"/>
      <c r="J718" s="4"/>
      <c r="K718" s="4"/>
      <c r="L718" s="53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76"/>
      <c r="F719" s="53"/>
      <c r="G719" s="4"/>
      <c r="H719" s="4"/>
      <c r="I719" s="4"/>
      <c r="J719" s="4"/>
      <c r="K719" s="4"/>
      <c r="L719" s="53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76"/>
      <c r="F720" s="53"/>
      <c r="G720" s="4"/>
      <c r="H720" s="4"/>
      <c r="I720" s="4"/>
      <c r="J720" s="4"/>
      <c r="K720" s="4"/>
      <c r="L720" s="53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76"/>
      <c r="F721" s="53"/>
      <c r="G721" s="4"/>
      <c r="H721" s="4"/>
      <c r="I721" s="4"/>
      <c r="J721" s="4"/>
      <c r="K721" s="4"/>
      <c r="L721" s="53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76"/>
      <c r="F722" s="53"/>
      <c r="G722" s="4"/>
      <c r="H722" s="4"/>
      <c r="I722" s="4"/>
      <c r="J722" s="4"/>
      <c r="K722" s="4"/>
      <c r="L722" s="53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76"/>
      <c r="F723" s="53"/>
      <c r="G723" s="4"/>
      <c r="H723" s="4"/>
      <c r="I723" s="4"/>
      <c r="J723" s="4"/>
      <c r="K723" s="4"/>
      <c r="L723" s="53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76"/>
      <c r="F724" s="53"/>
      <c r="G724" s="4"/>
      <c r="H724" s="4"/>
      <c r="I724" s="4"/>
      <c r="J724" s="4"/>
      <c r="K724" s="4"/>
      <c r="L724" s="53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76"/>
      <c r="F725" s="53"/>
      <c r="G725" s="4"/>
      <c r="H725" s="4"/>
      <c r="I725" s="4"/>
      <c r="J725" s="4"/>
      <c r="K725" s="4"/>
      <c r="L725" s="53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76"/>
      <c r="F726" s="53"/>
      <c r="G726" s="4"/>
      <c r="H726" s="4"/>
      <c r="I726" s="4"/>
      <c r="J726" s="4"/>
      <c r="K726" s="4"/>
      <c r="L726" s="53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76"/>
      <c r="F727" s="53"/>
      <c r="G727" s="4"/>
      <c r="H727" s="4"/>
      <c r="I727" s="4"/>
      <c r="J727" s="4"/>
      <c r="K727" s="4"/>
      <c r="L727" s="53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76"/>
      <c r="F728" s="53"/>
      <c r="G728" s="4"/>
      <c r="H728" s="4"/>
      <c r="I728" s="4"/>
      <c r="J728" s="4"/>
      <c r="K728" s="4"/>
      <c r="L728" s="53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76"/>
      <c r="F729" s="53"/>
      <c r="G729" s="4"/>
      <c r="H729" s="4"/>
      <c r="I729" s="4"/>
      <c r="J729" s="4"/>
      <c r="K729" s="4"/>
      <c r="L729" s="53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76"/>
      <c r="F730" s="53"/>
      <c r="G730" s="4"/>
      <c r="H730" s="4"/>
      <c r="I730" s="4"/>
      <c r="J730" s="4"/>
      <c r="K730" s="4"/>
      <c r="L730" s="53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76"/>
      <c r="F731" s="53"/>
      <c r="G731" s="4"/>
      <c r="H731" s="4"/>
      <c r="I731" s="4"/>
      <c r="J731" s="4"/>
      <c r="K731" s="4"/>
      <c r="L731" s="53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76"/>
      <c r="F732" s="53"/>
      <c r="G732" s="4"/>
      <c r="H732" s="4"/>
      <c r="I732" s="4"/>
      <c r="J732" s="4"/>
      <c r="K732" s="4"/>
      <c r="L732" s="53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76"/>
      <c r="F733" s="53"/>
      <c r="G733" s="4"/>
      <c r="H733" s="4"/>
      <c r="I733" s="4"/>
      <c r="J733" s="4"/>
      <c r="K733" s="4"/>
      <c r="L733" s="53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76"/>
      <c r="F734" s="53"/>
      <c r="G734" s="4"/>
      <c r="H734" s="4"/>
      <c r="I734" s="4"/>
      <c r="J734" s="4"/>
      <c r="K734" s="4"/>
      <c r="L734" s="53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76"/>
      <c r="F735" s="53"/>
      <c r="G735" s="4"/>
      <c r="H735" s="4"/>
      <c r="I735" s="4"/>
      <c r="J735" s="4"/>
      <c r="K735" s="4"/>
      <c r="L735" s="53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76"/>
      <c r="F736" s="53"/>
      <c r="G736" s="4"/>
      <c r="H736" s="4"/>
      <c r="I736" s="4"/>
      <c r="J736" s="4"/>
      <c r="K736" s="4"/>
      <c r="L736" s="53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76"/>
      <c r="F737" s="53"/>
      <c r="G737" s="4"/>
      <c r="H737" s="4"/>
      <c r="I737" s="4"/>
      <c r="J737" s="4"/>
      <c r="K737" s="4"/>
      <c r="L737" s="53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76"/>
      <c r="F738" s="53"/>
      <c r="G738" s="4"/>
      <c r="H738" s="4"/>
      <c r="I738" s="4"/>
      <c r="J738" s="4"/>
      <c r="K738" s="4"/>
      <c r="L738" s="53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76"/>
      <c r="F739" s="53"/>
      <c r="G739" s="4"/>
      <c r="H739" s="4"/>
      <c r="I739" s="4"/>
      <c r="J739" s="4"/>
      <c r="K739" s="4"/>
      <c r="L739" s="53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76"/>
      <c r="F740" s="53"/>
      <c r="G740" s="4"/>
      <c r="H740" s="4"/>
      <c r="I740" s="4"/>
      <c r="J740" s="4"/>
      <c r="K740" s="4"/>
      <c r="L740" s="53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76"/>
      <c r="F741" s="53"/>
      <c r="G741" s="4"/>
      <c r="H741" s="4"/>
      <c r="I741" s="4"/>
      <c r="J741" s="4"/>
      <c r="K741" s="4"/>
      <c r="L741" s="53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76"/>
      <c r="F742" s="53"/>
      <c r="G742" s="4"/>
      <c r="H742" s="4"/>
      <c r="I742" s="4"/>
      <c r="J742" s="4"/>
      <c r="K742" s="4"/>
      <c r="L742" s="53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76"/>
      <c r="F743" s="53"/>
      <c r="G743" s="4"/>
      <c r="H743" s="4"/>
      <c r="I743" s="4"/>
      <c r="J743" s="4"/>
      <c r="K743" s="4"/>
      <c r="L743" s="53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76"/>
      <c r="F744" s="53"/>
      <c r="G744" s="4"/>
      <c r="H744" s="4"/>
      <c r="I744" s="4"/>
      <c r="J744" s="4"/>
      <c r="K744" s="4"/>
      <c r="L744" s="53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76"/>
      <c r="F745" s="53"/>
      <c r="G745" s="4"/>
      <c r="H745" s="4"/>
      <c r="I745" s="4"/>
      <c r="J745" s="4"/>
      <c r="K745" s="4"/>
      <c r="L745" s="53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76"/>
      <c r="F746" s="53"/>
      <c r="G746" s="4"/>
      <c r="H746" s="4"/>
      <c r="I746" s="4"/>
      <c r="J746" s="4"/>
      <c r="K746" s="4"/>
      <c r="L746" s="53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76"/>
      <c r="F747" s="53"/>
      <c r="G747" s="4"/>
      <c r="H747" s="4"/>
      <c r="I747" s="4"/>
      <c r="J747" s="4"/>
      <c r="K747" s="4"/>
      <c r="L747" s="53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76"/>
      <c r="F748" s="53"/>
      <c r="G748" s="4"/>
      <c r="H748" s="4"/>
      <c r="I748" s="4"/>
      <c r="J748" s="4"/>
      <c r="K748" s="4"/>
      <c r="L748" s="53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76"/>
      <c r="F749" s="53"/>
      <c r="G749" s="4"/>
      <c r="H749" s="4"/>
      <c r="I749" s="4"/>
      <c r="J749" s="4"/>
      <c r="K749" s="4"/>
      <c r="L749" s="53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76"/>
      <c r="F750" s="53"/>
      <c r="G750" s="4"/>
      <c r="H750" s="4"/>
      <c r="I750" s="4"/>
      <c r="J750" s="4"/>
      <c r="K750" s="4"/>
      <c r="L750" s="53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76"/>
      <c r="F751" s="53"/>
      <c r="G751" s="4"/>
      <c r="H751" s="4"/>
      <c r="I751" s="4"/>
      <c r="J751" s="4"/>
      <c r="K751" s="4"/>
      <c r="L751" s="53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76"/>
      <c r="F752" s="53"/>
      <c r="G752" s="4"/>
      <c r="H752" s="4"/>
      <c r="I752" s="4"/>
      <c r="J752" s="4"/>
      <c r="K752" s="4"/>
      <c r="L752" s="53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76"/>
      <c r="F753" s="53"/>
      <c r="G753" s="4"/>
      <c r="H753" s="4"/>
      <c r="I753" s="4"/>
      <c r="J753" s="4"/>
      <c r="K753" s="4"/>
      <c r="L753" s="53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76"/>
      <c r="F754" s="53"/>
      <c r="G754" s="4"/>
      <c r="H754" s="4"/>
      <c r="I754" s="4"/>
      <c r="J754" s="4"/>
      <c r="K754" s="4"/>
      <c r="L754" s="53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76"/>
      <c r="F755" s="53"/>
      <c r="G755" s="4"/>
      <c r="H755" s="4"/>
      <c r="I755" s="4"/>
      <c r="J755" s="4"/>
      <c r="K755" s="4"/>
      <c r="L755" s="53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76"/>
      <c r="F756" s="53"/>
      <c r="G756" s="4"/>
      <c r="H756" s="4"/>
      <c r="I756" s="4"/>
      <c r="J756" s="4"/>
      <c r="K756" s="4"/>
      <c r="L756" s="53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76"/>
      <c r="F757" s="53"/>
      <c r="G757" s="4"/>
      <c r="H757" s="4"/>
      <c r="I757" s="4"/>
      <c r="J757" s="4"/>
      <c r="K757" s="4"/>
      <c r="L757" s="53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76"/>
      <c r="F758" s="53"/>
      <c r="G758" s="4"/>
      <c r="H758" s="4"/>
      <c r="I758" s="4"/>
      <c r="J758" s="4"/>
      <c r="K758" s="4"/>
      <c r="L758" s="53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76"/>
      <c r="F759" s="53"/>
      <c r="G759" s="4"/>
      <c r="H759" s="4"/>
      <c r="I759" s="4"/>
      <c r="J759" s="4"/>
      <c r="K759" s="4"/>
      <c r="L759" s="53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76"/>
      <c r="F760" s="53"/>
      <c r="G760" s="4"/>
      <c r="H760" s="4"/>
      <c r="I760" s="4"/>
      <c r="J760" s="4"/>
      <c r="K760" s="4"/>
      <c r="L760" s="53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76"/>
      <c r="F761" s="53"/>
      <c r="G761" s="4"/>
      <c r="H761" s="4"/>
      <c r="I761" s="4"/>
      <c r="J761" s="4"/>
      <c r="K761" s="4"/>
      <c r="L761" s="53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76"/>
      <c r="F762" s="53"/>
      <c r="G762" s="4"/>
      <c r="H762" s="4"/>
      <c r="I762" s="4"/>
      <c r="J762" s="4"/>
      <c r="K762" s="4"/>
      <c r="L762" s="53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76"/>
      <c r="F763" s="53"/>
      <c r="G763" s="4"/>
      <c r="H763" s="4"/>
      <c r="I763" s="4"/>
      <c r="J763" s="4"/>
      <c r="K763" s="4"/>
      <c r="L763" s="53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76"/>
      <c r="F764" s="53"/>
      <c r="G764" s="4"/>
      <c r="H764" s="4"/>
      <c r="I764" s="4"/>
      <c r="J764" s="4"/>
      <c r="K764" s="4"/>
      <c r="L764" s="53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76"/>
      <c r="F765" s="53"/>
      <c r="G765" s="4"/>
      <c r="H765" s="4"/>
      <c r="I765" s="4"/>
      <c r="J765" s="4"/>
      <c r="K765" s="4"/>
      <c r="L765" s="53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76"/>
      <c r="F766" s="53"/>
      <c r="G766" s="4"/>
      <c r="H766" s="4"/>
      <c r="I766" s="4"/>
      <c r="J766" s="4"/>
      <c r="K766" s="4"/>
      <c r="L766" s="53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76"/>
      <c r="F767" s="53"/>
      <c r="G767" s="4"/>
      <c r="H767" s="4"/>
      <c r="I767" s="4"/>
      <c r="J767" s="4"/>
      <c r="K767" s="4"/>
      <c r="L767" s="53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76"/>
      <c r="F768" s="53"/>
      <c r="G768" s="4"/>
      <c r="H768" s="4"/>
      <c r="I768" s="4"/>
      <c r="J768" s="4"/>
      <c r="K768" s="4"/>
      <c r="L768" s="53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76"/>
      <c r="F769" s="53"/>
      <c r="G769" s="4"/>
      <c r="H769" s="4"/>
      <c r="I769" s="4"/>
      <c r="J769" s="4"/>
      <c r="K769" s="4"/>
      <c r="L769" s="53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76"/>
      <c r="F770" s="53"/>
      <c r="G770" s="4"/>
      <c r="H770" s="4"/>
      <c r="I770" s="4"/>
      <c r="J770" s="4"/>
      <c r="K770" s="4"/>
      <c r="L770" s="53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76"/>
      <c r="F771" s="53"/>
      <c r="G771" s="4"/>
      <c r="H771" s="4"/>
      <c r="I771" s="4"/>
      <c r="J771" s="4"/>
      <c r="K771" s="4"/>
      <c r="L771" s="53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76"/>
      <c r="F772" s="53"/>
      <c r="G772" s="4"/>
      <c r="H772" s="4"/>
      <c r="I772" s="4"/>
      <c r="J772" s="4"/>
      <c r="K772" s="4"/>
      <c r="L772" s="53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76"/>
      <c r="F773" s="53"/>
      <c r="G773" s="4"/>
      <c r="H773" s="4"/>
      <c r="I773" s="4"/>
      <c r="J773" s="4"/>
      <c r="K773" s="4"/>
      <c r="L773" s="53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76"/>
      <c r="F774" s="53"/>
      <c r="G774" s="4"/>
      <c r="H774" s="4"/>
      <c r="I774" s="4"/>
      <c r="J774" s="4"/>
      <c r="K774" s="4"/>
      <c r="L774" s="53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76"/>
      <c r="F775" s="53"/>
      <c r="G775" s="4"/>
      <c r="H775" s="4"/>
      <c r="I775" s="4"/>
      <c r="J775" s="4"/>
      <c r="K775" s="4"/>
      <c r="L775" s="53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76"/>
      <c r="F776" s="53"/>
      <c r="G776" s="4"/>
      <c r="H776" s="4"/>
      <c r="I776" s="4"/>
      <c r="J776" s="4"/>
      <c r="K776" s="4"/>
      <c r="L776" s="53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76"/>
      <c r="F777" s="53"/>
      <c r="G777" s="4"/>
      <c r="H777" s="4"/>
      <c r="I777" s="4"/>
      <c r="J777" s="4"/>
      <c r="K777" s="4"/>
      <c r="L777" s="53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76"/>
      <c r="F778" s="53"/>
      <c r="G778" s="4"/>
      <c r="H778" s="4"/>
      <c r="I778" s="4"/>
      <c r="J778" s="4"/>
      <c r="K778" s="4"/>
      <c r="L778" s="53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76"/>
      <c r="F779" s="53"/>
      <c r="G779" s="4"/>
      <c r="H779" s="4"/>
      <c r="I779" s="4"/>
      <c r="J779" s="4"/>
      <c r="K779" s="4"/>
      <c r="L779" s="53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76"/>
      <c r="F780" s="53"/>
      <c r="G780" s="4"/>
      <c r="H780" s="4"/>
      <c r="I780" s="4"/>
      <c r="J780" s="4"/>
      <c r="K780" s="4"/>
      <c r="L780" s="53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76"/>
      <c r="F781" s="53"/>
      <c r="G781" s="4"/>
      <c r="H781" s="4"/>
      <c r="I781" s="4"/>
      <c r="J781" s="4"/>
      <c r="K781" s="4"/>
      <c r="L781" s="53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76"/>
      <c r="F782" s="53"/>
      <c r="G782" s="4"/>
      <c r="H782" s="4"/>
      <c r="I782" s="4"/>
      <c r="J782" s="4"/>
      <c r="K782" s="4"/>
      <c r="L782" s="53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76"/>
      <c r="F783" s="53"/>
      <c r="G783" s="4"/>
      <c r="H783" s="4"/>
      <c r="I783" s="4"/>
      <c r="J783" s="4"/>
      <c r="K783" s="4"/>
      <c r="L783" s="53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76"/>
      <c r="F784" s="53"/>
      <c r="G784" s="4"/>
      <c r="H784" s="4"/>
      <c r="I784" s="4"/>
      <c r="J784" s="4"/>
      <c r="K784" s="4"/>
      <c r="L784" s="53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76"/>
      <c r="F785" s="53"/>
      <c r="G785" s="4"/>
      <c r="H785" s="4"/>
      <c r="I785" s="4"/>
      <c r="J785" s="4"/>
      <c r="K785" s="4"/>
      <c r="L785" s="53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76"/>
      <c r="F786" s="53"/>
      <c r="G786" s="4"/>
      <c r="H786" s="4"/>
      <c r="I786" s="4"/>
      <c r="J786" s="4"/>
      <c r="K786" s="4"/>
      <c r="L786" s="53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76"/>
      <c r="F787" s="53"/>
      <c r="G787" s="4"/>
      <c r="H787" s="4"/>
      <c r="I787" s="4"/>
      <c r="J787" s="4"/>
      <c r="K787" s="4"/>
      <c r="L787" s="53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76"/>
      <c r="F788" s="53"/>
      <c r="G788" s="4"/>
      <c r="H788" s="4"/>
      <c r="I788" s="4"/>
      <c r="J788" s="4"/>
      <c r="K788" s="4"/>
      <c r="L788" s="53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76"/>
      <c r="F789" s="53"/>
      <c r="G789" s="4"/>
      <c r="H789" s="4"/>
      <c r="I789" s="4"/>
      <c r="J789" s="4"/>
      <c r="K789" s="4"/>
      <c r="L789" s="53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76"/>
      <c r="F790" s="53"/>
      <c r="G790" s="4"/>
      <c r="H790" s="4"/>
      <c r="I790" s="4"/>
      <c r="J790" s="4"/>
      <c r="K790" s="4"/>
      <c r="L790" s="53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76"/>
      <c r="F791" s="53"/>
      <c r="G791" s="4"/>
      <c r="H791" s="4"/>
      <c r="I791" s="4"/>
      <c r="J791" s="4"/>
      <c r="K791" s="4"/>
      <c r="L791" s="53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76"/>
      <c r="F792" s="53"/>
      <c r="G792" s="4"/>
      <c r="H792" s="4"/>
      <c r="I792" s="4"/>
      <c r="J792" s="4"/>
      <c r="K792" s="4"/>
      <c r="L792" s="53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76"/>
      <c r="F793" s="53"/>
      <c r="G793" s="4"/>
      <c r="H793" s="4"/>
      <c r="I793" s="4"/>
      <c r="J793" s="4"/>
      <c r="K793" s="4"/>
      <c r="L793" s="53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76"/>
      <c r="F794" s="53"/>
      <c r="G794" s="4"/>
      <c r="H794" s="4"/>
      <c r="I794" s="4"/>
      <c r="J794" s="4"/>
      <c r="K794" s="4"/>
      <c r="L794" s="53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76"/>
      <c r="F795" s="53"/>
      <c r="G795" s="4"/>
      <c r="H795" s="4"/>
      <c r="I795" s="4"/>
      <c r="J795" s="4"/>
      <c r="K795" s="4"/>
      <c r="L795" s="53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76"/>
      <c r="F796" s="53"/>
      <c r="G796" s="4"/>
      <c r="H796" s="4"/>
      <c r="I796" s="4"/>
      <c r="J796" s="4"/>
      <c r="K796" s="4"/>
      <c r="L796" s="53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76"/>
      <c r="F797" s="53"/>
      <c r="G797" s="4"/>
      <c r="H797" s="4"/>
      <c r="I797" s="4"/>
      <c r="J797" s="4"/>
      <c r="K797" s="4"/>
      <c r="L797" s="53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76"/>
      <c r="F798" s="53"/>
      <c r="G798" s="4"/>
      <c r="H798" s="4"/>
      <c r="I798" s="4"/>
      <c r="J798" s="4"/>
      <c r="K798" s="4"/>
      <c r="L798" s="53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76"/>
      <c r="F799" s="53"/>
      <c r="G799" s="4"/>
      <c r="H799" s="4"/>
      <c r="I799" s="4"/>
      <c r="J799" s="4"/>
      <c r="K799" s="4"/>
      <c r="L799" s="53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76"/>
      <c r="F800" s="53"/>
      <c r="G800" s="4"/>
      <c r="H800" s="4"/>
      <c r="I800" s="4"/>
      <c r="J800" s="4"/>
      <c r="K800" s="4"/>
      <c r="L800" s="53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76"/>
      <c r="F801" s="53"/>
      <c r="G801" s="4"/>
      <c r="H801" s="4"/>
      <c r="I801" s="4"/>
      <c r="J801" s="4"/>
      <c r="K801" s="4"/>
      <c r="L801" s="53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76"/>
      <c r="F802" s="53"/>
      <c r="G802" s="4"/>
      <c r="H802" s="4"/>
      <c r="I802" s="4"/>
      <c r="J802" s="4"/>
      <c r="K802" s="4"/>
      <c r="L802" s="53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76"/>
      <c r="F803" s="53"/>
      <c r="G803" s="4"/>
      <c r="H803" s="4"/>
      <c r="I803" s="4"/>
      <c r="J803" s="4"/>
      <c r="K803" s="4"/>
      <c r="L803" s="53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76"/>
      <c r="F804" s="53"/>
      <c r="G804" s="4"/>
      <c r="H804" s="4"/>
      <c r="I804" s="4"/>
      <c r="J804" s="4"/>
      <c r="K804" s="4"/>
      <c r="L804" s="53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76"/>
      <c r="F805" s="53"/>
      <c r="G805" s="4"/>
      <c r="H805" s="4"/>
      <c r="I805" s="4"/>
      <c r="J805" s="4"/>
      <c r="K805" s="4"/>
      <c r="L805" s="53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76"/>
      <c r="F806" s="53"/>
      <c r="G806" s="4"/>
      <c r="H806" s="4"/>
      <c r="I806" s="4"/>
      <c r="J806" s="4"/>
      <c r="K806" s="4"/>
      <c r="L806" s="53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76"/>
      <c r="F807" s="53"/>
      <c r="G807" s="4"/>
      <c r="H807" s="4"/>
      <c r="I807" s="4"/>
      <c r="J807" s="4"/>
      <c r="K807" s="4"/>
      <c r="L807" s="53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76"/>
      <c r="F808" s="53"/>
      <c r="G808" s="4"/>
      <c r="H808" s="4"/>
      <c r="I808" s="4"/>
      <c r="J808" s="4"/>
      <c r="K808" s="4"/>
      <c r="L808" s="53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76"/>
      <c r="F809" s="53"/>
      <c r="G809" s="4"/>
      <c r="H809" s="4"/>
      <c r="I809" s="4"/>
      <c r="J809" s="4"/>
      <c r="K809" s="4"/>
      <c r="L809" s="53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76"/>
      <c r="F810" s="53"/>
      <c r="G810" s="4"/>
      <c r="H810" s="4"/>
      <c r="I810" s="4"/>
      <c r="J810" s="4"/>
      <c r="K810" s="4"/>
      <c r="L810" s="53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76"/>
      <c r="F811" s="53"/>
      <c r="G811" s="4"/>
      <c r="H811" s="4"/>
      <c r="I811" s="4"/>
      <c r="J811" s="4"/>
      <c r="K811" s="4"/>
      <c r="L811" s="53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76"/>
      <c r="F812" s="53"/>
      <c r="G812" s="4"/>
      <c r="H812" s="4"/>
      <c r="I812" s="4"/>
      <c r="J812" s="4"/>
      <c r="K812" s="4"/>
      <c r="L812" s="53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76"/>
      <c r="F813" s="53"/>
      <c r="G813" s="4"/>
      <c r="H813" s="4"/>
      <c r="I813" s="4"/>
      <c r="J813" s="4"/>
      <c r="K813" s="4"/>
      <c r="L813" s="53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76"/>
      <c r="F814" s="53"/>
      <c r="G814" s="4"/>
      <c r="H814" s="4"/>
      <c r="I814" s="4"/>
      <c r="J814" s="4"/>
      <c r="K814" s="4"/>
      <c r="L814" s="53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76"/>
      <c r="F815" s="53"/>
      <c r="G815" s="4"/>
      <c r="H815" s="4"/>
      <c r="I815" s="4"/>
      <c r="J815" s="4"/>
      <c r="K815" s="4"/>
      <c r="L815" s="53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76"/>
      <c r="F816" s="53"/>
      <c r="G816" s="4"/>
      <c r="H816" s="4"/>
      <c r="I816" s="4"/>
      <c r="J816" s="4"/>
      <c r="K816" s="4"/>
      <c r="L816" s="53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76"/>
      <c r="F817" s="53"/>
      <c r="G817" s="4"/>
      <c r="H817" s="4"/>
      <c r="I817" s="4"/>
      <c r="J817" s="4"/>
      <c r="K817" s="4"/>
      <c r="L817" s="53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76"/>
      <c r="F818" s="53"/>
      <c r="G818" s="4"/>
      <c r="H818" s="4"/>
      <c r="I818" s="4"/>
      <c r="J818" s="4"/>
      <c r="K818" s="4"/>
      <c r="L818" s="53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76"/>
      <c r="F819" s="53"/>
      <c r="G819" s="4"/>
      <c r="H819" s="4"/>
      <c r="I819" s="4"/>
      <c r="J819" s="4"/>
      <c r="K819" s="4"/>
      <c r="L819" s="53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76"/>
      <c r="F820" s="53"/>
      <c r="G820" s="4"/>
      <c r="H820" s="4"/>
      <c r="I820" s="4"/>
      <c r="J820" s="4"/>
      <c r="K820" s="4"/>
      <c r="L820" s="53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76"/>
      <c r="F821" s="53"/>
      <c r="G821" s="4"/>
      <c r="H821" s="4"/>
      <c r="I821" s="4"/>
      <c r="J821" s="4"/>
      <c r="K821" s="4"/>
      <c r="L821" s="53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76"/>
      <c r="F822" s="53"/>
      <c r="G822" s="4"/>
      <c r="H822" s="4"/>
      <c r="I822" s="4"/>
      <c r="J822" s="4"/>
      <c r="K822" s="4"/>
      <c r="L822" s="53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76"/>
      <c r="F823" s="53"/>
      <c r="G823" s="4"/>
      <c r="H823" s="4"/>
      <c r="I823" s="4"/>
      <c r="J823" s="4"/>
      <c r="K823" s="4"/>
      <c r="L823" s="53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76"/>
      <c r="F824" s="53"/>
      <c r="G824" s="4"/>
      <c r="H824" s="4"/>
      <c r="I824" s="4"/>
      <c r="J824" s="4"/>
      <c r="K824" s="4"/>
      <c r="L824" s="53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76"/>
      <c r="F825" s="53"/>
      <c r="G825" s="4"/>
      <c r="H825" s="4"/>
      <c r="I825" s="4"/>
      <c r="J825" s="4"/>
      <c r="K825" s="4"/>
      <c r="L825" s="53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76"/>
      <c r="F826" s="53"/>
      <c r="G826" s="4"/>
      <c r="H826" s="4"/>
      <c r="I826" s="4"/>
      <c r="J826" s="4"/>
      <c r="K826" s="4"/>
      <c r="L826" s="53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76"/>
      <c r="F827" s="53"/>
      <c r="G827" s="4"/>
      <c r="H827" s="4"/>
      <c r="I827" s="4"/>
      <c r="J827" s="4"/>
      <c r="K827" s="4"/>
      <c r="L827" s="53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76"/>
      <c r="F828" s="53"/>
      <c r="G828" s="4"/>
      <c r="H828" s="4"/>
      <c r="I828" s="4"/>
      <c r="J828" s="4"/>
      <c r="K828" s="4"/>
      <c r="L828" s="53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76"/>
      <c r="F829" s="53"/>
      <c r="G829" s="4"/>
      <c r="H829" s="4"/>
      <c r="I829" s="4"/>
      <c r="J829" s="4"/>
      <c r="K829" s="4"/>
      <c r="L829" s="53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76"/>
      <c r="F830" s="53"/>
      <c r="G830" s="4"/>
      <c r="H830" s="4"/>
      <c r="I830" s="4"/>
      <c r="J830" s="4"/>
      <c r="K830" s="4"/>
      <c r="L830" s="53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76"/>
      <c r="F831" s="53"/>
      <c r="G831" s="4"/>
      <c r="H831" s="4"/>
      <c r="I831" s="4"/>
      <c r="J831" s="4"/>
      <c r="K831" s="4"/>
      <c r="L831" s="53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76"/>
      <c r="F832" s="53"/>
      <c r="G832" s="4"/>
      <c r="H832" s="4"/>
      <c r="I832" s="4"/>
      <c r="J832" s="4"/>
      <c r="K832" s="4"/>
      <c r="L832" s="53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76"/>
      <c r="F833" s="53"/>
      <c r="G833" s="4"/>
      <c r="H833" s="4"/>
      <c r="I833" s="4"/>
      <c r="J833" s="4"/>
      <c r="K833" s="4"/>
      <c r="L833" s="53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76"/>
      <c r="F834" s="53"/>
      <c r="G834" s="4"/>
      <c r="H834" s="4"/>
      <c r="I834" s="4"/>
      <c r="J834" s="4"/>
      <c r="K834" s="4"/>
      <c r="L834" s="53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76"/>
      <c r="F835" s="53"/>
      <c r="G835" s="4"/>
      <c r="H835" s="4"/>
      <c r="I835" s="4"/>
      <c r="J835" s="4"/>
      <c r="K835" s="4"/>
      <c r="L835" s="53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76"/>
      <c r="F836" s="53"/>
      <c r="G836" s="4"/>
      <c r="H836" s="4"/>
      <c r="I836" s="4"/>
      <c r="J836" s="4"/>
      <c r="K836" s="4"/>
      <c r="L836" s="53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76"/>
      <c r="F837" s="53"/>
      <c r="G837" s="4"/>
      <c r="H837" s="4"/>
      <c r="I837" s="4"/>
      <c r="J837" s="4"/>
      <c r="K837" s="4"/>
      <c r="L837" s="53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76"/>
      <c r="F838" s="53"/>
      <c r="G838" s="4"/>
      <c r="H838" s="4"/>
      <c r="I838" s="4"/>
      <c r="J838" s="4"/>
      <c r="K838" s="4"/>
      <c r="L838" s="53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76"/>
      <c r="F839" s="53"/>
      <c r="G839" s="4"/>
      <c r="H839" s="4"/>
      <c r="I839" s="4"/>
      <c r="J839" s="4"/>
      <c r="K839" s="4"/>
      <c r="L839" s="53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76"/>
      <c r="F840" s="53"/>
      <c r="G840" s="4"/>
      <c r="H840" s="4"/>
      <c r="I840" s="4"/>
      <c r="J840" s="4"/>
      <c r="K840" s="4"/>
      <c r="L840" s="53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76"/>
      <c r="F841" s="53"/>
      <c r="G841" s="4"/>
      <c r="H841" s="4"/>
      <c r="I841" s="4"/>
      <c r="J841" s="4"/>
      <c r="K841" s="4"/>
      <c r="L841" s="53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76"/>
      <c r="F842" s="53"/>
      <c r="G842" s="4"/>
      <c r="H842" s="4"/>
      <c r="I842" s="4"/>
      <c r="J842" s="4"/>
      <c r="K842" s="4"/>
      <c r="L842" s="53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76"/>
      <c r="F843" s="53"/>
      <c r="G843" s="4"/>
      <c r="H843" s="4"/>
      <c r="I843" s="4"/>
      <c r="J843" s="4"/>
      <c r="K843" s="4"/>
      <c r="L843" s="53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76"/>
      <c r="F844" s="53"/>
      <c r="G844" s="4"/>
      <c r="H844" s="4"/>
      <c r="I844" s="4"/>
      <c r="J844" s="4"/>
      <c r="K844" s="4"/>
      <c r="L844" s="53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76"/>
      <c r="F845" s="53"/>
      <c r="G845" s="4"/>
      <c r="H845" s="4"/>
      <c r="I845" s="4"/>
      <c r="J845" s="4"/>
      <c r="K845" s="4"/>
      <c r="L845" s="53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76"/>
      <c r="F846" s="53"/>
      <c r="G846" s="4"/>
      <c r="H846" s="4"/>
      <c r="I846" s="4"/>
      <c r="J846" s="4"/>
      <c r="K846" s="4"/>
      <c r="L846" s="53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76"/>
      <c r="F847" s="53"/>
      <c r="G847" s="4"/>
      <c r="H847" s="4"/>
      <c r="I847" s="4"/>
      <c r="J847" s="4"/>
      <c r="K847" s="4"/>
      <c r="L847" s="53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76"/>
      <c r="F848" s="53"/>
      <c r="G848" s="4"/>
      <c r="H848" s="4"/>
      <c r="I848" s="4"/>
      <c r="J848" s="4"/>
      <c r="K848" s="4"/>
      <c r="L848" s="53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76"/>
      <c r="F849" s="53"/>
      <c r="G849" s="4"/>
      <c r="H849" s="4"/>
      <c r="I849" s="4"/>
      <c r="J849" s="4"/>
      <c r="K849" s="4"/>
      <c r="L849" s="53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76"/>
      <c r="F850" s="53"/>
      <c r="G850" s="4"/>
      <c r="H850" s="4"/>
      <c r="I850" s="4"/>
      <c r="J850" s="4"/>
      <c r="K850" s="4"/>
      <c r="L850" s="53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76"/>
      <c r="F851" s="53"/>
      <c r="G851" s="4"/>
      <c r="H851" s="4"/>
      <c r="I851" s="4"/>
      <c r="J851" s="4"/>
      <c r="K851" s="4"/>
      <c r="L851" s="53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76"/>
      <c r="F852" s="53"/>
      <c r="G852" s="4"/>
      <c r="H852" s="4"/>
      <c r="I852" s="4"/>
      <c r="J852" s="4"/>
      <c r="K852" s="4"/>
      <c r="L852" s="53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76"/>
      <c r="F853" s="53"/>
      <c r="G853" s="4"/>
      <c r="H853" s="4"/>
      <c r="I853" s="4"/>
      <c r="J853" s="4"/>
      <c r="K853" s="4"/>
      <c r="L853" s="53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76"/>
      <c r="F854" s="53"/>
      <c r="G854" s="4"/>
      <c r="H854" s="4"/>
      <c r="I854" s="4"/>
      <c r="J854" s="4"/>
      <c r="K854" s="4"/>
      <c r="L854" s="53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76"/>
      <c r="F855" s="53"/>
      <c r="G855" s="4"/>
      <c r="H855" s="4"/>
      <c r="I855" s="4"/>
      <c r="J855" s="4"/>
      <c r="K855" s="4"/>
      <c r="L855" s="53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76"/>
      <c r="F856" s="53"/>
      <c r="G856" s="4"/>
      <c r="H856" s="4"/>
      <c r="I856" s="4"/>
      <c r="J856" s="4"/>
      <c r="K856" s="4"/>
      <c r="L856" s="53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76"/>
      <c r="F857" s="53"/>
      <c r="G857" s="4"/>
      <c r="H857" s="4"/>
      <c r="I857" s="4"/>
      <c r="J857" s="4"/>
      <c r="K857" s="4"/>
      <c r="L857" s="53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76"/>
      <c r="F858" s="53"/>
      <c r="G858" s="4"/>
      <c r="H858" s="4"/>
      <c r="I858" s="4"/>
      <c r="J858" s="4"/>
      <c r="K858" s="4"/>
      <c r="L858" s="53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76"/>
      <c r="F859" s="53"/>
      <c r="G859" s="4"/>
      <c r="H859" s="4"/>
      <c r="I859" s="4"/>
      <c r="J859" s="4"/>
      <c r="K859" s="4"/>
      <c r="L859" s="53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76"/>
      <c r="F860" s="53"/>
      <c r="G860" s="4"/>
      <c r="H860" s="4"/>
      <c r="I860" s="4"/>
      <c r="J860" s="4"/>
      <c r="K860" s="4"/>
      <c r="L860" s="53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76"/>
      <c r="F861" s="53"/>
      <c r="G861" s="4"/>
      <c r="H861" s="4"/>
      <c r="I861" s="4"/>
      <c r="J861" s="4"/>
      <c r="K861" s="4"/>
      <c r="L861" s="53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76"/>
      <c r="F862" s="53"/>
      <c r="G862" s="4"/>
      <c r="H862" s="4"/>
      <c r="I862" s="4"/>
      <c r="J862" s="4"/>
      <c r="K862" s="4"/>
      <c r="L862" s="53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76"/>
      <c r="F863" s="53"/>
      <c r="G863" s="4"/>
      <c r="H863" s="4"/>
      <c r="I863" s="4"/>
      <c r="J863" s="4"/>
      <c r="K863" s="4"/>
      <c r="L863" s="53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76"/>
      <c r="F864" s="53"/>
      <c r="G864" s="4"/>
      <c r="H864" s="4"/>
      <c r="I864" s="4"/>
      <c r="J864" s="4"/>
      <c r="K864" s="4"/>
      <c r="L864" s="53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76"/>
      <c r="F865" s="53"/>
      <c r="G865" s="4"/>
      <c r="H865" s="4"/>
      <c r="I865" s="4"/>
      <c r="J865" s="4"/>
      <c r="K865" s="4"/>
      <c r="L865" s="53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76"/>
      <c r="F866" s="53"/>
      <c r="G866" s="4"/>
      <c r="H866" s="4"/>
      <c r="I866" s="4"/>
      <c r="J866" s="4"/>
      <c r="K866" s="4"/>
      <c r="L866" s="53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76"/>
      <c r="F867" s="53"/>
      <c r="G867" s="4"/>
      <c r="H867" s="4"/>
      <c r="I867" s="4"/>
      <c r="J867" s="4"/>
      <c r="K867" s="4"/>
      <c r="L867" s="53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76"/>
      <c r="F868" s="53"/>
      <c r="G868" s="4"/>
      <c r="H868" s="4"/>
      <c r="I868" s="4"/>
      <c r="J868" s="4"/>
      <c r="K868" s="4"/>
      <c r="L868" s="53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76"/>
      <c r="F869" s="53"/>
      <c r="G869" s="4"/>
      <c r="H869" s="4"/>
      <c r="I869" s="4"/>
      <c r="J869" s="4"/>
      <c r="K869" s="4"/>
      <c r="L869" s="53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76"/>
      <c r="F870" s="53"/>
      <c r="G870" s="4"/>
      <c r="H870" s="4"/>
      <c r="I870" s="4"/>
      <c r="J870" s="4"/>
      <c r="K870" s="4"/>
      <c r="L870" s="53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76"/>
      <c r="F871" s="53"/>
      <c r="G871" s="4"/>
      <c r="H871" s="4"/>
      <c r="I871" s="4"/>
      <c r="J871" s="4"/>
      <c r="K871" s="4"/>
      <c r="L871" s="53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76"/>
      <c r="F872" s="53"/>
      <c r="G872" s="4"/>
      <c r="H872" s="4"/>
      <c r="I872" s="4"/>
      <c r="J872" s="4"/>
      <c r="K872" s="4"/>
      <c r="L872" s="53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76"/>
      <c r="F873" s="53"/>
      <c r="G873" s="4"/>
      <c r="H873" s="4"/>
      <c r="I873" s="4"/>
      <c r="J873" s="4"/>
      <c r="K873" s="4"/>
      <c r="L873" s="53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76"/>
      <c r="F874" s="53"/>
      <c r="G874" s="4"/>
      <c r="H874" s="4"/>
      <c r="I874" s="4"/>
      <c r="J874" s="4"/>
      <c r="K874" s="4"/>
      <c r="L874" s="53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76"/>
      <c r="F875" s="53"/>
      <c r="G875" s="4"/>
      <c r="H875" s="4"/>
      <c r="I875" s="4"/>
      <c r="J875" s="4"/>
      <c r="K875" s="4"/>
      <c r="L875" s="53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76"/>
      <c r="F876" s="53"/>
      <c r="G876" s="4"/>
      <c r="H876" s="4"/>
      <c r="I876" s="4"/>
      <c r="J876" s="4"/>
      <c r="K876" s="4"/>
      <c r="L876" s="53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76"/>
      <c r="F877" s="53"/>
      <c r="G877" s="4"/>
      <c r="H877" s="4"/>
      <c r="I877" s="4"/>
      <c r="J877" s="4"/>
      <c r="K877" s="4"/>
      <c r="L877" s="53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76"/>
      <c r="F878" s="53"/>
      <c r="G878" s="4"/>
      <c r="H878" s="4"/>
      <c r="I878" s="4"/>
      <c r="J878" s="4"/>
      <c r="K878" s="4"/>
      <c r="L878" s="53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76"/>
      <c r="F879" s="53"/>
      <c r="G879" s="4"/>
      <c r="H879" s="4"/>
      <c r="I879" s="4"/>
      <c r="J879" s="4"/>
      <c r="K879" s="4"/>
      <c r="L879" s="53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76"/>
      <c r="F880" s="53"/>
      <c r="G880" s="4"/>
      <c r="H880" s="4"/>
      <c r="I880" s="4"/>
      <c r="J880" s="4"/>
      <c r="K880" s="4"/>
      <c r="L880" s="53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76"/>
      <c r="F881" s="53"/>
      <c r="G881" s="4"/>
      <c r="H881" s="4"/>
      <c r="I881" s="4"/>
      <c r="J881" s="4"/>
      <c r="K881" s="4"/>
      <c r="L881" s="53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76"/>
      <c r="F882" s="53"/>
      <c r="G882" s="4"/>
      <c r="H882" s="4"/>
      <c r="I882" s="4"/>
      <c r="J882" s="4"/>
      <c r="K882" s="4"/>
      <c r="L882" s="53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76"/>
      <c r="F883" s="53"/>
      <c r="G883" s="4"/>
      <c r="H883" s="4"/>
      <c r="I883" s="4"/>
      <c r="J883" s="4"/>
      <c r="K883" s="4"/>
      <c r="L883" s="53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76"/>
      <c r="F884" s="53"/>
      <c r="G884" s="4"/>
      <c r="H884" s="4"/>
      <c r="I884" s="4"/>
      <c r="J884" s="4"/>
      <c r="K884" s="4"/>
      <c r="L884" s="53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76"/>
      <c r="F885" s="53"/>
      <c r="G885" s="4"/>
      <c r="H885" s="4"/>
      <c r="I885" s="4"/>
      <c r="J885" s="4"/>
      <c r="K885" s="4"/>
      <c r="L885" s="53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76"/>
      <c r="F886" s="53"/>
      <c r="G886" s="4"/>
      <c r="H886" s="4"/>
      <c r="I886" s="4"/>
      <c r="J886" s="4"/>
      <c r="K886" s="4"/>
      <c r="L886" s="53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76"/>
      <c r="F887" s="53"/>
      <c r="G887" s="4"/>
      <c r="H887" s="4"/>
      <c r="I887" s="4"/>
      <c r="J887" s="4"/>
      <c r="K887" s="4"/>
      <c r="L887" s="53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76"/>
      <c r="F888" s="53"/>
      <c r="G888" s="4"/>
      <c r="H888" s="4"/>
      <c r="I888" s="4"/>
      <c r="J888" s="4"/>
      <c r="K888" s="4"/>
      <c r="L888" s="53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76"/>
      <c r="F889" s="53"/>
      <c r="G889" s="4"/>
      <c r="H889" s="4"/>
      <c r="I889" s="4"/>
      <c r="J889" s="4"/>
      <c r="K889" s="4"/>
      <c r="L889" s="53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76"/>
      <c r="F890" s="53"/>
      <c r="G890" s="4"/>
      <c r="H890" s="4"/>
      <c r="I890" s="4"/>
      <c r="J890" s="4"/>
      <c r="K890" s="4"/>
      <c r="L890" s="53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76"/>
      <c r="F891" s="53"/>
      <c r="G891" s="4"/>
      <c r="H891" s="4"/>
      <c r="I891" s="4"/>
      <c r="J891" s="4"/>
      <c r="K891" s="4"/>
      <c r="L891" s="53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76"/>
      <c r="F892" s="53"/>
      <c r="G892" s="4"/>
      <c r="H892" s="4"/>
      <c r="I892" s="4"/>
      <c r="J892" s="4"/>
      <c r="K892" s="4"/>
      <c r="L892" s="53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76"/>
      <c r="F893" s="53"/>
      <c r="G893" s="4"/>
      <c r="H893" s="4"/>
      <c r="I893" s="4"/>
      <c r="J893" s="4"/>
      <c r="K893" s="4"/>
      <c r="L893" s="53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76"/>
      <c r="F894" s="53"/>
      <c r="G894" s="4"/>
      <c r="H894" s="4"/>
      <c r="I894" s="4"/>
      <c r="J894" s="4"/>
      <c r="K894" s="4"/>
      <c r="L894" s="53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76"/>
      <c r="F895" s="53"/>
      <c r="G895" s="4"/>
      <c r="H895" s="4"/>
      <c r="I895" s="4"/>
      <c r="J895" s="4"/>
      <c r="K895" s="4"/>
      <c r="L895" s="53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76"/>
      <c r="F896" s="53"/>
      <c r="G896" s="4"/>
      <c r="H896" s="4"/>
      <c r="I896" s="4"/>
      <c r="J896" s="4"/>
      <c r="K896" s="4"/>
      <c r="L896" s="53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76"/>
      <c r="F897" s="53"/>
      <c r="G897" s="4"/>
      <c r="H897" s="4"/>
      <c r="I897" s="4"/>
      <c r="J897" s="4"/>
      <c r="K897" s="4"/>
      <c r="L897" s="53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76"/>
      <c r="F898" s="53"/>
      <c r="G898" s="4"/>
      <c r="H898" s="4"/>
      <c r="I898" s="4"/>
      <c r="J898" s="4"/>
      <c r="K898" s="4"/>
      <c r="L898" s="53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76"/>
      <c r="F899" s="53"/>
      <c r="G899" s="4"/>
      <c r="H899" s="4"/>
      <c r="I899" s="4"/>
      <c r="J899" s="4"/>
      <c r="K899" s="4"/>
      <c r="L899" s="53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76"/>
      <c r="F900" s="53"/>
      <c r="G900" s="4"/>
      <c r="H900" s="4"/>
      <c r="I900" s="4"/>
      <c r="J900" s="4"/>
      <c r="K900" s="4"/>
      <c r="L900" s="53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76"/>
      <c r="F901" s="53"/>
      <c r="G901" s="4"/>
      <c r="H901" s="4"/>
      <c r="I901" s="4"/>
      <c r="J901" s="4"/>
      <c r="K901" s="4"/>
      <c r="L901" s="53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76"/>
      <c r="F902" s="53"/>
      <c r="G902" s="4"/>
      <c r="H902" s="4"/>
      <c r="I902" s="4"/>
      <c r="J902" s="4"/>
      <c r="K902" s="4"/>
      <c r="L902" s="53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76"/>
      <c r="F903" s="53"/>
      <c r="G903" s="4"/>
      <c r="H903" s="4"/>
      <c r="I903" s="4"/>
      <c r="J903" s="4"/>
      <c r="K903" s="4"/>
      <c r="L903" s="53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76"/>
      <c r="F904" s="53"/>
      <c r="G904" s="4"/>
      <c r="H904" s="4"/>
      <c r="I904" s="4"/>
      <c r="J904" s="4"/>
      <c r="K904" s="4"/>
      <c r="L904" s="53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76"/>
      <c r="F905" s="53"/>
      <c r="G905" s="4"/>
      <c r="H905" s="4"/>
      <c r="I905" s="4"/>
      <c r="J905" s="4"/>
      <c r="K905" s="4"/>
      <c r="L905" s="53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76"/>
      <c r="F906" s="53"/>
      <c r="G906" s="4"/>
      <c r="H906" s="4"/>
      <c r="I906" s="4"/>
      <c r="J906" s="4"/>
      <c r="K906" s="4"/>
      <c r="L906" s="53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76"/>
      <c r="F907" s="53"/>
      <c r="G907" s="4"/>
      <c r="H907" s="4"/>
      <c r="I907" s="4"/>
      <c r="J907" s="4"/>
      <c r="K907" s="4"/>
      <c r="L907" s="53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76"/>
      <c r="F908" s="53"/>
      <c r="G908" s="4"/>
      <c r="H908" s="4"/>
      <c r="I908" s="4"/>
      <c r="J908" s="4"/>
      <c r="K908" s="4"/>
      <c r="L908" s="53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76"/>
      <c r="F909" s="53"/>
      <c r="G909" s="4"/>
      <c r="H909" s="4"/>
      <c r="I909" s="4"/>
      <c r="J909" s="4"/>
      <c r="K909" s="4"/>
      <c r="L909" s="53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76"/>
      <c r="F910" s="53"/>
      <c r="G910" s="4"/>
      <c r="H910" s="4"/>
      <c r="I910" s="4"/>
      <c r="J910" s="4"/>
      <c r="K910" s="4"/>
      <c r="L910" s="53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76"/>
      <c r="F911" s="53"/>
      <c r="G911" s="4"/>
      <c r="H911" s="4"/>
      <c r="I911" s="4"/>
      <c r="J911" s="4"/>
      <c r="K911" s="4"/>
      <c r="L911" s="53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76"/>
      <c r="F912" s="53"/>
      <c r="G912" s="4"/>
      <c r="H912" s="4"/>
      <c r="I912" s="4"/>
      <c r="J912" s="4"/>
      <c r="K912" s="4"/>
      <c r="L912" s="53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76"/>
      <c r="F913" s="53"/>
      <c r="G913" s="4"/>
      <c r="H913" s="4"/>
      <c r="I913" s="4"/>
      <c r="J913" s="4"/>
      <c r="K913" s="4"/>
      <c r="L913" s="53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76"/>
      <c r="F914" s="53"/>
      <c r="G914" s="4"/>
      <c r="H914" s="4"/>
      <c r="I914" s="4"/>
      <c r="J914" s="4"/>
      <c r="K914" s="4"/>
      <c r="L914" s="53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76"/>
      <c r="F915" s="53"/>
      <c r="G915" s="4"/>
      <c r="H915" s="4"/>
      <c r="I915" s="4"/>
      <c r="J915" s="4"/>
      <c r="K915" s="4"/>
      <c r="L915" s="53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76"/>
      <c r="F916" s="53"/>
      <c r="G916" s="4"/>
      <c r="H916" s="4"/>
      <c r="I916" s="4"/>
      <c r="J916" s="4"/>
      <c r="K916" s="4"/>
      <c r="L916" s="53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76"/>
      <c r="F917" s="53"/>
      <c r="G917" s="4"/>
      <c r="H917" s="4"/>
      <c r="I917" s="4"/>
      <c r="J917" s="4"/>
      <c r="K917" s="4"/>
      <c r="L917" s="53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76"/>
      <c r="F918" s="53"/>
      <c r="G918" s="4"/>
      <c r="H918" s="4"/>
      <c r="I918" s="4"/>
      <c r="J918" s="4"/>
      <c r="K918" s="4"/>
      <c r="L918" s="53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76"/>
      <c r="F919" s="53"/>
      <c r="G919" s="4"/>
      <c r="H919" s="4"/>
      <c r="I919" s="4"/>
      <c r="J919" s="4"/>
      <c r="K919" s="4"/>
      <c r="L919" s="53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76"/>
      <c r="F920" s="53"/>
      <c r="G920" s="4"/>
      <c r="H920" s="4"/>
      <c r="I920" s="4"/>
      <c r="J920" s="4"/>
      <c r="K920" s="4"/>
      <c r="L920" s="53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76"/>
      <c r="F921" s="53"/>
      <c r="G921" s="4"/>
      <c r="H921" s="4"/>
      <c r="I921" s="4"/>
      <c r="J921" s="4"/>
      <c r="K921" s="4"/>
      <c r="L921" s="53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76"/>
      <c r="F922" s="53"/>
      <c r="G922" s="4"/>
      <c r="H922" s="4"/>
      <c r="I922" s="4"/>
      <c r="J922" s="4"/>
      <c r="K922" s="4"/>
      <c r="L922" s="53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76"/>
      <c r="F923" s="53"/>
      <c r="G923" s="4"/>
      <c r="H923" s="4"/>
      <c r="I923" s="4"/>
      <c r="J923" s="4"/>
      <c r="K923" s="4"/>
      <c r="L923" s="53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76"/>
      <c r="F924" s="53"/>
      <c r="G924" s="4"/>
      <c r="H924" s="4"/>
      <c r="I924" s="4"/>
      <c r="J924" s="4"/>
      <c r="K924" s="4"/>
      <c r="L924" s="53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76"/>
      <c r="F925" s="53"/>
      <c r="G925" s="4"/>
      <c r="H925" s="4"/>
      <c r="I925" s="4"/>
      <c r="J925" s="4"/>
      <c r="K925" s="4"/>
      <c r="L925" s="53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76"/>
      <c r="F926" s="53"/>
      <c r="G926" s="4"/>
      <c r="H926" s="4"/>
      <c r="I926" s="4"/>
      <c r="J926" s="4"/>
      <c r="K926" s="4"/>
      <c r="L926" s="53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76"/>
      <c r="F927" s="53"/>
      <c r="G927" s="4"/>
      <c r="H927" s="4"/>
      <c r="I927" s="4"/>
      <c r="J927" s="4"/>
      <c r="K927" s="4"/>
      <c r="L927" s="53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76"/>
      <c r="F928" s="53"/>
      <c r="G928" s="4"/>
      <c r="H928" s="4"/>
      <c r="I928" s="4"/>
      <c r="J928" s="4"/>
      <c r="K928" s="4"/>
      <c r="L928" s="53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76"/>
      <c r="F929" s="53"/>
      <c r="G929" s="4"/>
      <c r="H929" s="4"/>
      <c r="I929" s="4"/>
      <c r="J929" s="4"/>
      <c r="K929" s="4"/>
      <c r="L929" s="53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76"/>
      <c r="F930" s="53"/>
      <c r="G930" s="4"/>
      <c r="H930" s="4"/>
      <c r="I930" s="4"/>
      <c r="J930" s="4"/>
      <c r="K930" s="4"/>
      <c r="L930" s="53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76"/>
      <c r="F931" s="53"/>
      <c r="G931" s="4"/>
      <c r="H931" s="4"/>
      <c r="I931" s="4"/>
      <c r="J931" s="4"/>
      <c r="K931" s="4"/>
      <c r="L931" s="53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76"/>
      <c r="F932" s="53"/>
      <c r="G932" s="4"/>
      <c r="H932" s="4"/>
      <c r="I932" s="4"/>
      <c r="J932" s="4"/>
      <c r="K932" s="4"/>
      <c r="L932" s="53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76"/>
      <c r="F933" s="53"/>
      <c r="G933" s="4"/>
      <c r="H933" s="4"/>
      <c r="I933" s="4"/>
      <c r="J933" s="4"/>
      <c r="K933" s="4"/>
      <c r="L933" s="53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76"/>
      <c r="F934" s="53"/>
      <c r="G934" s="4"/>
      <c r="H934" s="4"/>
      <c r="I934" s="4"/>
      <c r="J934" s="4"/>
      <c r="K934" s="4"/>
      <c r="L934" s="53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76"/>
      <c r="F935" s="53"/>
      <c r="G935" s="4"/>
      <c r="H935" s="4"/>
      <c r="I935" s="4"/>
      <c r="J935" s="4"/>
      <c r="K935" s="4"/>
      <c r="L935" s="53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76"/>
      <c r="F936" s="53"/>
      <c r="G936" s="4"/>
      <c r="H936" s="4"/>
      <c r="I936" s="4"/>
      <c r="J936" s="4"/>
      <c r="K936" s="4"/>
      <c r="L936" s="53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76"/>
      <c r="F937" s="53"/>
      <c r="G937" s="4"/>
      <c r="H937" s="4"/>
      <c r="I937" s="4"/>
      <c r="J937" s="4"/>
      <c r="K937" s="4"/>
      <c r="L937" s="53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76"/>
      <c r="F938" s="53"/>
      <c r="G938" s="4"/>
      <c r="H938" s="4"/>
      <c r="I938" s="4"/>
      <c r="J938" s="4"/>
      <c r="K938" s="4"/>
      <c r="L938" s="53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76"/>
      <c r="F939" s="53"/>
      <c r="G939" s="4"/>
      <c r="H939" s="4"/>
      <c r="I939" s="4"/>
      <c r="J939" s="4"/>
      <c r="K939" s="4"/>
      <c r="L939" s="53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76"/>
      <c r="F940" s="53"/>
      <c r="G940" s="4"/>
      <c r="H940" s="4"/>
      <c r="I940" s="4"/>
      <c r="J940" s="4"/>
      <c r="K940" s="4"/>
      <c r="L940" s="53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76"/>
      <c r="F941" s="53"/>
      <c r="G941" s="4"/>
      <c r="H941" s="4"/>
      <c r="I941" s="4"/>
      <c r="J941" s="4"/>
      <c r="K941" s="4"/>
      <c r="L941" s="53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76"/>
      <c r="F942" s="53"/>
      <c r="G942" s="4"/>
      <c r="H942" s="4"/>
      <c r="I942" s="4"/>
      <c r="J942" s="4"/>
      <c r="K942" s="4"/>
      <c r="L942" s="53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76"/>
      <c r="F943" s="53"/>
      <c r="G943" s="4"/>
      <c r="H943" s="4"/>
      <c r="I943" s="4"/>
      <c r="J943" s="4"/>
      <c r="K943" s="4"/>
      <c r="L943" s="53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76"/>
      <c r="F944" s="53"/>
      <c r="G944" s="4"/>
      <c r="H944" s="4"/>
      <c r="I944" s="4"/>
      <c r="J944" s="4"/>
      <c r="K944" s="4"/>
      <c r="L944" s="53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76"/>
      <c r="F945" s="53"/>
      <c r="G945" s="4"/>
      <c r="H945" s="4"/>
      <c r="I945" s="4"/>
      <c r="J945" s="4"/>
      <c r="K945" s="4"/>
      <c r="L945" s="53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76"/>
      <c r="F946" s="53"/>
      <c r="G946" s="4"/>
      <c r="H946" s="4"/>
      <c r="I946" s="4"/>
      <c r="J946" s="4"/>
      <c r="K946" s="4"/>
      <c r="L946" s="53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76"/>
      <c r="F947" s="53"/>
      <c r="G947" s="4"/>
      <c r="H947" s="4"/>
      <c r="I947" s="4"/>
      <c r="J947" s="4"/>
      <c r="K947" s="4"/>
      <c r="L947" s="53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76"/>
      <c r="F948" s="53"/>
      <c r="G948" s="4"/>
      <c r="H948" s="4"/>
      <c r="I948" s="4"/>
      <c r="J948" s="4"/>
      <c r="K948" s="4"/>
      <c r="L948" s="53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76"/>
      <c r="F949" s="53"/>
      <c r="G949" s="4"/>
      <c r="H949" s="4"/>
      <c r="I949" s="4"/>
      <c r="J949" s="4"/>
      <c r="K949" s="4"/>
      <c r="L949" s="53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76"/>
      <c r="F950" s="53"/>
      <c r="G950" s="4"/>
      <c r="H950" s="4"/>
      <c r="I950" s="4"/>
      <c r="J950" s="4"/>
      <c r="K950" s="4"/>
      <c r="L950" s="53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76"/>
      <c r="F951" s="53"/>
      <c r="G951" s="4"/>
      <c r="H951" s="4"/>
      <c r="I951" s="4"/>
      <c r="J951" s="4"/>
      <c r="K951" s="4"/>
      <c r="L951" s="53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76"/>
      <c r="F952" s="53"/>
      <c r="G952" s="4"/>
      <c r="H952" s="4"/>
      <c r="I952" s="4"/>
      <c r="J952" s="4"/>
      <c r="K952" s="4"/>
      <c r="L952" s="53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76"/>
      <c r="F953" s="53"/>
      <c r="G953" s="4"/>
      <c r="H953" s="4"/>
      <c r="I953" s="4"/>
      <c r="J953" s="4"/>
      <c r="K953" s="4"/>
      <c r="L953" s="53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76"/>
      <c r="F954" s="53"/>
      <c r="G954" s="4"/>
      <c r="H954" s="4"/>
      <c r="I954" s="4"/>
      <c r="J954" s="4"/>
      <c r="K954" s="4"/>
      <c r="L954" s="53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76"/>
      <c r="F955" s="53"/>
      <c r="G955" s="4"/>
      <c r="H955" s="4"/>
      <c r="I955" s="4"/>
      <c r="J955" s="4"/>
      <c r="K955" s="4"/>
      <c r="L955" s="53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76"/>
      <c r="F956" s="53"/>
      <c r="G956" s="4"/>
      <c r="H956" s="4"/>
      <c r="I956" s="4"/>
      <c r="J956" s="4"/>
      <c r="K956" s="4"/>
      <c r="L956" s="53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76"/>
      <c r="F957" s="53"/>
      <c r="G957" s="4"/>
      <c r="H957" s="4"/>
      <c r="I957" s="4"/>
      <c r="J957" s="4"/>
      <c r="K957" s="4"/>
      <c r="L957" s="53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76"/>
      <c r="F958" s="53"/>
      <c r="G958" s="4"/>
      <c r="H958" s="4"/>
      <c r="I958" s="4"/>
      <c r="J958" s="4"/>
      <c r="K958" s="4"/>
      <c r="L958" s="53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76"/>
      <c r="F959" s="53"/>
      <c r="G959" s="4"/>
      <c r="H959" s="4"/>
      <c r="I959" s="4"/>
      <c r="J959" s="4"/>
      <c r="K959" s="4"/>
      <c r="L959" s="53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76"/>
      <c r="F960" s="53"/>
      <c r="G960" s="4"/>
      <c r="H960" s="4"/>
      <c r="I960" s="4"/>
      <c r="J960" s="4"/>
      <c r="K960" s="4"/>
      <c r="L960" s="53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76"/>
      <c r="F961" s="53"/>
      <c r="G961" s="4"/>
      <c r="H961" s="4"/>
      <c r="I961" s="4"/>
      <c r="J961" s="4"/>
      <c r="K961" s="4"/>
      <c r="L961" s="53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76"/>
      <c r="F962" s="53"/>
      <c r="G962" s="4"/>
      <c r="H962" s="4"/>
      <c r="I962" s="4"/>
      <c r="J962" s="4"/>
      <c r="K962" s="4"/>
      <c r="L962" s="53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76"/>
      <c r="F963" s="53"/>
      <c r="G963" s="4"/>
      <c r="H963" s="4"/>
      <c r="I963" s="4"/>
      <c r="J963" s="4"/>
      <c r="K963" s="4"/>
      <c r="L963" s="53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76"/>
      <c r="F964" s="53"/>
      <c r="G964" s="4"/>
      <c r="H964" s="4"/>
      <c r="I964" s="4"/>
      <c r="J964" s="4"/>
      <c r="K964" s="4"/>
      <c r="L964" s="53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76"/>
      <c r="F965" s="53"/>
      <c r="G965" s="4"/>
      <c r="H965" s="4"/>
      <c r="I965" s="4"/>
      <c r="J965" s="4"/>
      <c r="K965" s="4"/>
      <c r="L965" s="53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76"/>
      <c r="F966" s="53"/>
      <c r="G966" s="4"/>
      <c r="H966" s="4"/>
      <c r="I966" s="4"/>
      <c r="J966" s="4"/>
      <c r="K966" s="4"/>
      <c r="L966" s="53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76"/>
      <c r="F967" s="53"/>
      <c r="G967" s="4"/>
      <c r="H967" s="4"/>
      <c r="I967" s="4"/>
      <c r="J967" s="4"/>
      <c r="K967" s="4"/>
      <c r="L967" s="53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76"/>
      <c r="F968" s="53"/>
      <c r="G968" s="4"/>
      <c r="H968" s="4"/>
      <c r="I968" s="4"/>
      <c r="J968" s="4"/>
      <c r="K968" s="4"/>
      <c r="L968" s="53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76"/>
      <c r="F969" s="53"/>
      <c r="G969" s="4"/>
      <c r="H969" s="4"/>
      <c r="I969" s="4"/>
      <c r="J969" s="4"/>
      <c r="K969" s="4"/>
      <c r="L969" s="53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76"/>
      <c r="F970" s="53"/>
      <c r="G970" s="4"/>
      <c r="H970" s="4"/>
      <c r="I970" s="4"/>
      <c r="J970" s="4"/>
      <c r="K970" s="4"/>
      <c r="L970" s="53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76"/>
      <c r="F971" s="53"/>
      <c r="G971" s="4"/>
      <c r="H971" s="4"/>
      <c r="I971" s="4"/>
      <c r="J971" s="4"/>
      <c r="K971" s="4"/>
      <c r="L971" s="53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76"/>
      <c r="F972" s="53"/>
      <c r="G972" s="4"/>
      <c r="H972" s="4"/>
      <c r="I972" s="4"/>
      <c r="J972" s="4"/>
      <c r="K972" s="4"/>
      <c r="L972" s="53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76"/>
      <c r="F973" s="53"/>
      <c r="G973" s="4"/>
      <c r="H973" s="4"/>
      <c r="I973" s="4"/>
      <c r="J973" s="4"/>
      <c r="K973" s="4"/>
      <c r="L973" s="53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76"/>
      <c r="F974" s="53"/>
      <c r="G974" s="4"/>
      <c r="H974" s="4"/>
      <c r="I974" s="4"/>
      <c r="J974" s="4"/>
      <c r="K974" s="4"/>
      <c r="L974" s="53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76"/>
      <c r="F975" s="53"/>
      <c r="G975" s="4"/>
      <c r="H975" s="4"/>
      <c r="I975" s="4"/>
      <c r="J975" s="4"/>
      <c r="K975" s="4"/>
      <c r="L975" s="53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76"/>
      <c r="F976" s="53"/>
      <c r="G976" s="4"/>
      <c r="H976" s="4"/>
      <c r="I976" s="4"/>
      <c r="J976" s="4"/>
      <c r="K976" s="4"/>
      <c r="L976" s="53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76"/>
      <c r="F977" s="53"/>
      <c r="G977" s="4"/>
      <c r="H977" s="4"/>
      <c r="I977" s="4"/>
      <c r="J977" s="4"/>
      <c r="K977" s="4"/>
      <c r="L977" s="53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76"/>
      <c r="F978" s="53"/>
      <c r="G978" s="4"/>
      <c r="H978" s="4"/>
      <c r="I978" s="4"/>
      <c r="J978" s="4"/>
      <c r="K978" s="4"/>
      <c r="L978" s="53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76"/>
      <c r="F979" s="53"/>
      <c r="G979" s="4"/>
      <c r="H979" s="4"/>
      <c r="I979" s="4"/>
      <c r="J979" s="4"/>
      <c r="K979" s="4"/>
      <c r="L979" s="53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76"/>
      <c r="F980" s="53"/>
      <c r="G980" s="4"/>
      <c r="H980" s="4"/>
      <c r="I980" s="4"/>
      <c r="J980" s="4"/>
      <c r="K980" s="4"/>
      <c r="L980" s="53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76"/>
      <c r="F981" s="53"/>
      <c r="G981" s="4"/>
      <c r="H981" s="4"/>
      <c r="I981" s="4"/>
      <c r="J981" s="4"/>
      <c r="K981" s="4"/>
      <c r="L981" s="53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76"/>
      <c r="F982" s="53"/>
      <c r="G982" s="4"/>
      <c r="H982" s="4"/>
      <c r="I982" s="4"/>
      <c r="J982" s="4"/>
      <c r="K982" s="4"/>
      <c r="L982" s="53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76"/>
      <c r="F983" s="53"/>
      <c r="G983" s="4"/>
      <c r="H983" s="4"/>
      <c r="I983" s="4"/>
      <c r="J983" s="4"/>
      <c r="K983" s="4"/>
      <c r="L983" s="53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76"/>
      <c r="F984" s="53"/>
      <c r="G984" s="4"/>
      <c r="H984" s="4"/>
      <c r="I984" s="4"/>
      <c r="J984" s="4"/>
      <c r="K984" s="4"/>
      <c r="L984" s="53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76"/>
      <c r="F985" s="53"/>
      <c r="G985" s="4"/>
      <c r="H985" s="4"/>
      <c r="I985" s="4"/>
      <c r="J985" s="4"/>
      <c r="K985" s="4"/>
      <c r="L985" s="53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76"/>
      <c r="F986" s="53"/>
      <c r="G986" s="4"/>
      <c r="H986" s="4"/>
      <c r="I986" s="4"/>
      <c r="J986" s="4"/>
      <c r="K986" s="4"/>
      <c r="L986" s="53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76"/>
      <c r="F987" s="53"/>
      <c r="G987" s="4"/>
      <c r="H987" s="4"/>
      <c r="I987" s="4"/>
      <c r="J987" s="4"/>
      <c r="K987" s="4"/>
      <c r="L987" s="53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76"/>
      <c r="F988" s="53"/>
      <c r="G988" s="4"/>
      <c r="H988" s="4"/>
      <c r="I988" s="4"/>
      <c r="J988" s="4"/>
      <c r="K988" s="4"/>
      <c r="L988" s="53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76"/>
      <c r="F989" s="53"/>
      <c r="G989" s="4"/>
      <c r="H989" s="4"/>
      <c r="I989" s="4"/>
      <c r="J989" s="4"/>
      <c r="K989" s="4"/>
      <c r="L989" s="53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76"/>
      <c r="F990" s="53"/>
      <c r="G990" s="4"/>
      <c r="H990" s="4"/>
      <c r="I990" s="4"/>
      <c r="J990" s="4"/>
      <c r="K990" s="4"/>
      <c r="L990" s="53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76"/>
      <c r="F991" s="53"/>
      <c r="G991" s="4"/>
      <c r="H991" s="4"/>
      <c r="I991" s="4"/>
      <c r="J991" s="4"/>
      <c r="K991" s="4"/>
      <c r="L991" s="53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76"/>
      <c r="F992" s="53"/>
      <c r="G992" s="4"/>
      <c r="H992" s="4"/>
      <c r="I992" s="4"/>
      <c r="J992" s="4"/>
      <c r="K992" s="4"/>
      <c r="L992" s="53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76"/>
      <c r="F993" s="53"/>
      <c r="G993" s="4"/>
      <c r="H993" s="4"/>
      <c r="I993" s="4"/>
      <c r="J993" s="4"/>
      <c r="K993" s="4"/>
      <c r="L993" s="53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76"/>
      <c r="F994" s="53"/>
      <c r="G994" s="4"/>
      <c r="H994" s="4"/>
      <c r="I994" s="4"/>
      <c r="J994" s="4"/>
      <c r="K994" s="4"/>
      <c r="L994" s="53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76"/>
      <c r="F995" s="53"/>
      <c r="G995" s="4"/>
      <c r="H995" s="4"/>
      <c r="I995" s="4"/>
      <c r="J995" s="4"/>
      <c r="K995" s="4"/>
      <c r="L995" s="53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76"/>
      <c r="F996" s="53"/>
      <c r="G996" s="4"/>
      <c r="H996" s="4"/>
      <c r="I996" s="4"/>
      <c r="J996" s="4"/>
      <c r="K996" s="4"/>
      <c r="L996" s="53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76"/>
      <c r="F997" s="53"/>
      <c r="G997" s="4"/>
      <c r="H997" s="4"/>
      <c r="I997" s="4"/>
      <c r="J997" s="4"/>
      <c r="K997" s="4"/>
      <c r="L997" s="53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76"/>
      <c r="F998" s="53"/>
      <c r="G998" s="4"/>
      <c r="H998" s="4"/>
      <c r="I998" s="4"/>
      <c r="J998" s="4"/>
      <c r="K998" s="4"/>
      <c r="L998" s="53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76"/>
      <c r="F999" s="53"/>
      <c r="G999" s="4"/>
      <c r="H999" s="4"/>
      <c r="I999" s="4"/>
      <c r="J999" s="4"/>
      <c r="K999" s="4"/>
      <c r="L999" s="53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76"/>
      <c r="F1000" s="53"/>
      <c r="G1000" s="4"/>
      <c r="H1000" s="4"/>
      <c r="I1000" s="4"/>
      <c r="J1000" s="4"/>
      <c r="K1000" s="4"/>
      <c r="L1000" s="53"/>
      <c r="P1000" s="4"/>
      <c r="Q1000" s="4"/>
      <c r="R1000" s="4"/>
      <c r="S1000" s="4"/>
      <c r="T1000" s="4"/>
      <c r="U1000" s="4"/>
      <c r="V1000" s="4"/>
    </row>
  </sheetData>
  <mergeCells count="2">
    <mergeCell ref="A1:H1"/>
    <mergeCell ref="A2:H2"/>
  </mergeCells>
  <conditionalFormatting sqref="D5:D25 D28:D39">
    <cfRule type="containsBlanks" dxfId="0" priority="1">
      <formula>LEN(TRIM(D5))=0</formula>
    </cfRule>
  </conditionalFormatting>
  <conditionalFormatting sqref="F5:F25 F28:F39">
    <cfRule type="cellIs" dxfId="1" priority="2" operator="equal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11.13"/>
    <col customWidth="1" min="3" max="3" width="13.88"/>
    <col customWidth="1" min="4" max="4" width="8.63"/>
    <col customWidth="1" min="5" max="5" width="16.0"/>
    <col customWidth="1" min="6" max="6" width="7.5"/>
    <col customWidth="1" min="7" max="7" width="5.13"/>
    <col customWidth="1" min="8" max="8" width="13.25"/>
    <col customWidth="1" min="9" max="9" width="14.13"/>
    <col customWidth="1" min="10" max="10" width="8.63"/>
    <col customWidth="1" min="11" max="11" width="14.63"/>
    <col customWidth="1" min="12" max="12" width="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P1" s="4"/>
      <c r="Q1" s="4"/>
      <c r="R1" s="4"/>
      <c r="S1" s="4"/>
      <c r="T1" s="4"/>
      <c r="U1" s="4"/>
      <c r="V1" s="4"/>
    </row>
    <row r="2">
      <c r="A2" s="5" t="s">
        <v>67</v>
      </c>
      <c r="P2" s="4"/>
      <c r="Q2" s="4"/>
      <c r="R2" s="4"/>
      <c r="S2" s="4"/>
      <c r="T2" s="4"/>
      <c r="U2" s="4"/>
      <c r="V2" s="4"/>
    </row>
    <row r="3">
      <c r="A3" s="8" t="s">
        <v>4</v>
      </c>
      <c r="B3" s="10"/>
      <c r="C3" s="10"/>
      <c r="D3" s="10"/>
      <c r="E3" s="10"/>
      <c r="F3" s="10"/>
      <c r="G3" s="10"/>
      <c r="H3" s="13"/>
      <c r="P3" s="4"/>
      <c r="Q3" s="4"/>
      <c r="R3" s="4"/>
      <c r="S3" s="4"/>
      <c r="T3" s="4"/>
      <c r="U3" s="4"/>
      <c r="V3" s="4"/>
    </row>
    <row r="4">
      <c r="A4" s="15" t="s">
        <v>6</v>
      </c>
      <c r="B4" s="17" t="s">
        <v>7</v>
      </c>
      <c r="C4" s="19" t="s">
        <v>8</v>
      </c>
      <c r="D4" s="21" t="s">
        <v>9</v>
      </c>
      <c r="E4" s="23" t="s">
        <v>10</v>
      </c>
      <c r="F4" s="24" t="s">
        <v>11</v>
      </c>
      <c r="H4" s="26" t="s">
        <v>12</v>
      </c>
      <c r="P4" s="4"/>
      <c r="Q4" s="4"/>
      <c r="R4" s="4"/>
      <c r="S4" s="4"/>
      <c r="T4" s="4"/>
      <c r="U4" s="4"/>
      <c r="V4" s="4"/>
    </row>
    <row r="5">
      <c r="A5" s="29" t="s">
        <v>13</v>
      </c>
      <c r="B5" s="30" t="s">
        <v>14</v>
      </c>
      <c r="C5" s="32">
        <v>46325.99930555555</v>
      </c>
      <c r="D5" s="33"/>
      <c r="E5" s="75" t="str">
        <f t="shared" ref="E5:E25" si="1">IF(D5&lt;&gt;"",IF(E5="",NOW(),E5),"")</f>
        <v/>
      </c>
      <c r="F5" s="37">
        <f t="shared" ref="F5:F25" si="2">if(D5 = "", 0,IF(E5&lt;C5,0.5,0))</f>
        <v>0</v>
      </c>
      <c r="H5" s="38" t="str">
        <f t="shared" ref="H5:H25" si="3">if(D5 &lt;&gt; "", ABS(E5-C5), "0")</f>
        <v>0</v>
      </c>
      <c r="P5" s="4"/>
      <c r="Q5" s="4"/>
      <c r="R5" s="4"/>
      <c r="S5" s="4"/>
      <c r="T5" s="4"/>
      <c r="U5" s="4"/>
      <c r="V5" s="4"/>
    </row>
    <row r="6">
      <c r="A6" s="39" t="s">
        <v>16</v>
      </c>
      <c r="B6" s="30" t="s">
        <v>14</v>
      </c>
      <c r="C6" s="32">
        <v>46325.99930555555</v>
      </c>
      <c r="D6" s="33"/>
      <c r="E6" s="75" t="str">
        <f t="shared" si="1"/>
        <v/>
      </c>
      <c r="F6" s="37">
        <f t="shared" si="2"/>
        <v>0</v>
      </c>
      <c r="H6" s="38" t="str">
        <f t="shared" si="3"/>
        <v>0</v>
      </c>
      <c r="P6" s="4"/>
      <c r="Q6" s="4"/>
      <c r="R6" s="4"/>
      <c r="S6" s="4"/>
      <c r="T6" s="4"/>
      <c r="U6" s="4"/>
      <c r="V6" s="4"/>
    </row>
    <row r="7">
      <c r="A7" s="39" t="s">
        <v>17</v>
      </c>
      <c r="B7" s="30" t="s">
        <v>18</v>
      </c>
      <c r="C7" s="32">
        <v>46297.99930555555</v>
      </c>
      <c r="D7" s="33"/>
      <c r="E7" s="75" t="str">
        <f t="shared" si="1"/>
        <v/>
      </c>
      <c r="F7" s="37">
        <f t="shared" si="2"/>
        <v>0</v>
      </c>
      <c r="H7" s="38" t="str">
        <f t="shared" si="3"/>
        <v>0</v>
      </c>
      <c r="P7" s="4"/>
      <c r="Q7" s="4"/>
      <c r="R7" s="4"/>
      <c r="S7" s="4"/>
      <c r="T7" s="4"/>
      <c r="U7" s="4"/>
      <c r="V7" s="4"/>
    </row>
    <row r="8">
      <c r="A8" s="39" t="s">
        <v>19</v>
      </c>
      <c r="B8" s="30" t="s">
        <v>20</v>
      </c>
      <c r="C8" s="32">
        <v>46297.99930555555</v>
      </c>
      <c r="D8" s="33"/>
      <c r="E8" s="75" t="str">
        <f t="shared" si="1"/>
        <v/>
      </c>
      <c r="F8" s="37">
        <f t="shared" si="2"/>
        <v>0</v>
      </c>
      <c r="H8" s="38" t="str">
        <f t="shared" si="3"/>
        <v>0</v>
      </c>
      <c r="P8" s="4"/>
      <c r="Q8" s="4"/>
      <c r="R8" s="4"/>
      <c r="S8" s="4"/>
      <c r="T8" s="4"/>
      <c r="U8" s="4"/>
      <c r="V8" s="4"/>
    </row>
    <row r="9">
      <c r="A9" s="39" t="s">
        <v>22</v>
      </c>
      <c r="B9" s="89" t="s">
        <v>65</v>
      </c>
      <c r="C9" s="32">
        <v>46300.99930555555</v>
      </c>
      <c r="D9" s="33"/>
      <c r="E9" s="75" t="str">
        <f t="shared" si="1"/>
        <v/>
      </c>
      <c r="F9" s="37">
        <f t="shared" si="2"/>
        <v>0</v>
      </c>
      <c r="H9" s="38" t="str">
        <f t="shared" si="3"/>
        <v>0</v>
      </c>
      <c r="P9" s="4"/>
      <c r="Q9" s="4"/>
      <c r="R9" s="4"/>
      <c r="S9" s="4"/>
      <c r="T9" s="4"/>
      <c r="U9" s="4"/>
      <c r="V9" s="4"/>
    </row>
    <row r="10">
      <c r="A10" s="39" t="s">
        <v>24</v>
      </c>
      <c r="B10" s="89" t="s">
        <v>65</v>
      </c>
      <c r="C10" s="32">
        <v>46300.99930555555</v>
      </c>
      <c r="D10" s="33"/>
      <c r="E10" s="75" t="str">
        <f t="shared" si="1"/>
        <v/>
      </c>
      <c r="F10" s="37">
        <f t="shared" si="2"/>
        <v>0</v>
      </c>
      <c r="H10" s="38" t="str">
        <f t="shared" si="3"/>
        <v>0</v>
      </c>
      <c r="P10" s="4"/>
      <c r="Q10" s="4"/>
      <c r="R10" s="4"/>
      <c r="S10" s="4"/>
      <c r="T10" s="4"/>
      <c r="U10" s="4"/>
      <c r="V10" s="4"/>
    </row>
    <row r="11">
      <c r="A11" s="39" t="s">
        <v>25</v>
      </c>
      <c r="B11" s="30" t="s">
        <v>14</v>
      </c>
      <c r="C11" s="32">
        <v>46301.99930555555</v>
      </c>
      <c r="D11" s="33"/>
      <c r="E11" s="75" t="str">
        <f t="shared" si="1"/>
        <v/>
      </c>
      <c r="F11" s="37">
        <f t="shared" si="2"/>
        <v>0</v>
      </c>
      <c r="H11" s="38" t="str">
        <f t="shared" si="3"/>
        <v>0</v>
      </c>
      <c r="P11" s="4"/>
      <c r="Q11" s="4"/>
      <c r="R11" s="4"/>
      <c r="S11" s="4"/>
      <c r="T11" s="4"/>
      <c r="U11" s="4"/>
      <c r="V11" s="4"/>
    </row>
    <row r="12">
      <c r="A12" s="49" t="s">
        <v>26</v>
      </c>
      <c r="B12" s="30" t="s">
        <v>14</v>
      </c>
      <c r="C12" s="32">
        <v>46301.99930555555</v>
      </c>
      <c r="D12" s="33"/>
      <c r="E12" s="75" t="str">
        <f t="shared" si="1"/>
        <v/>
      </c>
      <c r="F12" s="37">
        <f t="shared" si="2"/>
        <v>0</v>
      </c>
      <c r="H12" s="38" t="str">
        <f t="shared" si="3"/>
        <v>0</v>
      </c>
      <c r="P12" s="4"/>
      <c r="Q12" s="4"/>
      <c r="R12" s="4"/>
      <c r="S12" s="4"/>
      <c r="T12" s="4"/>
      <c r="U12" s="4"/>
      <c r="V12" s="4"/>
    </row>
    <row r="13">
      <c r="A13" s="49" t="s">
        <v>27</v>
      </c>
      <c r="B13" s="89" t="s">
        <v>63</v>
      </c>
      <c r="C13" s="32">
        <v>46305.99930555555</v>
      </c>
      <c r="D13" s="33"/>
      <c r="E13" s="75" t="str">
        <f t="shared" si="1"/>
        <v/>
      </c>
      <c r="F13" s="37">
        <f t="shared" si="2"/>
        <v>0</v>
      </c>
      <c r="H13" s="38" t="str">
        <f t="shared" si="3"/>
        <v>0</v>
      </c>
      <c r="P13" s="4"/>
      <c r="Q13" s="4"/>
      <c r="R13" s="4"/>
      <c r="S13" s="4"/>
      <c r="T13" s="4"/>
      <c r="U13" s="4"/>
      <c r="V13" s="4"/>
    </row>
    <row r="14">
      <c r="A14" s="49" t="s">
        <v>29</v>
      </c>
      <c r="B14" s="30" t="s">
        <v>30</v>
      </c>
      <c r="C14" s="32">
        <v>46307.99930555555</v>
      </c>
      <c r="D14" s="33"/>
      <c r="E14" s="75" t="str">
        <f t="shared" si="1"/>
        <v/>
      </c>
      <c r="F14" s="37">
        <f t="shared" si="2"/>
        <v>0</v>
      </c>
      <c r="H14" s="38" t="str">
        <f t="shared" si="3"/>
        <v>0</v>
      </c>
      <c r="P14" s="4"/>
      <c r="Q14" s="4"/>
      <c r="R14" s="4"/>
      <c r="S14" s="4"/>
      <c r="T14" s="4"/>
      <c r="U14" s="4"/>
      <c r="V14" s="4"/>
    </row>
    <row r="15">
      <c r="A15" s="49" t="s">
        <v>32</v>
      </c>
      <c r="B15" s="30" t="s">
        <v>20</v>
      </c>
      <c r="C15" s="32">
        <v>46307.99930555555</v>
      </c>
      <c r="D15" s="33"/>
      <c r="E15" s="75" t="str">
        <f t="shared" si="1"/>
        <v/>
      </c>
      <c r="F15" s="37">
        <f t="shared" si="2"/>
        <v>0</v>
      </c>
      <c r="H15" s="38" t="str">
        <f t="shared" si="3"/>
        <v>0</v>
      </c>
      <c r="P15" s="4"/>
      <c r="Q15" s="4"/>
      <c r="R15" s="4"/>
      <c r="S15" s="4"/>
      <c r="T15" s="4"/>
      <c r="U15" s="4"/>
      <c r="V15" s="4"/>
    </row>
    <row r="16">
      <c r="A16" s="49" t="s">
        <v>33</v>
      </c>
      <c r="B16" s="30" t="s">
        <v>20</v>
      </c>
      <c r="C16" s="32">
        <v>46308.99930555555</v>
      </c>
      <c r="D16" s="33"/>
      <c r="E16" s="75" t="str">
        <f t="shared" si="1"/>
        <v/>
      </c>
      <c r="F16" s="37">
        <f t="shared" si="2"/>
        <v>0</v>
      </c>
      <c r="H16" s="38" t="str">
        <f t="shared" si="3"/>
        <v>0</v>
      </c>
      <c r="P16" s="4"/>
      <c r="Q16" s="4"/>
      <c r="R16" s="4"/>
      <c r="S16" s="4"/>
      <c r="T16" s="4"/>
      <c r="U16" s="4"/>
      <c r="V16" s="4"/>
    </row>
    <row r="17">
      <c r="A17" s="49" t="s">
        <v>34</v>
      </c>
      <c r="B17" s="30" t="s">
        <v>30</v>
      </c>
      <c r="C17" s="32">
        <v>46308.99930555555</v>
      </c>
      <c r="D17" s="33"/>
      <c r="E17" s="75" t="str">
        <f t="shared" si="1"/>
        <v/>
      </c>
      <c r="F17" s="37">
        <f t="shared" si="2"/>
        <v>0</v>
      </c>
      <c r="G17" s="4"/>
      <c r="H17" s="38" t="str">
        <f t="shared" si="3"/>
        <v>0</v>
      </c>
      <c r="I17" s="4"/>
      <c r="J17" s="4"/>
      <c r="K17" s="4"/>
      <c r="L17" s="53"/>
      <c r="P17" s="4"/>
      <c r="Q17" s="4"/>
      <c r="R17" s="4"/>
      <c r="S17" s="4"/>
      <c r="T17" s="4"/>
      <c r="U17" s="4"/>
      <c r="V17" s="4"/>
    </row>
    <row r="18">
      <c r="A18" s="49" t="s">
        <v>35</v>
      </c>
      <c r="B18" s="30" t="s">
        <v>14</v>
      </c>
      <c r="C18" s="32">
        <v>46313.99930555555</v>
      </c>
      <c r="D18" s="33"/>
      <c r="E18" s="75" t="str">
        <f t="shared" si="1"/>
        <v/>
      </c>
      <c r="F18" s="37">
        <f t="shared" si="2"/>
        <v>0</v>
      </c>
      <c r="G18" s="4"/>
      <c r="H18" s="38" t="str">
        <f t="shared" si="3"/>
        <v>0</v>
      </c>
      <c r="I18" s="4"/>
      <c r="J18" s="4"/>
      <c r="K18" s="4"/>
      <c r="L18" s="53"/>
      <c r="P18" s="4"/>
      <c r="Q18" s="4"/>
      <c r="R18" s="4"/>
      <c r="S18" s="4"/>
      <c r="T18" s="4"/>
      <c r="U18" s="4"/>
      <c r="V18" s="4"/>
    </row>
    <row r="19">
      <c r="A19" s="49" t="s">
        <v>36</v>
      </c>
      <c r="B19" s="89" t="s">
        <v>18</v>
      </c>
      <c r="C19" s="32">
        <v>46313.99930555555</v>
      </c>
      <c r="D19" s="33"/>
      <c r="E19" s="75" t="str">
        <f t="shared" si="1"/>
        <v/>
      </c>
      <c r="F19" s="37">
        <f t="shared" si="2"/>
        <v>0</v>
      </c>
      <c r="G19" s="4"/>
      <c r="H19" s="38" t="str">
        <f t="shared" si="3"/>
        <v>0</v>
      </c>
      <c r="I19" s="4"/>
      <c r="J19" s="4"/>
      <c r="K19" s="4"/>
      <c r="L19" s="53"/>
      <c r="P19" s="4"/>
      <c r="Q19" s="4"/>
      <c r="R19" s="4"/>
      <c r="S19" s="4"/>
      <c r="T19" s="4"/>
      <c r="U19" s="4"/>
      <c r="V19" s="4"/>
    </row>
    <row r="20">
      <c r="A20" s="49" t="s">
        <v>38</v>
      </c>
      <c r="B20" s="30" t="s">
        <v>30</v>
      </c>
      <c r="C20" s="32">
        <v>46315.99930555555</v>
      </c>
      <c r="D20" s="33"/>
      <c r="E20" s="75" t="str">
        <f t="shared" si="1"/>
        <v/>
      </c>
      <c r="F20" s="37">
        <f t="shared" si="2"/>
        <v>0</v>
      </c>
      <c r="G20" s="4"/>
      <c r="H20" s="38" t="str">
        <f t="shared" si="3"/>
        <v>0</v>
      </c>
      <c r="I20" s="4"/>
      <c r="J20" s="4"/>
      <c r="K20" s="4"/>
      <c r="L20" s="53"/>
      <c r="P20" s="4"/>
      <c r="Q20" s="4"/>
      <c r="R20" s="4"/>
      <c r="S20" s="4"/>
      <c r="T20" s="4"/>
      <c r="U20" s="4"/>
      <c r="V20" s="4"/>
    </row>
    <row r="21">
      <c r="A21" s="49" t="s">
        <v>39</v>
      </c>
      <c r="B21" s="30" t="s">
        <v>18</v>
      </c>
      <c r="C21" s="32">
        <v>46315.99930555555</v>
      </c>
      <c r="D21" s="33"/>
      <c r="E21" s="75" t="str">
        <f t="shared" si="1"/>
        <v/>
      </c>
      <c r="F21" s="37">
        <f t="shared" si="2"/>
        <v>0</v>
      </c>
      <c r="G21" s="4"/>
      <c r="H21" s="38" t="str">
        <f t="shared" si="3"/>
        <v>0</v>
      </c>
      <c r="I21" s="4"/>
      <c r="J21" s="4"/>
      <c r="K21" s="4"/>
      <c r="L21" s="53"/>
      <c r="P21" s="4"/>
      <c r="Q21" s="4"/>
      <c r="R21" s="4"/>
      <c r="S21" s="4"/>
      <c r="T21" s="4"/>
      <c r="U21" s="4"/>
      <c r="V21" s="4"/>
    </row>
    <row r="22">
      <c r="A22" s="49" t="s">
        <v>40</v>
      </c>
      <c r="B22" s="89" t="s">
        <v>63</v>
      </c>
      <c r="C22" s="32">
        <v>46318.99930555555</v>
      </c>
      <c r="D22" s="33"/>
      <c r="E22" s="75" t="str">
        <f t="shared" si="1"/>
        <v/>
      </c>
      <c r="F22" s="37">
        <f t="shared" si="2"/>
        <v>0</v>
      </c>
      <c r="G22" s="4"/>
      <c r="H22" s="38" t="str">
        <f t="shared" si="3"/>
        <v>0</v>
      </c>
      <c r="I22" s="4"/>
      <c r="J22" s="4"/>
      <c r="K22" s="4"/>
      <c r="L22" s="53"/>
      <c r="P22" s="4"/>
      <c r="Q22" s="4"/>
      <c r="R22" s="4"/>
      <c r="S22" s="4"/>
      <c r="T22" s="4"/>
      <c r="U22" s="4"/>
      <c r="V22" s="4"/>
    </row>
    <row r="23">
      <c r="A23" s="49" t="s">
        <v>41</v>
      </c>
      <c r="B23" s="30" t="s">
        <v>18</v>
      </c>
      <c r="C23" s="32">
        <v>46318.99930555555</v>
      </c>
      <c r="D23" s="33"/>
      <c r="E23" s="75" t="str">
        <f t="shared" si="1"/>
        <v/>
      </c>
      <c r="F23" s="37">
        <f t="shared" si="2"/>
        <v>0</v>
      </c>
      <c r="G23" s="4"/>
      <c r="H23" s="38" t="str">
        <f t="shared" si="3"/>
        <v>0</v>
      </c>
      <c r="I23" s="4"/>
      <c r="J23" s="4"/>
      <c r="K23" s="4"/>
      <c r="L23" s="53"/>
      <c r="P23" s="4"/>
      <c r="Q23" s="4"/>
      <c r="R23" s="4"/>
      <c r="S23" s="4"/>
      <c r="T23" s="4"/>
      <c r="U23" s="4"/>
      <c r="V23" s="4"/>
    </row>
    <row r="24">
      <c r="A24" s="49" t="s">
        <v>42</v>
      </c>
      <c r="B24" s="89" t="s">
        <v>63</v>
      </c>
      <c r="C24" s="32">
        <v>46321.99930555555</v>
      </c>
      <c r="D24" s="33"/>
      <c r="E24" s="75" t="str">
        <f t="shared" si="1"/>
        <v/>
      </c>
      <c r="F24" s="37">
        <f t="shared" si="2"/>
        <v>0</v>
      </c>
      <c r="G24" s="4"/>
      <c r="H24" s="38" t="str">
        <f t="shared" si="3"/>
        <v>0</v>
      </c>
      <c r="I24" s="4"/>
      <c r="J24" s="4"/>
      <c r="K24" s="4"/>
      <c r="L24" s="53"/>
      <c r="P24" s="4"/>
      <c r="Q24" s="4"/>
      <c r="R24" s="4"/>
      <c r="S24" s="4"/>
      <c r="T24" s="4"/>
      <c r="U24" s="4"/>
      <c r="V24" s="4"/>
    </row>
    <row r="25">
      <c r="A25" s="55" t="s">
        <v>43</v>
      </c>
      <c r="B25" s="89" t="s">
        <v>18</v>
      </c>
      <c r="C25" s="84">
        <v>46321.99930555555</v>
      </c>
      <c r="D25" s="56"/>
      <c r="E25" s="75" t="str">
        <f t="shared" si="1"/>
        <v/>
      </c>
      <c r="F25" s="57">
        <f t="shared" si="2"/>
        <v>0</v>
      </c>
      <c r="G25" s="4"/>
      <c r="H25" s="58" t="str">
        <f t="shared" si="3"/>
        <v>0</v>
      </c>
      <c r="I25" s="4"/>
      <c r="J25" s="4"/>
      <c r="K25" s="4"/>
      <c r="L25" s="53"/>
      <c r="P25" s="4"/>
      <c r="Q25" s="4"/>
      <c r="R25" s="4"/>
      <c r="S25" s="4"/>
      <c r="T25" s="4"/>
      <c r="U25" s="4"/>
      <c r="V25" s="4"/>
    </row>
    <row r="26">
      <c r="A26" s="87" t="s">
        <v>44</v>
      </c>
      <c r="B26" s="60"/>
      <c r="C26" s="87"/>
      <c r="D26" s="87"/>
      <c r="E26" s="87"/>
      <c r="F26" s="87"/>
      <c r="G26" s="87"/>
      <c r="H26" s="87"/>
      <c r="I26" s="4"/>
      <c r="J26" s="4"/>
      <c r="K26" s="4"/>
      <c r="L26" s="53"/>
      <c r="P26" s="4"/>
      <c r="Q26" s="4"/>
      <c r="R26" s="4"/>
      <c r="S26" s="4"/>
      <c r="T26" s="4"/>
      <c r="U26" s="4"/>
      <c r="V26" s="4"/>
    </row>
    <row r="27">
      <c r="A27" s="63" t="s">
        <v>6</v>
      </c>
      <c r="B27" s="17" t="s">
        <v>7</v>
      </c>
      <c r="C27" s="64" t="s">
        <v>8</v>
      </c>
      <c r="D27" s="65" t="s">
        <v>9</v>
      </c>
      <c r="E27" s="27" t="s">
        <v>10</v>
      </c>
      <c r="F27" s="28" t="s">
        <v>11</v>
      </c>
      <c r="G27" s="4"/>
      <c r="H27" s="26" t="s">
        <v>12</v>
      </c>
      <c r="K27" s="4"/>
      <c r="L27" s="53"/>
      <c r="P27" s="4"/>
      <c r="Q27" s="4"/>
      <c r="R27" s="4"/>
      <c r="S27" s="4"/>
      <c r="T27" s="4"/>
      <c r="U27" s="4"/>
      <c r="V27" s="4"/>
    </row>
    <row r="28">
      <c r="A28" s="29" t="s">
        <v>45</v>
      </c>
      <c r="B28" s="30" t="s">
        <v>20</v>
      </c>
      <c r="C28" s="32">
        <v>46325.99930555555</v>
      </c>
      <c r="D28" s="33"/>
      <c r="E28" s="75" t="str">
        <f t="shared" ref="E28:E39" si="4">IF(D28&lt;&gt;"",IF(E28="",NOW(),E28),"")</f>
        <v/>
      </c>
      <c r="F28" s="37">
        <f t="shared" ref="F28:F39" si="5">if(D28 = "", 0,IF(E28&lt;C28,0.5,0))</f>
        <v>0</v>
      </c>
      <c r="G28" s="4"/>
      <c r="H28" s="38" t="str">
        <f t="shared" ref="H28:H39" si="6">if(D28 &lt;&gt; "", ABS(E28-C28), "0")</f>
        <v>0</v>
      </c>
      <c r="K28" s="4"/>
      <c r="L28" s="53"/>
      <c r="P28" s="4"/>
      <c r="Q28" s="4"/>
      <c r="R28" s="4"/>
      <c r="S28" s="4"/>
      <c r="T28" s="4"/>
      <c r="U28" s="4"/>
      <c r="V28" s="4"/>
    </row>
    <row r="29">
      <c r="A29" s="68" t="s">
        <v>46</v>
      </c>
      <c r="B29" s="30" t="s">
        <v>20</v>
      </c>
      <c r="C29" s="32">
        <v>46325.99930555555</v>
      </c>
      <c r="D29" s="33"/>
      <c r="E29" s="75" t="str">
        <f t="shared" si="4"/>
        <v/>
      </c>
      <c r="F29" s="37">
        <f t="shared" si="5"/>
        <v>0</v>
      </c>
      <c r="G29" s="4"/>
      <c r="H29" s="38" t="str">
        <f t="shared" si="6"/>
        <v>0</v>
      </c>
      <c r="K29" s="4"/>
      <c r="L29" s="53"/>
      <c r="P29" s="4"/>
      <c r="Q29" s="4"/>
      <c r="R29" s="4"/>
      <c r="S29" s="4"/>
      <c r="T29" s="4"/>
      <c r="U29" s="4"/>
      <c r="V29" s="4"/>
    </row>
    <row r="30">
      <c r="A30" s="68" t="s">
        <v>47</v>
      </c>
      <c r="B30" s="30" t="s">
        <v>14</v>
      </c>
      <c r="C30" s="32">
        <v>46297.99930555555</v>
      </c>
      <c r="D30" s="33"/>
      <c r="E30" s="75" t="str">
        <f t="shared" si="4"/>
        <v/>
      </c>
      <c r="F30" s="37">
        <f t="shared" si="5"/>
        <v>0</v>
      </c>
      <c r="G30" s="4"/>
      <c r="H30" s="38" t="str">
        <f t="shared" si="6"/>
        <v>0</v>
      </c>
      <c r="K30" s="4"/>
      <c r="L30" s="53"/>
      <c r="P30" s="4"/>
      <c r="Q30" s="4"/>
      <c r="R30" s="4"/>
      <c r="S30" s="4"/>
      <c r="T30" s="4"/>
      <c r="U30" s="4"/>
      <c r="V30" s="4"/>
    </row>
    <row r="31">
      <c r="A31" s="68" t="s">
        <v>48</v>
      </c>
      <c r="B31" s="30" t="s">
        <v>14</v>
      </c>
      <c r="C31" s="32">
        <v>46300.99930555555</v>
      </c>
      <c r="D31" s="33"/>
      <c r="E31" s="75" t="str">
        <f t="shared" si="4"/>
        <v/>
      </c>
      <c r="F31" s="37">
        <f t="shared" si="5"/>
        <v>0</v>
      </c>
      <c r="G31" s="4"/>
      <c r="H31" s="38" t="str">
        <f t="shared" si="6"/>
        <v>0</v>
      </c>
      <c r="K31" s="70"/>
      <c r="L31" s="53"/>
      <c r="P31" s="4"/>
      <c r="Q31" s="4"/>
      <c r="R31" s="4"/>
      <c r="S31" s="4"/>
      <c r="T31" s="4"/>
      <c r="U31" s="4"/>
      <c r="V31" s="4"/>
    </row>
    <row r="32">
      <c r="A32" s="69" t="s">
        <v>50</v>
      </c>
      <c r="B32" s="89" t="s">
        <v>18</v>
      </c>
      <c r="C32" s="32">
        <v>46301.99930555555</v>
      </c>
      <c r="D32" s="33"/>
      <c r="E32" s="75" t="str">
        <f t="shared" si="4"/>
        <v/>
      </c>
      <c r="F32" s="37">
        <f t="shared" si="5"/>
        <v>0</v>
      </c>
      <c r="G32" s="4"/>
      <c r="H32" s="38" t="str">
        <f t="shared" si="6"/>
        <v>0</v>
      </c>
      <c r="K32" s="70"/>
      <c r="L32" s="53"/>
      <c r="P32" s="4"/>
      <c r="Q32" s="4"/>
      <c r="R32" s="4"/>
      <c r="S32" s="4"/>
      <c r="T32" s="4"/>
      <c r="U32" s="4"/>
      <c r="V32" s="4"/>
    </row>
    <row r="33">
      <c r="A33" s="69" t="s">
        <v>51</v>
      </c>
      <c r="B33" s="30" t="s">
        <v>20</v>
      </c>
      <c r="C33" s="32">
        <v>46307.99930555555</v>
      </c>
      <c r="D33" s="33"/>
      <c r="E33" s="75" t="str">
        <f t="shared" si="4"/>
        <v/>
      </c>
      <c r="F33" s="37">
        <f t="shared" si="5"/>
        <v>0</v>
      </c>
      <c r="G33" s="4"/>
      <c r="H33" s="38" t="str">
        <f t="shared" si="6"/>
        <v>0</v>
      </c>
      <c r="K33" s="70"/>
      <c r="L33" s="53"/>
      <c r="P33" s="4"/>
      <c r="Q33" s="4"/>
      <c r="R33" s="4"/>
      <c r="S33" s="4"/>
      <c r="T33" s="4"/>
      <c r="U33" s="4"/>
      <c r="V33" s="4"/>
    </row>
    <row r="34">
      <c r="A34" s="69" t="s">
        <v>52</v>
      </c>
      <c r="B34" s="30" t="s">
        <v>14</v>
      </c>
      <c r="C34" s="32">
        <v>46308.99930555555</v>
      </c>
      <c r="D34" s="33"/>
      <c r="E34" s="75" t="str">
        <f t="shared" si="4"/>
        <v/>
      </c>
      <c r="F34" s="37">
        <f t="shared" si="5"/>
        <v>0</v>
      </c>
      <c r="G34" s="4"/>
      <c r="H34" s="38" t="str">
        <f t="shared" si="6"/>
        <v>0</v>
      </c>
      <c r="I34" s="4"/>
      <c r="J34" s="4"/>
      <c r="K34" s="70"/>
      <c r="L34" s="53"/>
      <c r="P34" s="4"/>
      <c r="Q34" s="4"/>
      <c r="R34" s="4"/>
      <c r="S34" s="4"/>
      <c r="T34" s="4"/>
      <c r="U34" s="4"/>
      <c r="V34" s="4"/>
    </row>
    <row r="35">
      <c r="A35" s="69" t="s">
        <v>53</v>
      </c>
      <c r="B35" s="30" t="s">
        <v>20</v>
      </c>
      <c r="C35" s="32">
        <v>46313.99930555555</v>
      </c>
      <c r="D35" s="33"/>
      <c r="E35" s="75" t="str">
        <f t="shared" si="4"/>
        <v/>
      </c>
      <c r="F35" s="37">
        <f t="shared" si="5"/>
        <v>0</v>
      </c>
      <c r="G35" s="4"/>
      <c r="H35" s="38" t="str">
        <f t="shared" si="6"/>
        <v>0</v>
      </c>
      <c r="I35" s="70"/>
      <c r="J35" s="70"/>
      <c r="K35" s="4"/>
      <c r="L35" s="71"/>
      <c r="P35" s="4"/>
      <c r="Q35" s="4"/>
      <c r="R35" s="4"/>
      <c r="S35" s="4"/>
      <c r="T35" s="4"/>
      <c r="U35" s="4"/>
      <c r="V35" s="4"/>
    </row>
    <row r="36">
      <c r="A36" s="69" t="s">
        <v>54</v>
      </c>
      <c r="B36" s="30" t="s">
        <v>55</v>
      </c>
      <c r="C36" s="32">
        <v>46315.99930555555</v>
      </c>
      <c r="D36" s="33"/>
      <c r="E36" s="75" t="str">
        <f t="shared" si="4"/>
        <v/>
      </c>
      <c r="F36" s="37">
        <f t="shared" si="5"/>
        <v>0</v>
      </c>
      <c r="G36" s="4"/>
      <c r="H36" s="38" t="str">
        <f t="shared" si="6"/>
        <v>0</v>
      </c>
      <c r="J36" s="70"/>
      <c r="K36" s="70"/>
      <c r="L36" s="72"/>
      <c r="P36" s="4"/>
      <c r="Q36" s="4"/>
      <c r="R36" s="4"/>
      <c r="S36" s="4"/>
      <c r="T36" s="4"/>
      <c r="U36" s="4"/>
      <c r="V36" s="4"/>
    </row>
    <row r="37">
      <c r="A37" s="69" t="s">
        <v>56</v>
      </c>
      <c r="B37" s="30" t="s">
        <v>55</v>
      </c>
      <c r="C37" s="32">
        <v>46318.99930555555</v>
      </c>
      <c r="D37" s="33"/>
      <c r="E37" s="75" t="str">
        <f t="shared" si="4"/>
        <v/>
      </c>
      <c r="F37" s="37">
        <f t="shared" si="5"/>
        <v>0</v>
      </c>
      <c r="G37" s="4"/>
      <c r="H37" s="38" t="str">
        <f t="shared" si="6"/>
        <v>0</v>
      </c>
      <c r="J37" s="70"/>
      <c r="K37" s="70"/>
      <c r="L37" s="72"/>
      <c r="P37" s="4"/>
      <c r="Q37" s="4"/>
      <c r="R37" s="4"/>
      <c r="S37" s="4"/>
      <c r="T37" s="4"/>
      <c r="U37" s="4"/>
      <c r="V37" s="4"/>
    </row>
    <row r="38">
      <c r="A38" s="69" t="s">
        <v>57</v>
      </c>
      <c r="B38" s="30" t="s">
        <v>55</v>
      </c>
      <c r="C38" s="32">
        <v>46321.99930555555</v>
      </c>
      <c r="D38" s="33"/>
      <c r="E38" s="75" t="str">
        <f t="shared" si="4"/>
        <v/>
      </c>
      <c r="F38" s="37">
        <f t="shared" si="5"/>
        <v>0</v>
      </c>
      <c r="G38" s="4"/>
      <c r="H38" s="38" t="str">
        <f t="shared" si="6"/>
        <v>0</v>
      </c>
      <c r="J38" s="70"/>
      <c r="K38" s="70"/>
      <c r="L38" s="72"/>
      <c r="P38" s="4"/>
      <c r="Q38" s="4"/>
      <c r="R38" s="4"/>
      <c r="S38" s="4"/>
      <c r="T38" s="4"/>
      <c r="U38" s="4"/>
      <c r="V38" s="4"/>
    </row>
    <row r="39">
      <c r="A39" s="69" t="s">
        <v>58</v>
      </c>
      <c r="B39" s="89" t="s">
        <v>65</v>
      </c>
      <c r="C39" s="32">
        <v>46321.99930555555</v>
      </c>
      <c r="D39" s="33"/>
      <c r="E39" s="75" t="str">
        <f t="shared" si="4"/>
        <v/>
      </c>
      <c r="F39" s="37">
        <f t="shared" si="5"/>
        <v>0</v>
      </c>
      <c r="G39" s="4"/>
      <c r="H39" s="38" t="str">
        <f t="shared" si="6"/>
        <v>0</v>
      </c>
      <c r="J39" s="70"/>
      <c r="K39" s="70"/>
      <c r="L39" s="72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76"/>
      <c r="F40" s="53"/>
      <c r="G40" s="4"/>
      <c r="H40" s="4"/>
      <c r="J40" s="70"/>
      <c r="K40" s="70"/>
      <c r="L40" s="72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76"/>
      <c r="F41" s="53"/>
      <c r="G41" s="4"/>
      <c r="H41" s="4"/>
      <c r="J41" s="70"/>
      <c r="K41" s="70"/>
      <c r="L41" s="72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76"/>
      <c r="F42" s="53"/>
      <c r="G42" s="4"/>
      <c r="H42" s="4"/>
      <c r="I42" s="4"/>
      <c r="J42" s="4"/>
      <c r="K42" s="4"/>
      <c r="L42" s="53"/>
      <c r="P42" s="4"/>
      <c r="Q42" s="4"/>
      <c r="R42" s="4"/>
      <c r="S42" s="4"/>
      <c r="T42" s="4"/>
      <c r="U42" s="4"/>
      <c r="V42" s="4"/>
    </row>
    <row r="43">
      <c r="C43" s="4"/>
      <c r="D43" s="4"/>
      <c r="E43" s="76"/>
      <c r="F43" s="53"/>
      <c r="G43" s="4"/>
      <c r="H43" s="4"/>
      <c r="I43" s="4"/>
      <c r="J43" s="4"/>
      <c r="K43" s="4"/>
      <c r="L43" s="53"/>
      <c r="P43" s="4"/>
      <c r="Q43" s="4"/>
      <c r="R43" s="4"/>
      <c r="S43" s="4"/>
      <c r="T43" s="4"/>
      <c r="U43" s="4"/>
      <c r="V43" s="4"/>
    </row>
    <row r="44">
      <c r="C44" s="4"/>
      <c r="D44" s="4"/>
      <c r="E44" s="76"/>
      <c r="F44" s="53"/>
      <c r="G44" s="4"/>
      <c r="H44" s="4"/>
      <c r="I44" s="4"/>
      <c r="J44" s="4"/>
      <c r="K44" s="4"/>
      <c r="L44" s="53"/>
      <c r="P44" s="4"/>
      <c r="Q44" s="4"/>
      <c r="R44" s="4"/>
      <c r="S44" s="4"/>
      <c r="T44" s="4"/>
      <c r="U44" s="4"/>
      <c r="V44" s="4"/>
    </row>
    <row r="45">
      <c r="C45" s="4"/>
      <c r="D45" s="4"/>
      <c r="E45" s="76"/>
      <c r="F45" s="53"/>
      <c r="G45" s="4"/>
      <c r="H45" s="4"/>
      <c r="I45" s="4"/>
      <c r="J45" s="4"/>
      <c r="K45" s="4"/>
      <c r="L45" s="53"/>
      <c r="P45" s="4"/>
      <c r="Q45" s="4"/>
      <c r="R45" s="4"/>
      <c r="S45" s="4"/>
      <c r="T45" s="4"/>
      <c r="U45" s="4"/>
      <c r="V45" s="4"/>
    </row>
    <row r="46">
      <c r="C46" s="4"/>
      <c r="D46" s="4"/>
      <c r="E46" s="76"/>
      <c r="F46" s="53"/>
      <c r="G46" s="4"/>
      <c r="H46" s="4"/>
      <c r="I46" s="4"/>
      <c r="J46" s="4"/>
      <c r="K46" s="4"/>
      <c r="L46" s="53"/>
      <c r="P46" s="4"/>
      <c r="Q46" s="4"/>
      <c r="R46" s="4"/>
      <c r="S46" s="4"/>
      <c r="T46" s="4"/>
      <c r="U46" s="4"/>
      <c r="V46" s="4"/>
    </row>
    <row r="47">
      <c r="C47" s="4"/>
      <c r="D47" s="4"/>
      <c r="E47" s="76"/>
      <c r="F47" s="53"/>
      <c r="G47" s="4"/>
      <c r="H47" s="4"/>
      <c r="I47" s="4"/>
      <c r="J47" s="4"/>
      <c r="K47" s="4"/>
      <c r="L47" s="53"/>
      <c r="P47" s="4"/>
      <c r="Q47" s="4"/>
      <c r="R47" s="4"/>
      <c r="S47" s="4"/>
      <c r="T47" s="4"/>
      <c r="U47" s="4"/>
      <c r="V47" s="4"/>
    </row>
    <row r="48">
      <c r="C48" s="4"/>
      <c r="D48" s="4"/>
      <c r="E48" s="76"/>
      <c r="F48" s="53"/>
      <c r="G48" s="4"/>
      <c r="H48" s="4"/>
      <c r="I48" s="4"/>
      <c r="J48" s="4"/>
      <c r="K48" s="4"/>
      <c r="L48" s="53"/>
      <c r="P48" s="4"/>
      <c r="Q48" s="4"/>
      <c r="R48" s="4"/>
      <c r="S48" s="4"/>
      <c r="T48" s="4"/>
      <c r="U48" s="4"/>
      <c r="V48" s="4"/>
    </row>
    <row r="49">
      <c r="C49" s="4"/>
      <c r="D49" s="4"/>
      <c r="E49" s="76"/>
      <c r="F49" s="53"/>
      <c r="G49" s="4"/>
      <c r="H49" s="4"/>
      <c r="I49" s="4"/>
      <c r="J49" s="4"/>
      <c r="K49" s="4"/>
      <c r="L49" s="53"/>
      <c r="P49" s="4"/>
      <c r="Q49" s="4"/>
      <c r="R49" s="4"/>
      <c r="S49" s="4"/>
      <c r="T49" s="4"/>
      <c r="U49" s="4"/>
      <c r="V49" s="4"/>
    </row>
    <row r="50">
      <c r="C50" s="4"/>
      <c r="D50" s="4"/>
      <c r="E50" s="76"/>
      <c r="F50" s="53"/>
      <c r="G50" s="4"/>
      <c r="H50" s="4"/>
      <c r="I50" s="4"/>
      <c r="J50" s="4"/>
      <c r="K50" s="4"/>
      <c r="L50" s="53"/>
      <c r="P50" s="4"/>
      <c r="Q50" s="4"/>
      <c r="R50" s="4"/>
      <c r="S50" s="4"/>
      <c r="T50" s="4"/>
      <c r="U50" s="4"/>
      <c r="V50" s="4"/>
    </row>
    <row r="51">
      <c r="C51" s="4"/>
      <c r="D51" s="4"/>
      <c r="E51" s="76"/>
      <c r="F51" s="53"/>
      <c r="G51" s="4"/>
      <c r="H51" s="4"/>
      <c r="I51" s="4"/>
      <c r="J51" s="4"/>
      <c r="K51" s="4"/>
      <c r="L51" s="53"/>
      <c r="P51" s="4"/>
      <c r="Q51" s="4"/>
      <c r="R51" s="4"/>
      <c r="S51" s="4"/>
      <c r="T51" s="4"/>
      <c r="U51" s="4"/>
      <c r="V51" s="4"/>
    </row>
    <row r="52">
      <c r="C52" s="4"/>
      <c r="D52" s="4"/>
      <c r="E52" s="76"/>
      <c r="F52" s="53"/>
      <c r="G52" s="4"/>
      <c r="H52" s="4"/>
      <c r="I52" s="4"/>
      <c r="J52" s="4"/>
      <c r="K52" s="4"/>
      <c r="L52" s="53"/>
      <c r="P52" s="4"/>
      <c r="Q52" s="4"/>
      <c r="R52" s="4"/>
      <c r="S52" s="4"/>
      <c r="T52" s="4"/>
      <c r="U52" s="4"/>
      <c r="V52" s="4"/>
    </row>
    <row r="53">
      <c r="C53" s="4"/>
      <c r="D53" s="4"/>
      <c r="E53" s="76"/>
      <c r="F53" s="53"/>
      <c r="G53" s="4"/>
      <c r="H53" s="4"/>
      <c r="I53" s="4"/>
      <c r="J53" s="4"/>
      <c r="K53" s="4"/>
      <c r="L53" s="53"/>
      <c r="P53" s="4"/>
      <c r="Q53" s="4"/>
      <c r="R53" s="4"/>
      <c r="S53" s="4"/>
      <c r="T53" s="4"/>
      <c r="U53" s="4"/>
      <c r="V53" s="4"/>
    </row>
    <row r="54">
      <c r="C54" s="4"/>
      <c r="D54" s="4"/>
      <c r="E54" s="76"/>
      <c r="F54" s="53"/>
      <c r="G54" s="4"/>
      <c r="H54" s="4"/>
      <c r="I54" s="4"/>
      <c r="J54" s="4"/>
      <c r="K54" s="4"/>
      <c r="L54" s="53"/>
      <c r="P54" s="4"/>
      <c r="Q54" s="4"/>
      <c r="R54" s="4"/>
      <c r="S54" s="4"/>
      <c r="T54" s="4"/>
      <c r="U54" s="4"/>
      <c r="V54" s="4"/>
    </row>
    <row r="55">
      <c r="C55" s="4"/>
      <c r="D55" s="4"/>
      <c r="E55" s="76"/>
      <c r="F55" s="53"/>
      <c r="G55" s="4"/>
      <c r="H55" s="4"/>
      <c r="I55" s="4"/>
      <c r="J55" s="4"/>
      <c r="K55" s="4"/>
      <c r="L55" s="53"/>
      <c r="P55" s="4"/>
      <c r="Q55" s="4"/>
      <c r="R55" s="4"/>
      <c r="S55" s="4"/>
      <c r="T55" s="4"/>
      <c r="U55" s="4"/>
      <c r="V55" s="4"/>
    </row>
    <row r="56">
      <c r="C56" s="4"/>
      <c r="D56" s="4"/>
      <c r="E56" s="76"/>
      <c r="F56" s="53"/>
      <c r="G56" s="4"/>
      <c r="H56" s="4"/>
      <c r="I56" s="4"/>
      <c r="J56" s="4"/>
      <c r="K56" s="4"/>
      <c r="L56" s="53"/>
      <c r="P56" s="4"/>
      <c r="Q56" s="4"/>
      <c r="R56" s="4"/>
      <c r="S56" s="4"/>
      <c r="T56" s="4"/>
      <c r="U56" s="4"/>
      <c r="V56" s="4"/>
    </row>
    <row r="57">
      <c r="C57" s="4"/>
      <c r="D57" s="4"/>
      <c r="E57" s="76"/>
      <c r="F57" s="53"/>
      <c r="G57" s="4"/>
      <c r="H57" s="4"/>
      <c r="I57" s="4"/>
      <c r="J57" s="4"/>
      <c r="K57" s="4"/>
      <c r="L57" s="53"/>
      <c r="P57" s="4"/>
      <c r="Q57" s="4"/>
      <c r="R57" s="4"/>
      <c r="S57" s="4"/>
      <c r="T57" s="4"/>
      <c r="U57" s="4"/>
      <c r="V57" s="4"/>
    </row>
    <row r="58">
      <c r="C58" s="4"/>
      <c r="D58" s="4"/>
      <c r="E58" s="76"/>
      <c r="F58" s="53"/>
      <c r="G58" s="4"/>
      <c r="H58" s="4"/>
      <c r="I58" s="4"/>
      <c r="J58" s="4"/>
      <c r="K58" s="4"/>
      <c r="L58" s="53"/>
      <c r="P58" s="4"/>
      <c r="Q58" s="4"/>
      <c r="R58" s="4"/>
      <c r="S58" s="4"/>
      <c r="T58" s="4"/>
      <c r="U58" s="4"/>
      <c r="V58" s="4"/>
    </row>
    <row r="59">
      <c r="C59" s="4"/>
      <c r="D59" s="4"/>
      <c r="E59" s="76"/>
      <c r="F59" s="53"/>
      <c r="G59" s="4"/>
      <c r="H59" s="4"/>
      <c r="I59" s="4"/>
      <c r="J59" s="4"/>
      <c r="K59" s="4"/>
      <c r="L59" s="53"/>
      <c r="P59" s="4"/>
      <c r="Q59" s="4"/>
      <c r="R59" s="4"/>
      <c r="S59" s="4"/>
      <c r="T59" s="4"/>
      <c r="U59" s="4"/>
      <c r="V59" s="4"/>
    </row>
    <row r="60">
      <c r="C60" s="4"/>
      <c r="D60" s="4"/>
      <c r="E60" s="76"/>
      <c r="F60" s="53"/>
      <c r="G60" s="4"/>
      <c r="H60" s="4"/>
      <c r="I60" s="4"/>
      <c r="J60" s="4"/>
      <c r="K60" s="4"/>
      <c r="L60" s="53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76"/>
      <c r="F61" s="53"/>
      <c r="G61" s="4"/>
      <c r="H61" s="4"/>
      <c r="I61" s="4"/>
      <c r="J61" s="4"/>
      <c r="K61" s="4"/>
      <c r="L61" s="53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76"/>
      <c r="F62" s="53"/>
      <c r="G62" s="4"/>
      <c r="H62" s="4"/>
      <c r="I62" s="4"/>
      <c r="J62" s="4"/>
      <c r="K62" s="4"/>
      <c r="L62" s="53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76"/>
      <c r="F63" s="53"/>
      <c r="G63" s="4"/>
      <c r="H63" s="4"/>
      <c r="I63" s="4"/>
      <c r="J63" s="4"/>
      <c r="K63" s="4"/>
      <c r="L63" s="53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76"/>
      <c r="F64" s="53"/>
      <c r="G64" s="4"/>
      <c r="H64" s="4"/>
      <c r="I64" s="4"/>
      <c r="J64" s="4"/>
      <c r="K64" s="4"/>
      <c r="L64" s="53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76"/>
      <c r="F65" s="53"/>
      <c r="G65" s="4"/>
      <c r="H65" s="4"/>
      <c r="I65" s="4"/>
      <c r="J65" s="4"/>
      <c r="K65" s="4"/>
      <c r="L65" s="53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76"/>
      <c r="F66" s="53"/>
      <c r="G66" s="4"/>
      <c r="H66" s="4"/>
      <c r="I66" s="4"/>
      <c r="J66" s="4"/>
      <c r="K66" s="4"/>
      <c r="L66" s="53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76"/>
      <c r="F67" s="53"/>
      <c r="G67" s="4"/>
      <c r="H67" s="4"/>
      <c r="I67" s="4"/>
      <c r="J67" s="4"/>
      <c r="K67" s="4"/>
      <c r="L67" s="53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76"/>
      <c r="F68" s="53"/>
      <c r="G68" s="4"/>
      <c r="H68" s="4"/>
      <c r="I68" s="4"/>
      <c r="J68" s="4"/>
      <c r="K68" s="4"/>
      <c r="L68" s="53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76"/>
      <c r="F69" s="53"/>
      <c r="G69" s="4"/>
      <c r="H69" s="4"/>
      <c r="I69" s="4"/>
      <c r="J69" s="4"/>
      <c r="K69" s="4"/>
      <c r="L69" s="53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76"/>
      <c r="F70" s="53"/>
      <c r="G70" s="4"/>
      <c r="H70" s="4"/>
      <c r="I70" s="4"/>
      <c r="J70" s="4"/>
      <c r="K70" s="4"/>
      <c r="L70" s="53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76"/>
      <c r="F71" s="53"/>
      <c r="G71" s="4"/>
      <c r="H71" s="4"/>
      <c r="I71" s="4"/>
      <c r="J71" s="4"/>
      <c r="K71" s="4"/>
      <c r="L71" s="53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76"/>
      <c r="F72" s="53"/>
      <c r="G72" s="4"/>
      <c r="H72" s="4"/>
      <c r="I72" s="4"/>
      <c r="J72" s="4"/>
      <c r="K72" s="4"/>
      <c r="L72" s="53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76"/>
      <c r="F73" s="53"/>
      <c r="G73" s="4"/>
      <c r="H73" s="4"/>
      <c r="I73" s="4"/>
      <c r="J73" s="4"/>
      <c r="K73" s="4"/>
      <c r="L73" s="53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76"/>
      <c r="F74" s="53"/>
      <c r="G74" s="4"/>
      <c r="H74" s="4"/>
      <c r="I74" s="4"/>
      <c r="J74" s="4"/>
      <c r="K74" s="4"/>
      <c r="L74" s="53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76"/>
      <c r="F75" s="53"/>
      <c r="G75" s="4"/>
      <c r="H75" s="4"/>
      <c r="I75" s="4"/>
      <c r="J75" s="4"/>
      <c r="K75" s="4"/>
      <c r="L75" s="53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76"/>
      <c r="F76" s="53"/>
      <c r="G76" s="4"/>
      <c r="H76" s="4"/>
      <c r="I76" s="4"/>
      <c r="J76" s="4"/>
      <c r="K76" s="4"/>
      <c r="L76" s="53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76"/>
      <c r="F77" s="53"/>
      <c r="G77" s="4"/>
      <c r="H77" s="4"/>
      <c r="I77" s="4"/>
      <c r="J77" s="4"/>
      <c r="K77" s="4"/>
      <c r="L77" s="53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76"/>
      <c r="F78" s="53"/>
      <c r="G78" s="4"/>
      <c r="H78" s="4"/>
      <c r="I78" s="4"/>
      <c r="J78" s="4"/>
      <c r="K78" s="4"/>
      <c r="L78" s="53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76"/>
      <c r="F79" s="53"/>
      <c r="G79" s="4"/>
      <c r="H79" s="4"/>
      <c r="I79" s="4"/>
      <c r="J79" s="4"/>
      <c r="K79" s="4"/>
      <c r="L79" s="53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76"/>
      <c r="F80" s="53"/>
      <c r="G80" s="4"/>
      <c r="H80" s="4"/>
      <c r="I80" s="4"/>
      <c r="J80" s="4"/>
      <c r="K80" s="4"/>
      <c r="L80" s="53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76"/>
      <c r="F81" s="53"/>
      <c r="G81" s="4"/>
      <c r="H81" s="4"/>
      <c r="I81" s="4"/>
      <c r="J81" s="4"/>
      <c r="K81" s="4"/>
      <c r="L81" s="53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76"/>
      <c r="F82" s="53"/>
      <c r="G82" s="4"/>
      <c r="H82" s="4"/>
      <c r="I82" s="4"/>
      <c r="J82" s="4"/>
      <c r="K82" s="4"/>
      <c r="L82" s="53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76"/>
      <c r="F83" s="53"/>
      <c r="G83" s="4"/>
      <c r="H83" s="4"/>
      <c r="I83" s="4"/>
      <c r="J83" s="4"/>
      <c r="K83" s="4"/>
      <c r="L83" s="53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76"/>
      <c r="F84" s="53"/>
      <c r="G84" s="4"/>
      <c r="H84" s="4"/>
      <c r="I84" s="4"/>
      <c r="J84" s="4"/>
      <c r="K84" s="4"/>
      <c r="L84" s="53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76"/>
      <c r="F85" s="53"/>
      <c r="G85" s="4"/>
      <c r="H85" s="4"/>
      <c r="I85" s="4"/>
      <c r="J85" s="4"/>
      <c r="K85" s="4"/>
      <c r="L85" s="53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76"/>
      <c r="F86" s="53"/>
      <c r="G86" s="4"/>
      <c r="H86" s="4"/>
      <c r="I86" s="4"/>
      <c r="J86" s="4"/>
      <c r="K86" s="4"/>
      <c r="L86" s="53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76"/>
      <c r="F87" s="53"/>
      <c r="G87" s="4"/>
      <c r="H87" s="4"/>
      <c r="I87" s="4"/>
      <c r="J87" s="4"/>
      <c r="K87" s="4"/>
      <c r="L87" s="53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76"/>
      <c r="F88" s="53"/>
      <c r="G88" s="4"/>
      <c r="H88" s="4"/>
      <c r="I88" s="4"/>
      <c r="J88" s="4"/>
      <c r="K88" s="4"/>
      <c r="L88" s="53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76"/>
      <c r="F89" s="53"/>
      <c r="G89" s="4"/>
      <c r="H89" s="4"/>
      <c r="I89" s="4"/>
      <c r="J89" s="4"/>
      <c r="K89" s="4"/>
      <c r="L89" s="53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76"/>
      <c r="F90" s="53"/>
      <c r="G90" s="4"/>
      <c r="H90" s="4"/>
      <c r="I90" s="4"/>
      <c r="J90" s="4"/>
      <c r="K90" s="4"/>
      <c r="L90" s="53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76"/>
      <c r="F91" s="53"/>
      <c r="G91" s="4"/>
      <c r="H91" s="4"/>
      <c r="I91" s="4"/>
      <c r="J91" s="4"/>
      <c r="K91" s="4"/>
      <c r="L91" s="53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76"/>
      <c r="F92" s="53"/>
      <c r="G92" s="4"/>
      <c r="H92" s="4"/>
      <c r="I92" s="4"/>
      <c r="J92" s="4"/>
      <c r="K92" s="4"/>
      <c r="L92" s="53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76"/>
      <c r="F93" s="53"/>
      <c r="G93" s="4"/>
      <c r="H93" s="4"/>
      <c r="I93" s="4"/>
      <c r="J93" s="4"/>
      <c r="K93" s="4"/>
      <c r="L93" s="53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76"/>
      <c r="F94" s="53"/>
      <c r="G94" s="4"/>
      <c r="H94" s="4"/>
      <c r="I94" s="4"/>
      <c r="J94" s="4"/>
      <c r="K94" s="4"/>
      <c r="L94" s="53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76"/>
      <c r="F95" s="53"/>
      <c r="G95" s="4"/>
      <c r="H95" s="4"/>
      <c r="I95" s="4"/>
      <c r="J95" s="4"/>
      <c r="K95" s="4"/>
      <c r="L95" s="53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76"/>
      <c r="F96" s="53"/>
      <c r="G96" s="4"/>
      <c r="H96" s="4"/>
      <c r="I96" s="4"/>
      <c r="J96" s="4"/>
      <c r="K96" s="4"/>
      <c r="L96" s="53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76"/>
      <c r="F97" s="53"/>
      <c r="G97" s="4"/>
      <c r="H97" s="4"/>
      <c r="I97" s="4"/>
      <c r="J97" s="4"/>
      <c r="K97" s="4"/>
      <c r="L97" s="53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76"/>
      <c r="F98" s="53"/>
      <c r="G98" s="4"/>
      <c r="H98" s="4"/>
      <c r="I98" s="4"/>
      <c r="J98" s="4"/>
      <c r="K98" s="4"/>
      <c r="L98" s="53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76"/>
      <c r="F99" s="53"/>
      <c r="G99" s="4"/>
      <c r="H99" s="4"/>
      <c r="I99" s="4"/>
      <c r="J99" s="4"/>
      <c r="K99" s="4"/>
      <c r="L99" s="53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76"/>
      <c r="F100" s="53"/>
      <c r="G100" s="4"/>
      <c r="H100" s="4"/>
      <c r="I100" s="4"/>
      <c r="J100" s="4"/>
      <c r="K100" s="4"/>
      <c r="L100" s="53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76"/>
      <c r="F101" s="53"/>
      <c r="G101" s="4"/>
      <c r="H101" s="4"/>
      <c r="I101" s="4"/>
      <c r="J101" s="4"/>
      <c r="K101" s="4"/>
      <c r="L101" s="53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76"/>
      <c r="F102" s="53"/>
      <c r="G102" s="4"/>
      <c r="H102" s="4"/>
      <c r="I102" s="4"/>
      <c r="J102" s="4"/>
      <c r="K102" s="4"/>
      <c r="L102" s="53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76"/>
      <c r="F103" s="53"/>
      <c r="G103" s="4"/>
      <c r="H103" s="4"/>
      <c r="I103" s="4"/>
      <c r="J103" s="4"/>
      <c r="K103" s="4"/>
      <c r="L103" s="53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76"/>
      <c r="F104" s="53"/>
      <c r="G104" s="4"/>
      <c r="H104" s="4"/>
      <c r="I104" s="4"/>
      <c r="J104" s="4"/>
      <c r="K104" s="4"/>
      <c r="L104" s="53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76"/>
      <c r="F105" s="53"/>
      <c r="G105" s="4"/>
      <c r="H105" s="4"/>
      <c r="I105" s="4"/>
      <c r="J105" s="4"/>
      <c r="K105" s="4"/>
      <c r="L105" s="53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76"/>
      <c r="F106" s="53"/>
      <c r="G106" s="4"/>
      <c r="H106" s="4"/>
      <c r="I106" s="4"/>
      <c r="J106" s="4"/>
      <c r="K106" s="4"/>
      <c r="L106" s="53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76"/>
      <c r="F107" s="53"/>
      <c r="G107" s="4"/>
      <c r="H107" s="4"/>
      <c r="I107" s="4"/>
      <c r="J107" s="4"/>
      <c r="K107" s="4"/>
      <c r="L107" s="53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76"/>
      <c r="F108" s="53"/>
      <c r="G108" s="4"/>
      <c r="H108" s="4"/>
      <c r="I108" s="4"/>
      <c r="J108" s="4"/>
      <c r="K108" s="4"/>
      <c r="L108" s="53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76"/>
      <c r="F109" s="53"/>
      <c r="G109" s="4"/>
      <c r="H109" s="4"/>
      <c r="I109" s="4"/>
      <c r="J109" s="4"/>
      <c r="K109" s="4"/>
      <c r="L109" s="53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76"/>
      <c r="F110" s="53"/>
      <c r="G110" s="4"/>
      <c r="H110" s="4"/>
      <c r="I110" s="4"/>
      <c r="J110" s="4"/>
      <c r="K110" s="4"/>
      <c r="L110" s="53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76"/>
      <c r="F111" s="53"/>
      <c r="G111" s="4"/>
      <c r="H111" s="4"/>
      <c r="I111" s="4"/>
      <c r="J111" s="4"/>
      <c r="K111" s="4"/>
      <c r="L111" s="53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76"/>
      <c r="F112" s="53"/>
      <c r="G112" s="4"/>
      <c r="H112" s="4"/>
      <c r="I112" s="4"/>
      <c r="J112" s="4"/>
      <c r="K112" s="4"/>
      <c r="L112" s="53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76"/>
      <c r="F113" s="53"/>
      <c r="G113" s="4"/>
      <c r="H113" s="4"/>
      <c r="I113" s="4"/>
      <c r="J113" s="4"/>
      <c r="K113" s="4"/>
      <c r="L113" s="53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76"/>
      <c r="F114" s="53"/>
      <c r="G114" s="4"/>
      <c r="H114" s="4"/>
      <c r="I114" s="4"/>
      <c r="J114" s="4"/>
      <c r="K114" s="4"/>
      <c r="L114" s="53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76"/>
      <c r="F115" s="53"/>
      <c r="G115" s="4"/>
      <c r="H115" s="4"/>
      <c r="I115" s="4"/>
      <c r="J115" s="4"/>
      <c r="K115" s="4"/>
      <c r="L115" s="53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76"/>
      <c r="F116" s="53"/>
      <c r="G116" s="4"/>
      <c r="H116" s="4"/>
      <c r="I116" s="4"/>
      <c r="J116" s="4"/>
      <c r="K116" s="4"/>
      <c r="L116" s="53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76"/>
      <c r="F117" s="53"/>
      <c r="G117" s="4"/>
      <c r="H117" s="4"/>
      <c r="I117" s="4"/>
      <c r="J117" s="4"/>
      <c r="K117" s="4"/>
      <c r="L117" s="53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76"/>
      <c r="F118" s="53"/>
      <c r="G118" s="4"/>
      <c r="H118" s="4"/>
      <c r="I118" s="4"/>
      <c r="J118" s="4"/>
      <c r="K118" s="4"/>
      <c r="L118" s="53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76"/>
      <c r="F119" s="53"/>
      <c r="G119" s="4"/>
      <c r="H119" s="4"/>
      <c r="I119" s="4"/>
      <c r="J119" s="4"/>
      <c r="K119" s="4"/>
      <c r="L119" s="53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76"/>
      <c r="F120" s="53"/>
      <c r="G120" s="4"/>
      <c r="H120" s="4"/>
      <c r="I120" s="4"/>
      <c r="J120" s="4"/>
      <c r="K120" s="4"/>
      <c r="L120" s="53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76"/>
      <c r="F121" s="53"/>
      <c r="G121" s="4"/>
      <c r="H121" s="4"/>
      <c r="I121" s="4"/>
      <c r="J121" s="4"/>
      <c r="K121" s="4"/>
      <c r="L121" s="53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76"/>
      <c r="F122" s="53"/>
      <c r="G122" s="4"/>
      <c r="H122" s="4"/>
      <c r="I122" s="4"/>
      <c r="J122" s="4"/>
      <c r="K122" s="4"/>
      <c r="L122" s="53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76"/>
      <c r="F123" s="53"/>
      <c r="G123" s="4"/>
      <c r="H123" s="4"/>
      <c r="I123" s="4"/>
      <c r="J123" s="4"/>
      <c r="K123" s="4"/>
      <c r="L123" s="53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76"/>
      <c r="F124" s="53"/>
      <c r="G124" s="4"/>
      <c r="H124" s="4"/>
      <c r="I124" s="4"/>
      <c r="J124" s="4"/>
      <c r="K124" s="4"/>
      <c r="L124" s="53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76"/>
      <c r="F125" s="53"/>
      <c r="G125" s="4"/>
      <c r="H125" s="4"/>
      <c r="I125" s="4"/>
      <c r="J125" s="4"/>
      <c r="K125" s="4"/>
      <c r="L125" s="53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76"/>
      <c r="F126" s="53"/>
      <c r="G126" s="4"/>
      <c r="H126" s="4"/>
      <c r="I126" s="4"/>
      <c r="J126" s="4"/>
      <c r="K126" s="4"/>
      <c r="L126" s="53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76"/>
      <c r="F127" s="53"/>
      <c r="G127" s="4"/>
      <c r="H127" s="4"/>
      <c r="I127" s="4"/>
      <c r="J127" s="4"/>
      <c r="K127" s="4"/>
      <c r="L127" s="53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76"/>
      <c r="F128" s="53"/>
      <c r="G128" s="4"/>
      <c r="H128" s="4"/>
      <c r="I128" s="4"/>
      <c r="J128" s="4"/>
      <c r="K128" s="4"/>
      <c r="L128" s="53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76"/>
      <c r="F129" s="53"/>
      <c r="G129" s="4"/>
      <c r="H129" s="4"/>
      <c r="I129" s="4"/>
      <c r="J129" s="4"/>
      <c r="K129" s="4"/>
      <c r="L129" s="53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76"/>
      <c r="F130" s="53"/>
      <c r="G130" s="4"/>
      <c r="H130" s="4"/>
      <c r="I130" s="4"/>
      <c r="J130" s="4"/>
      <c r="K130" s="4"/>
      <c r="L130" s="53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76"/>
      <c r="F131" s="53"/>
      <c r="G131" s="4"/>
      <c r="H131" s="4"/>
      <c r="I131" s="4"/>
      <c r="J131" s="4"/>
      <c r="K131" s="4"/>
      <c r="L131" s="53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76"/>
      <c r="F132" s="53"/>
      <c r="G132" s="4"/>
      <c r="H132" s="4"/>
      <c r="I132" s="4"/>
      <c r="J132" s="4"/>
      <c r="K132" s="4"/>
      <c r="L132" s="53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76"/>
      <c r="F133" s="53"/>
      <c r="G133" s="4"/>
      <c r="H133" s="4"/>
      <c r="I133" s="4"/>
      <c r="J133" s="4"/>
      <c r="K133" s="4"/>
      <c r="L133" s="53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76"/>
      <c r="F134" s="53"/>
      <c r="G134" s="4"/>
      <c r="H134" s="4"/>
      <c r="I134" s="4"/>
      <c r="J134" s="4"/>
      <c r="K134" s="4"/>
      <c r="L134" s="53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76"/>
      <c r="F135" s="53"/>
      <c r="G135" s="4"/>
      <c r="H135" s="4"/>
      <c r="I135" s="4"/>
      <c r="J135" s="4"/>
      <c r="K135" s="4"/>
      <c r="L135" s="53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76"/>
      <c r="F136" s="53"/>
      <c r="G136" s="4"/>
      <c r="H136" s="4"/>
      <c r="I136" s="4"/>
      <c r="J136" s="4"/>
      <c r="K136" s="4"/>
      <c r="L136" s="53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76"/>
      <c r="F137" s="53"/>
      <c r="G137" s="4"/>
      <c r="H137" s="4"/>
      <c r="I137" s="4"/>
      <c r="J137" s="4"/>
      <c r="K137" s="4"/>
      <c r="L137" s="53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76"/>
      <c r="F138" s="53"/>
      <c r="G138" s="4"/>
      <c r="H138" s="4"/>
      <c r="I138" s="4"/>
      <c r="J138" s="4"/>
      <c r="K138" s="4"/>
      <c r="L138" s="53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76"/>
      <c r="F139" s="53"/>
      <c r="G139" s="4"/>
      <c r="H139" s="4"/>
      <c r="I139" s="4"/>
      <c r="J139" s="4"/>
      <c r="K139" s="4"/>
      <c r="L139" s="53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76"/>
      <c r="F140" s="53"/>
      <c r="G140" s="4"/>
      <c r="H140" s="4"/>
      <c r="I140" s="4"/>
      <c r="J140" s="4"/>
      <c r="K140" s="4"/>
      <c r="L140" s="53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76"/>
      <c r="F141" s="53"/>
      <c r="G141" s="4"/>
      <c r="H141" s="4"/>
      <c r="I141" s="4"/>
      <c r="J141" s="4"/>
      <c r="K141" s="4"/>
      <c r="L141" s="53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76"/>
      <c r="F142" s="53"/>
      <c r="G142" s="4"/>
      <c r="H142" s="4"/>
      <c r="I142" s="4"/>
      <c r="J142" s="4"/>
      <c r="K142" s="4"/>
      <c r="L142" s="53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76"/>
      <c r="F143" s="53"/>
      <c r="G143" s="4"/>
      <c r="H143" s="4"/>
      <c r="I143" s="4"/>
      <c r="J143" s="4"/>
      <c r="K143" s="4"/>
      <c r="L143" s="53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76"/>
      <c r="F144" s="53"/>
      <c r="G144" s="4"/>
      <c r="H144" s="4"/>
      <c r="I144" s="4"/>
      <c r="J144" s="4"/>
      <c r="K144" s="4"/>
      <c r="L144" s="53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76"/>
      <c r="F145" s="53"/>
      <c r="G145" s="4"/>
      <c r="H145" s="4"/>
      <c r="I145" s="4"/>
      <c r="J145" s="4"/>
      <c r="K145" s="4"/>
      <c r="L145" s="53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76"/>
      <c r="F146" s="53"/>
      <c r="G146" s="4"/>
      <c r="H146" s="4"/>
      <c r="I146" s="4"/>
      <c r="J146" s="4"/>
      <c r="K146" s="4"/>
      <c r="L146" s="53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76"/>
      <c r="F147" s="53"/>
      <c r="G147" s="4"/>
      <c r="H147" s="4"/>
      <c r="I147" s="4"/>
      <c r="J147" s="4"/>
      <c r="K147" s="4"/>
      <c r="L147" s="53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76"/>
      <c r="F148" s="53"/>
      <c r="G148" s="4"/>
      <c r="H148" s="4"/>
      <c r="I148" s="4"/>
      <c r="J148" s="4"/>
      <c r="K148" s="4"/>
      <c r="L148" s="53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76"/>
      <c r="F149" s="53"/>
      <c r="G149" s="4"/>
      <c r="H149" s="4"/>
      <c r="I149" s="4"/>
      <c r="J149" s="4"/>
      <c r="K149" s="4"/>
      <c r="L149" s="53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76"/>
      <c r="F150" s="53"/>
      <c r="G150" s="4"/>
      <c r="H150" s="4"/>
      <c r="I150" s="4"/>
      <c r="J150" s="4"/>
      <c r="K150" s="4"/>
      <c r="L150" s="53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76"/>
      <c r="F151" s="53"/>
      <c r="G151" s="4"/>
      <c r="H151" s="4"/>
      <c r="I151" s="4"/>
      <c r="J151" s="4"/>
      <c r="K151" s="4"/>
      <c r="L151" s="53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76"/>
      <c r="F152" s="53"/>
      <c r="G152" s="4"/>
      <c r="H152" s="4"/>
      <c r="I152" s="4"/>
      <c r="J152" s="4"/>
      <c r="K152" s="4"/>
      <c r="L152" s="53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76"/>
      <c r="F153" s="53"/>
      <c r="G153" s="4"/>
      <c r="H153" s="4"/>
      <c r="I153" s="4"/>
      <c r="J153" s="4"/>
      <c r="K153" s="4"/>
      <c r="L153" s="53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76"/>
      <c r="F154" s="53"/>
      <c r="G154" s="4"/>
      <c r="H154" s="4"/>
      <c r="I154" s="4"/>
      <c r="J154" s="4"/>
      <c r="K154" s="4"/>
      <c r="L154" s="53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76"/>
      <c r="F155" s="53"/>
      <c r="G155" s="4"/>
      <c r="H155" s="4"/>
      <c r="I155" s="4"/>
      <c r="J155" s="4"/>
      <c r="K155" s="4"/>
      <c r="L155" s="53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76"/>
      <c r="F156" s="53"/>
      <c r="G156" s="4"/>
      <c r="H156" s="4"/>
      <c r="I156" s="4"/>
      <c r="J156" s="4"/>
      <c r="K156" s="4"/>
      <c r="L156" s="53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76"/>
      <c r="F157" s="53"/>
      <c r="G157" s="4"/>
      <c r="H157" s="4"/>
      <c r="I157" s="4"/>
      <c r="J157" s="4"/>
      <c r="K157" s="4"/>
      <c r="L157" s="53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76"/>
      <c r="F158" s="53"/>
      <c r="G158" s="4"/>
      <c r="H158" s="4"/>
      <c r="I158" s="4"/>
      <c r="J158" s="4"/>
      <c r="K158" s="4"/>
      <c r="L158" s="53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76"/>
      <c r="F159" s="53"/>
      <c r="G159" s="4"/>
      <c r="H159" s="4"/>
      <c r="I159" s="4"/>
      <c r="J159" s="4"/>
      <c r="K159" s="4"/>
      <c r="L159" s="53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76"/>
      <c r="F160" s="53"/>
      <c r="G160" s="4"/>
      <c r="H160" s="4"/>
      <c r="I160" s="4"/>
      <c r="J160" s="4"/>
      <c r="K160" s="4"/>
      <c r="L160" s="53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76"/>
      <c r="F161" s="53"/>
      <c r="G161" s="4"/>
      <c r="H161" s="4"/>
      <c r="I161" s="4"/>
      <c r="J161" s="4"/>
      <c r="K161" s="4"/>
      <c r="L161" s="53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76"/>
      <c r="F162" s="53"/>
      <c r="G162" s="4"/>
      <c r="H162" s="4"/>
      <c r="I162" s="4"/>
      <c r="J162" s="4"/>
      <c r="K162" s="4"/>
      <c r="L162" s="53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76"/>
      <c r="F163" s="53"/>
      <c r="G163" s="4"/>
      <c r="H163" s="4"/>
      <c r="I163" s="4"/>
      <c r="J163" s="4"/>
      <c r="K163" s="4"/>
      <c r="L163" s="53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76"/>
      <c r="F164" s="53"/>
      <c r="G164" s="4"/>
      <c r="H164" s="4"/>
      <c r="I164" s="4"/>
      <c r="J164" s="4"/>
      <c r="K164" s="4"/>
      <c r="L164" s="53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76"/>
      <c r="F165" s="53"/>
      <c r="G165" s="4"/>
      <c r="H165" s="4"/>
      <c r="I165" s="4"/>
      <c r="J165" s="4"/>
      <c r="K165" s="4"/>
      <c r="L165" s="53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76"/>
      <c r="F166" s="53"/>
      <c r="G166" s="4"/>
      <c r="H166" s="4"/>
      <c r="I166" s="4"/>
      <c r="J166" s="4"/>
      <c r="K166" s="4"/>
      <c r="L166" s="53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76"/>
      <c r="F167" s="53"/>
      <c r="G167" s="4"/>
      <c r="H167" s="4"/>
      <c r="I167" s="4"/>
      <c r="J167" s="4"/>
      <c r="K167" s="4"/>
      <c r="L167" s="53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76"/>
      <c r="F168" s="53"/>
      <c r="G168" s="4"/>
      <c r="H168" s="4"/>
      <c r="I168" s="4"/>
      <c r="J168" s="4"/>
      <c r="K168" s="4"/>
      <c r="L168" s="53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76"/>
      <c r="F169" s="53"/>
      <c r="G169" s="4"/>
      <c r="H169" s="4"/>
      <c r="I169" s="4"/>
      <c r="J169" s="4"/>
      <c r="K169" s="4"/>
      <c r="L169" s="53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76"/>
      <c r="F170" s="53"/>
      <c r="G170" s="4"/>
      <c r="H170" s="4"/>
      <c r="I170" s="4"/>
      <c r="J170" s="4"/>
      <c r="K170" s="4"/>
      <c r="L170" s="53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76"/>
      <c r="F171" s="53"/>
      <c r="G171" s="4"/>
      <c r="H171" s="4"/>
      <c r="I171" s="4"/>
      <c r="J171" s="4"/>
      <c r="K171" s="4"/>
      <c r="L171" s="53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76"/>
      <c r="F172" s="53"/>
      <c r="G172" s="4"/>
      <c r="H172" s="4"/>
      <c r="I172" s="4"/>
      <c r="J172" s="4"/>
      <c r="K172" s="4"/>
      <c r="L172" s="53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76"/>
      <c r="F173" s="53"/>
      <c r="G173" s="4"/>
      <c r="H173" s="4"/>
      <c r="I173" s="4"/>
      <c r="J173" s="4"/>
      <c r="K173" s="4"/>
      <c r="L173" s="53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76"/>
      <c r="F174" s="53"/>
      <c r="G174" s="4"/>
      <c r="H174" s="4"/>
      <c r="I174" s="4"/>
      <c r="J174" s="4"/>
      <c r="K174" s="4"/>
      <c r="L174" s="53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76"/>
      <c r="F175" s="53"/>
      <c r="G175" s="4"/>
      <c r="H175" s="4"/>
      <c r="I175" s="4"/>
      <c r="J175" s="4"/>
      <c r="K175" s="4"/>
      <c r="L175" s="53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76"/>
      <c r="F176" s="53"/>
      <c r="G176" s="4"/>
      <c r="H176" s="4"/>
      <c r="I176" s="4"/>
      <c r="J176" s="4"/>
      <c r="K176" s="4"/>
      <c r="L176" s="53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76"/>
      <c r="F177" s="53"/>
      <c r="G177" s="4"/>
      <c r="H177" s="4"/>
      <c r="I177" s="4"/>
      <c r="J177" s="4"/>
      <c r="K177" s="4"/>
      <c r="L177" s="53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76"/>
      <c r="F178" s="53"/>
      <c r="G178" s="4"/>
      <c r="H178" s="4"/>
      <c r="I178" s="4"/>
      <c r="J178" s="4"/>
      <c r="K178" s="4"/>
      <c r="L178" s="53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76"/>
      <c r="F179" s="53"/>
      <c r="G179" s="4"/>
      <c r="H179" s="4"/>
      <c r="I179" s="4"/>
      <c r="J179" s="4"/>
      <c r="K179" s="4"/>
      <c r="L179" s="53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76"/>
      <c r="F180" s="53"/>
      <c r="G180" s="4"/>
      <c r="H180" s="4"/>
      <c r="I180" s="4"/>
      <c r="J180" s="4"/>
      <c r="K180" s="4"/>
      <c r="L180" s="53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76"/>
      <c r="F181" s="53"/>
      <c r="G181" s="4"/>
      <c r="H181" s="4"/>
      <c r="I181" s="4"/>
      <c r="J181" s="4"/>
      <c r="K181" s="4"/>
      <c r="L181" s="53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76"/>
      <c r="F182" s="53"/>
      <c r="G182" s="4"/>
      <c r="H182" s="4"/>
      <c r="I182" s="4"/>
      <c r="J182" s="4"/>
      <c r="K182" s="4"/>
      <c r="L182" s="53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76"/>
      <c r="F183" s="53"/>
      <c r="G183" s="4"/>
      <c r="H183" s="4"/>
      <c r="I183" s="4"/>
      <c r="J183" s="4"/>
      <c r="K183" s="4"/>
      <c r="L183" s="53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76"/>
      <c r="F184" s="53"/>
      <c r="G184" s="4"/>
      <c r="H184" s="4"/>
      <c r="I184" s="4"/>
      <c r="J184" s="4"/>
      <c r="K184" s="4"/>
      <c r="L184" s="53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76"/>
      <c r="F185" s="53"/>
      <c r="G185" s="4"/>
      <c r="H185" s="4"/>
      <c r="I185" s="4"/>
      <c r="J185" s="4"/>
      <c r="K185" s="4"/>
      <c r="L185" s="53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76"/>
      <c r="F186" s="53"/>
      <c r="G186" s="4"/>
      <c r="H186" s="4"/>
      <c r="I186" s="4"/>
      <c r="J186" s="4"/>
      <c r="K186" s="4"/>
      <c r="L186" s="53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76"/>
      <c r="F187" s="53"/>
      <c r="G187" s="4"/>
      <c r="H187" s="4"/>
      <c r="I187" s="4"/>
      <c r="J187" s="4"/>
      <c r="K187" s="4"/>
      <c r="L187" s="53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76"/>
      <c r="F188" s="53"/>
      <c r="G188" s="4"/>
      <c r="H188" s="4"/>
      <c r="I188" s="4"/>
      <c r="J188" s="4"/>
      <c r="K188" s="4"/>
      <c r="L188" s="53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76"/>
      <c r="F189" s="53"/>
      <c r="G189" s="4"/>
      <c r="H189" s="4"/>
      <c r="I189" s="4"/>
      <c r="J189" s="4"/>
      <c r="K189" s="4"/>
      <c r="L189" s="53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76"/>
      <c r="F190" s="53"/>
      <c r="G190" s="4"/>
      <c r="H190" s="4"/>
      <c r="I190" s="4"/>
      <c r="J190" s="4"/>
      <c r="K190" s="4"/>
      <c r="L190" s="53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76"/>
      <c r="F191" s="53"/>
      <c r="G191" s="4"/>
      <c r="H191" s="4"/>
      <c r="I191" s="4"/>
      <c r="J191" s="4"/>
      <c r="K191" s="4"/>
      <c r="L191" s="53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76"/>
      <c r="F192" s="53"/>
      <c r="G192" s="4"/>
      <c r="H192" s="4"/>
      <c r="I192" s="4"/>
      <c r="J192" s="4"/>
      <c r="K192" s="4"/>
      <c r="L192" s="53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76"/>
      <c r="F193" s="53"/>
      <c r="G193" s="4"/>
      <c r="H193" s="4"/>
      <c r="I193" s="4"/>
      <c r="J193" s="4"/>
      <c r="K193" s="4"/>
      <c r="L193" s="53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76"/>
      <c r="F194" s="53"/>
      <c r="G194" s="4"/>
      <c r="H194" s="4"/>
      <c r="I194" s="4"/>
      <c r="J194" s="4"/>
      <c r="K194" s="4"/>
      <c r="L194" s="53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76"/>
      <c r="F195" s="53"/>
      <c r="G195" s="4"/>
      <c r="H195" s="4"/>
      <c r="I195" s="4"/>
      <c r="J195" s="4"/>
      <c r="K195" s="4"/>
      <c r="L195" s="53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76"/>
      <c r="F196" s="53"/>
      <c r="G196" s="4"/>
      <c r="H196" s="4"/>
      <c r="I196" s="4"/>
      <c r="J196" s="4"/>
      <c r="K196" s="4"/>
      <c r="L196" s="53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76"/>
      <c r="F197" s="53"/>
      <c r="G197" s="4"/>
      <c r="H197" s="4"/>
      <c r="I197" s="4"/>
      <c r="J197" s="4"/>
      <c r="K197" s="4"/>
      <c r="L197" s="53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76"/>
      <c r="F198" s="53"/>
      <c r="G198" s="4"/>
      <c r="H198" s="4"/>
      <c r="I198" s="4"/>
      <c r="J198" s="4"/>
      <c r="K198" s="4"/>
      <c r="L198" s="53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76"/>
      <c r="F199" s="53"/>
      <c r="G199" s="4"/>
      <c r="H199" s="4"/>
      <c r="I199" s="4"/>
      <c r="J199" s="4"/>
      <c r="K199" s="4"/>
      <c r="L199" s="53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76"/>
      <c r="F200" s="53"/>
      <c r="G200" s="4"/>
      <c r="H200" s="4"/>
      <c r="I200" s="4"/>
      <c r="J200" s="4"/>
      <c r="K200" s="4"/>
      <c r="L200" s="53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76"/>
      <c r="F201" s="53"/>
      <c r="G201" s="4"/>
      <c r="H201" s="4"/>
      <c r="I201" s="4"/>
      <c r="J201" s="4"/>
      <c r="K201" s="4"/>
      <c r="L201" s="53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76"/>
      <c r="F202" s="53"/>
      <c r="G202" s="4"/>
      <c r="H202" s="4"/>
      <c r="I202" s="4"/>
      <c r="J202" s="4"/>
      <c r="K202" s="4"/>
      <c r="L202" s="53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76"/>
      <c r="F203" s="53"/>
      <c r="G203" s="4"/>
      <c r="H203" s="4"/>
      <c r="I203" s="4"/>
      <c r="J203" s="4"/>
      <c r="K203" s="4"/>
      <c r="L203" s="53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76"/>
      <c r="F204" s="53"/>
      <c r="G204" s="4"/>
      <c r="H204" s="4"/>
      <c r="I204" s="4"/>
      <c r="J204" s="4"/>
      <c r="K204" s="4"/>
      <c r="L204" s="53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76"/>
      <c r="F205" s="53"/>
      <c r="G205" s="4"/>
      <c r="H205" s="4"/>
      <c r="I205" s="4"/>
      <c r="J205" s="4"/>
      <c r="K205" s="4"/>
      <c r="L205" s="53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76"/>
      <c r="F206" s="53"/>
      <c r="G206" s="4"/>
      <c r="H206" s="4"/>
      <c r="I206" s="4"/>
      <c r="J206" s="4"/>
      <c r="K206" s="4"/>
      <c r="L206" s="53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76"/>
      <c r="F207" s="53"/>
      <c r="G207" s="4"/>
      <c r="H207" s="4"/>
      <c r="I207" s="4"/>
      <c r="J207" s="4"/>
      <c r="K207" s="4"/>
      <c r="L207" s="53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76"/>
      <c r="F208" s="53"/>
      <c r="G208" s="4"/>
      <c r="H208" s="4"/>
      <c r="I208" s="4"/>
      <c r="J208" s="4"/>
      <c r="K208" s="4"/>
      <c r="L208" s="53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76"/>
      <c r="F209" s="53"/>
      <c r="G209" s="4"/>
      <c r="H209" s="4"/>
      <c r="I209" s="4"/>
      <c r="J209" s="4"/>
      <c r="K209" s="4"/>
      <c r="L209" s="53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76"/>
      <c r="F210" s="53"/>
      <c r="G210" s="4"/>
      <c r="H210" s="4"/>
      <c r="I210" s="4"/>
      <c r="J210" s="4"/>
      <c r="K210" s="4"/>
      <c r="L210" s="53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76"/>
      <c r="F211" s="53"/>
      <c r="G211" s="4"/>
      <c r="H211" s="4"/>
      <c r="I211" s="4"/>
      <c r="J211" s="4"/>
      <c r="K211" s="4"/>
      <c r="L211" s="53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76"/>
      <c r="F212" s="53"/>
      <c r="G212" s="4"/>
      <c r="H212" s="4"/>
      <c r="I212" s="4"/>
      <c r="J212" s="4"/>
      <c r="K212" s="4"/>
      <c r="L212" s="53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76"/>
      <c r="F213" s="53"/>
      <c r="G213" s="4"/>
      <c r="H213" s="4"/>
      <c r="I213" s="4"/>
      <c r="J213" s="4"/>
      <c r="K213" s="4"/>
      <c r="L213" s="53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76"/>
      <c r="F214" s="53"/>
      <c r="G214" s="4"/>
      <c r="H214" s="4"/>
      <c r="I214" s="4"/>
      <c r="J214" s="4"/>
      <c r="K214" s="4"/>
      <c r="L214" s="53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76"/>
      <c r="F215" s="53"/>
      <c r="G215" s="4"/>
      <c r="H215" s="4"/>
      <c r="I215" s="4"/>
      <c r="J215" s="4"/>
      <c r="K215" s="4"/>
      <c r="L215" s="53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76"/>
      <c r="F216" s="53"/>
      <c r="G216" s="4"/>
      <c r="H216" s="4"/>
      <c r="I216" s="4"/>
      <c r="J216" s="4"/>
      <c r="K216" s="4"/>
      <c r="L216" s="53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76"/>
      <c r="F217" s="53"/>
      <c r="G217" s="4"/>
      <c r="H217" s="4"/>
      <c r="I217" s="4"/>
      <c r="J217" s="4"/>
      <c r="K217" s="4"/>
      <c r="L217" s="53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76"/>
      <c r="F218" s="53"/>
      <c r="G218" s="4"/>
      <c r="H218" s="4"/>
      <c r="I218" s="4"/>
      <c r="J218" s="4"/>
      <c r="K218" s="4"/>
      <c r="L218" s="53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76"/>
      <c r="F219" s="53"/>
      <c r="G219" s="4"/>
      <c r="H219" s="4"/>
      <c r="I219" s="4"/>
      <c r="J219" s="4"/>
      <c r="K219" s="4"/>
      <c r="L219" s="53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76"/>
      <c r="F220" s="53"/>
      <c r="G220" s="4"/>
      <c r="H220" s="4"/>
      <c r="I220" s="4"/>
      <c r="J220" s="4"/>
      <c r="K220" s="4"/>
      <c r="L220" s="53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76"/>
      <c r="F221" s="53"/>
      <c r="G221" s="4"/>
      <c r="H221" s="4"/>
      <c r="I221" s="4"/>
      <c r="J221" s="4"/>
      <c r="K221" s="4"/>
      <c r="L221" s="53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76"/>
      <c r="F222" s="53"/>
      <c r="G222" s="4"/>
      <c r="H222" s="4"/>
      <c r="I222" s="4"/>
      <c r="J222" s="4"/>
      <c r="K222" s="4"/>
      <c r="L222" s="53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76"/>
      <c r="F223" s="53"/>
      <c r="G223" s="4"/>
      <c r="H223" s="4"/>
      <c r="I223" s="4"/>
      <c r="J223" s="4"/>
      <c r="K223" s="4"/>
      <c r="L223" s="53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76"/>
      <c r="F224" s="53"/>
      <c r="G224" s="4"/>
      <c r="H224" s="4"/>
      <c r="I224" s="4"/>
      <c r="J224" s="4"/>
      <c r="K224" s="4"/>
      <c r="L224" s="53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76"/>
      <c r="F225" s="53"/>
      <c r="G225" s="4"/>
      <c r="H225" s="4"/>
      <c r="I225" s="4"/>
      <c r="J225" s="4"/>
      <c r="K225" s="4"/>
      <c r="L225" s="53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76"/>
      <c r="F226" s="53"/>
      <c r="G226" s="4"/>
      <c r="H226" s="4"/>
      <c r="I226" s="4"/>
      <c r="J226" s="4"/>
      <c r="K226" s="4"/>
      <c r="L226" s="53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76"/>
      <c r="F227" s="53"/>
      <c r="G227" s="4"/>
      <c r="H227" s="4"/>
      <c r="I227" s="4"/>
      <c r="J227" s="4"/>
      <c r="K227" s="4"/>
      <c r="L227" s="53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76"/>
      <c r="F228" s="53"/>
      <c r="G228" s="4"/>
      <c r="H228" s="4"/>
      <c r="I228" s="4"/>
      <c r="J228" s="4"/>
      <c r="K228" s="4"/>
      <c r="L228" s="53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76"/>
      <c r="F229" s="53"/>
      <c r="G229" s="4"/>
      <c r="H229" s="4"/>
      <c r="I229" s="4"/>
      <c r="J229" s="4"/>
      <c r="K229" s="4"/>
      <c r="L229" s="53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76"/>
      <c r="F230" s="53"/>
      <c r="G230" s="4"/>
      <c r="H230" s="4"/>
      <c r="I230" s="4"/>
      <c r="J230" s="4"/>
      <c r="K230" s="4"/>
      <c r="L230" s="53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76"/>
      <c r="F231" s="53"/>
      <c r="G231" s="4"/>
      <c r="H231" s="4"/>
      <c r="I231" s="4"/>
      <c r="J231" s="4"/>
      <c r="K231" s="4"/>
      <c r="L231" s="53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76"/>
      <c r="F232" s="53"/>
      <c r="G232" s="4"/>
      <c r="H232" s="4"/>
      <c r="I232" s="4"/>
      <c r="J232" s="4"/>
      <c r="K232" s="4"/>
      <c r="L232" s="53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76"/>
      <c r="F233" s="53"/>
      <c r="G233" s="4"/>
      <c r="H233" s="4"/>
      <c r="I233" s="4"/>
      <c r="J233" s="4"/>
      <c r="K233" s="4"/>
      <c r="L233" s="53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76"/>
      <c r="F234" s="53"/>
      <c r="G234" s="4"/>
      <c r="H234" s="4"/>
      <c r="I234" s="4"/>
      <c r="J234" s="4"/>
      <c r="K234" s="4"/>
      <c r="L234" s="53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76"/>
      <c r="F235" s="53"/>
      <c r="G235" s="4"/>
      <c r="H235" s="4"/>
      <c r="I235" s="4"/>
      <c r="J235" s="4"/>
      <c r="K235" s="4"/>
      <c r="L235" s="53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76"/>
      <c r="F236" s="53"/>
      <c r="G236" s="4"/>
      <c r="H236" s="4"/>
      <c r="I236" s="4"/>
      <c r="J236" s="4"/>
      <c r="K236" s="4"/>
      <c r="L236" s="53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76"/>
      <c r="F237" s="53"/>
      <c r="G237" s="4"/>
      <c r="H237" s="4"/>
      <c r="I237" s="4"/>
      <c r="J237" s="4"/>
      <c r="K237" s="4"/>
      <c r="L237" s="53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76"/>
      <c r="F238" s="53"/>
      <c r="G238" s="4"/>
      <c r="H238" s="4"/>
      <c r="I238" s="4"/>
      <c r="J238" s="4"/>
      <c r="K238" s="4"/>
      <c r="L238" s="53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76"/>
      <c r="F239" s="53"/>
      <c r="G239" s="4"/>
      <c r="H239" s="4"/>
      <c r="I239" s="4"/>
      <c r="J239" s="4"/>
      <c r="K239" s="4"/>
      <c r="L239" s="53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76"/>
      <c r="F240" s="53"/>
      <c r="G240" s="4"/>
      <c r="H240" s="4"/>
      <c r="I240" s="4"/>
      <c r="J240" s="4"/>
      <c r="K240" s="4"/>
      <c r="L240" s="53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76"/>
      <c r="F241" s="53"/>
      <c r="G241" s="4"/>
      <c r="H241" s="4"/>
      <c r="I241" s="4"/>
      <c r="J241" s="4"/>
      <c r="K241" s="4"/>
      <c r="L241" s="53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76"/>
      <c r="F242" s="53"/>
      <c r="G242" s="4"/>
      <c r="H242" s="4"/>
      <c r="I242" s="4"/>
      <c r="J242" s="4"/>
      <c r="K242" s="4"/>
      <c r="L242" s="53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76"/>
      <c r="F243" s="53"/>
      <c r="G243" s="4"/>
      <c r="H243" s="4"/>
      <c r="I243" s="4"/>
      <c r="J243" s="4"/>
      <c r="K243" s="4"/>
      <c r="L243" s="53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76"/>
      <c r="F244" s="53"/>
      <c r="G244" s="4"/>
      <c r="H244" s="4"/>
      <c r="I244" s="4"/>
      <c r="J244" s="4"/>
      <c r="K244" s="4"/>
      <c r="L244" s="53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76"/>
      <c r="F245" s="53"/>
      <c r="G245" s="4"/>
      <c r="H245" s="4"/>
      <c r="I245" s="4"/>
      <c r="J245" s="4"/>
      <c r="K245" s="4"/>
      <c r="L245" s="53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76"/>
      <c r="F246" s="53"/>
      <c r="G246" s="4"/>
      <c r="H246" s="4"/>
      <c r="I246" s="4"/>
      <c r="J246" s="4"/>
      <c r="K246" s="4"/>
      <c r="L246" s="53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76"/>
      <c r="F247" s="53"/>
      <c r="G247" s="4"/>
      <c r="H247" s="4"/>
      <c r="I247" s="4"/>
      <c r="J247" s="4"/>
      <c r="K247" s="4"/>
      <c r="L247" s="53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76"/>
      <c r="F248" s="53"/>
      <c r="G248" s="4"/>
      <c r="H248" s="4"/>
      <c r="I248" s="4"/>
      <c r="J248" s="4"/>
      <c r="K248" s="4"/>
      <c r="L248" s="53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76"/>
      <c r="F249" s="53"/>
      <c r="G249" s="4"/>
      <c r="H249" s="4"/>
      <c r="I249" s="4"/>
      <c r="J249" s="4"/>
      <c r="K249" s="4"/>
      <c r="L249" s="53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76"/>
      <c r="F250" s="53"/>
      <c r="G250" s="4"/>
      <c r="H250" s="4"/>
      <c r="I250" s="4"/>
      <c r="J250" s="4"/>
      <c r="K250" s="4"/>
      <c r="L250" s="53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76"/>
      <c r="F251" s="53"/>
      <c r="G251" s="4"/>
      <c r="H251" s="4"/>
      <c r="I251" s="4"/>
      <c r="J251" s="4"/>
      <c r="K251" s="4"/>
      <c r="L251" s="53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76"/>
      <c r="F252" s="53"/>
      <c r="G252" s="4"/>
      <c r="H252" s="4"/>
      <c r="I252" s="4"/>
      <c r="J252" s="4"/>
      <c r="K252" s="4"/>
      <c r="L252" s="53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76"/>
      <c r="F253" s="53"/>
      <c r="G253" s="4"/>
      <c r="H253" s="4"/>
      <c r="I253" s="4"/>
      <c r="J253" s="4"/>
      <c r="K253" s="4"/>
      <c r="L253" s="53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76"/>
      <c r="F254" s="53"/>
      <c r="G254" s="4"/>
      <c r="H254" s="4"/>
      <c r="I254" s="4"/>
      <c r="J254" s="4"/>
      <c r="K254" s="4"/>
      <c r="L254" s="53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76"/>
      <c r="F255" s="53"/>
      <c r="G255" s="4"/>
      <c r="H255" s="4"/>
      <c r="I255" s="4"/>
      <c r="J255" s="4"/>
      <c r="K255" s="4"/>
      <c r="L255" s="53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76"/>
      <c r="F256" s="53"/>
      <c r="G256" s="4"/>
      <c r="H256" s="4"/>
      <c r="I256" s="4"/>
      <c r="J256" s="4"/>
      <c r="K256" s="4"/>
      <c r="L256" s="53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76"/>
      <c r="F257" s="53"/>
      <c r="G257" s="4"/>
      <c r="H257" s="4"/>
      <c r="I257" s="4"/>
      <c r="J257" s="4"/>
      <c r="K257" s="4"/>
      <c r="L257" s="53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76"/>
      <c r="F258" s="53"/>
      <c r="G258" s="4"/>
      <c r="H258" s="4"/>
      <c r="I258" s="4"/>
      <c r="J258" s="4"/>
      <c r="K258" s="4"/>
      <c r="L258" s="53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76"/>
      <c r="F259" s="53"/>
      <c r="G259" s="4"/>
      <c r="H259" s="4"/>
      <c r="I259" s="4"/>
      <c r="J259" s="4"/>
      <c r="K259" s="4"/>
      <c r="L259" s="53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76"/>
      <c r="F260" s="53"/>
      <c r="G260" s="4"/>
      <c r="H260" s="4"/>
      <c r="I260" s="4"/>
      <c r="J260" s="4"/>
      <c r="K260" s="4"/>
      <c r="L260" s="53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76"/>
      <c r="F261" s="53"/>
      <c r="G261" s="4"/>
      <c r="H261" s="4"/>
      <c r="I261" s="4"/>
      <c r="J261" s="4"/>
      <c r="K261" s="4"/>
      <c r="L261" s="53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76"/>
      <c r="F262" s="53"/>
      <c r="G262" s="4"/>
      <c r="H262" s="4"/>
      <c r="I262" s="4"/>
      <c r="J262" s="4"/>
      <c r="K262" s="4"/>
      <c r="L262" s="53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76"/>
      <c r="F263" s="53"/>
      <c r="G263" s="4"/>
      <c r="H263" s="4"/>
      <c r="I263" s="4"/>
      <c r="J263" s="4"/>
      <c r="K263" s="4"/>
      <c r="L263" s="53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76"/>
      <c r="F264" s="53"/>
      <c r="G264" s="4"/>
      <c r="H264" s="4"/>
      <c r="I264" s="4"/>
      <c r="J264" s="4"/>
      <c r="K264" s="4"/>
      <c r="L264" s="53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76"/>
      <c r="F265" s="53"/>
      <c r="G265" s="4"/>
      <c r="H265" s="4"/>
      <c r="I265" s="4"/>
      <c r="J265" s="4"/>
      <c r="K265" s="4"/>
      <c r="L265" s="53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76"/>
      <c r="F266" s="53"/>
      <c r="G266" s="4"/>
      <c r="H266" s="4"/>
      <c r="I266" s="4"/>
      <c r="J266" s="4"/>
      <c r="K266" s="4"/>
      <c r="L266" s="53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76"/>
      <c r="F267" s="53"/>
      <c r="G267" s="4"/>
      <c r="H267" s="4"/>
      <c r="I267" s="4"/>
      <c r="J267" s="4"/>
      <c r="K267" s="4"/>
      <c r="L267" s="53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76"/>
      <c r="F268" s="53"/>
      <c r="G268" s="4"/>
      <c r="H268" s="4"/>
      <c r="I268" s="4"/>
      <c r="J268" s="4"/>
      <c r="K268" s="4"/>
      <c r="L268" s="53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76"/>
      <c r="F269" s="53"/>
      <c r="G269" s="4"/>
      <c r="H269" s="4"/>
      <c r="I269" s="4"/>
      <c r="J269" s="4"/>
      <c r="K269" s="4"/>
      <c r="L269" s="53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76"/>
      <c r="F270" s="53"/>
      <c r="G270" s="4"/>
      <c r="H270" s="4"/>
      <c r="I270" s="4"/>
      <c r="J270" s="4"/>
      <c r="K270" s="4"/>
      <c r="L270" s="53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76"/>
      <c r="F271" s="53"/>
      <c r="G271" s="4"/>
      <c r="H271" s="4"/>
      <c r="I271" s="4"/>
      <c r="J271" s="4"/>
      <c r="K271" s="4"/>
      <c r="L271" s="53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76"/>
      <c r="F272" s="53"/>
      <c r="G272" s="4"/>
      <c r="H272" s="4"/>
      <c r="I272" s="4"/>
      <c r="J272" s="4"/>
      <c r="K272" s="4"/>
      <c r="L272" s="53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76"/>
      <c r="F273" s="53"/>
      <c r="G273" s="4"/>
      <c r="H273" s="4"/>
      <c r="I273" s="4"/>
      <c r="J273" s="4"/>
      <c r="K273" s="4"/>
      <c r="L273" s="53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76"/>
      <c r="F274" s="53"/>
      <c r="G274" s="4"/>
      <c r="H274" s="4"/>
      <c r="I274" s="4"/>
      <c r="J274" s="4"/>
      <c r="K274" s="4"/>
      <c r="L274" s="53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76"/>
      <c r="F275" s="53"/>
      <c r="G275" s="4"/>
      <c r="H275" s="4"/>
      <c r="I275" s="4"/>
      <c r="J275" s="4"/>
      <c r="K275" s="4"/>
      <c r="L275" s="53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76"/>
      <c r="F276" s="53"/>
      <c r="G276" s="4"/>
      <c r="H276" s="4"/>
      <c r="I276" s="4"/>
      <c r="J276" s="4"/>
      <c r="K276" s="4"/>
      <c r="L276" s="53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76"/>
      <c r="F277" s="53"/>
      <c r="G277" s="4"/>
      <c r="H277" s="4"/>
      <c r="I277" s="4"/>
      <c r="J277" s="4"/>
      <c r="K277" s="4"/>
      <c r="L277" s="53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76"/>
      <c r="F278" s="53"/>
      <c r="G278" s="4"/>
      <c r="H278" s="4"/>
      <c r="I278" s="4"/>
      <c r="J278" s="4"/>
      <c r="K278" s="4"/>
      <c r="L278" s="53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76"/>
      <c r="F279" s="53"/>
      <c r="G279" s="4"/>
      <c r="H279" s="4"/>
      <c r="I279" s="4"/>
      <c r="J279" s="4"/>
      <c r="K279" s="4"/>
      <c r="L279" s="53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76"/>
      <c r="F280" s="53"/>
      <c r="G280" s="4"/>
      <c r="H280" s="4"/>
      <c r="I280" s="4"/>
      <c r="J280" s="4"/>
      <c r="K280" s="4"/>
      <c r="L280" s="53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76"/>
      <c r="F281" s="53"/>
      <c r="G281" s="4"/>
      <c r="H281" s="4"/>
      <c r="I281" s="4"/>
      <c r="J281" s="4"/>
      <c r="K281" s="4"/>
      <c r="L281" s="53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76"/>
      <c r="F282" s="53"/>
      <c r="G282" s="4"/>
      <c r="H282" s="4"/>
      <c r="I282" s="4"/>
      <c r="J282" s="4"/>
      <c r="K282" s="4"/>
      <c r="L282" s="53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76"/>
      <c r="F283" s="53"/>
      <c r="G283" s="4"/>
      <c r="H283" s="4"/>
      <c r="I283" s="4"/>
      <c r="J283" s="4"/>
      <c r="K283" s="4"/>
      <c r="L283" s="53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76"/>
      <c r="F284" s="53"/>
      <c r="G284" s="4"/>
      <c r="H284" s="4"/>
      <c r="I284" s="4"/>
      <c r="J284" s="4"/>
      <c r="K284" s="4"/>
      <c r="L284" s="53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76"/>
      <c r="F285" s="53"/>
      <c r="G285" s="4"/>
      <c r="H285" s="4"/>
      <c r="I285" s="4"/>
      <c r="J285" s="4"/>
      <c r="K285" s="4"/>
      <c r="L285" s="53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76"/>
      <c r="F286" s="53"/>
      <c r="G286" s="4"/>
      <c r="H286" s="4"/>
      <c r="I286" s="4"/>
      <c r="J286" s="4"/>
      <c r="K286" s="4"/>
      <c r="L286" s="53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76"/>
      <c r="F287" s="53"/>
      <c r="G287" s="4"/>
      <c r="H287" s="4"/>
      <c r="I287" s="4"/>
      <c r="J287" s="4"/>
      <c r="K287" s="4"/>
      <c r="L287" s="53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76"/>
      <c r="F288" s="53"/>
      <c r="G288" s="4"/>
      <c r="H288" s="4"/>
      <c r="I288" s="4"/>
      <c r="J288" s="4"/>
      <c r="K288" s="4"/>
      <c r="L288" s="53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76"/>
      <c r="F289" s="53"/>
      <c r="G289" s="4"/>
      <c r="H289" s="4"/>
      <c r="I289" s="4"/>
      <c r="J289" s="4"/>
      <c r="K289" s="4"/>
      <c r="L289" s="53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76"/>
      <c r="F290" s="53"/>
      <c r="G290" s="4"/>
      <c r="H290" s="4"/>
      <c r="I290" s="4"/>
      <c r="J290" s="4"/>
      <c r="K290" s="4"/>
      <c r="L290" s="53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76"/>
      <c r="F291" s="53"/>
      <c r="G291" s="4"/>
      <c r="H291" s="4"/>
      <c r="I291" s="4"/>
      <c r="J291" s="4"/>
      <c r="K291" s="4"/>
      <c r="L291" s="53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76"/>
      <c r="F292" s="53"/>
      <c r="G292" s="4"/>
      <c r="H292" s="4"/>
      <c r="I292" s="4"/>
      <c r="J292" s="4"/>
      <c r="K292" s="4"/>
      <c r="L292" s="53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76"/>
      <c r="F293" s="53"/>
      <c r="G293" s="4"/>
      <c r="H293" s="4"/>
      <c r="I293" s="4"/>
      <c r="J293" s="4"/>
      <c r="K293" s="4"/>
      <c r="L293" s="53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76"/>
      <c r="F294" s="53"/>
      <c r="G294" s="4"/>
      <c r="H294" s="4"/>
      <c r="I294" s="4"/>
      <c r="J294" s="4"/>
      <c r="K294" s="4"/>
      <c r="L294" s="53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76"/>
      <c r="F295" s="53"/>
      <c r="G295" s="4"/>
      <c r="H295" s="4"/>
      <c r="I295" s="4"/>
      <c r="J295" s="4"/>
      <c r="K295" s="4"/>
      <c r="L295" s="53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76"/>
      <c r="F296" s="53"/>
      <c r="G296" s="4"/>
      <c r="H296" s="4"/>
      <c r="I296" s="4"/>
      <c r="J296" s="4"/>
      <c r="K296" s="4"/>
      <c r="L296" s="53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76"/>
      <c r="F297" s="53"/>
      <c r="G297" s="4"/>
      <c r="H297" s="4"/>
      <c r="I297" s="4"/>
      <c r="J297" s="4"/>
      <c r="K297" s="4"/>
      <c r="L297" s="53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76"/>
      <c r="F298" s="53"/>
      <c r="G298" s="4"/>
      <c r="H298" s="4"/>
      <c r="I298" s="4"/>
      <c r="J298" s="4"/>
      <c r="K298" s="4"/>
      <c r="L298" s="53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76"/>
      <c r="F299" s="53"/>
      <c r="G299" s="4"/>
      <c r="H299" s="4"/>
      <c r="I299" s="4"/>
      <c r="J299" s="4"/>
      <c r="K299" s="4"/>
      <c r="L299" s="53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76"/>
      <c r="F300" s="53"/>
      <c r="G300" s="4"/>
      <c r="H300" s="4"/>
      <c r="I300" s="4"/>
      <c r="J300" s="4"/>
      <c r="K300" s="4"/>
      <c r="L300" s="53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76"/>
      <c r="F301" s="53"/>
      <c r="G301" s="4"/>
      <c r="H301" s="4"/>
      <c r="I301" s="4"/>
      <c r="J301" s="4"/>
      <c r="K301" s="4"/>
      <c r="L301" s="53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76"/>
      <c r="F302" s="53"/>
      <c r="G302" s="4"/>
      <c r="H302" s="4"/>
      <c r="I302" s="4"/>
      <c r="J302" s="4"/>
      <c r="K302" s="4"/>
      <c r="L302" s="53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76"/>
      <c r="F303" s="53"/>
      <c r="G303" s="4"/>
      <c r="H303" s="4"/>
      <c r="I303" s="4"/>
      <c r="J303" s="4"/>
      <c r="K303" s="4"/>
      <c r="L303" s="53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76"/>
      <c r="F304" s="53"/>
      <c r="G304" s="4"/>
      <c r="H304" s="4"/>
      <c r="I304" s="4"/>
      <c r="J304" s="4"/>
      <c r="K304" s="4"/>
      <c r="L304" s="53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76"/>
      <c r="F305" s="53"/>
      <c r="G305" s="4"/>
      <c r="H305" s="4"/>
      <c r="I305" s="4"/>
      <c r="J305" s="4"/>
      <c r="K305" s="4"/>
      <c r="L305" s="53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76"/>
      <c r="F306" s="53"/>
      <c r="G306" s="4"/>
      <c r="H306" s="4"/>
      <c r="I306" s="4"/>
      <c r="J306" s="4"/>
      <c r="K306" s="4"/>
      <c r="L306" s="53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76"/>
      <c r="F307" s="53"/>
      <c r="G307" s="4"/>
      <c r="H307" s="4"/>
      <c r="I307" s="4"/>
      <c r="J307" s="4"/>
      <c r="K307" s="4"/>
      <c r="L307" s="53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76"/>
      <c r="F308" s="53"/>
      <c r="G308" s="4"/>
      <c r="H308" s="4"/>
      <c r="I308" s="4"/>
      <c r="J308" s="4"/>
      <c r="K308" s="4"/>
      <c r="L308" s="53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76"/>
      <c r="F309" s="53"/>
      <c r="G309" s="4"/>
      <c r="H309" s="4"/>
      <c r="I309" s="4"/>
      <c r="J309" s="4"/>
      <c r="K309" s="4"/>
      <c r="L309" s="53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76"/>
      <c r="F310" s="53"/>
      <c r="G310" s="4"/>
      <c r="H310" s="4"/>
      <c r="I310" s="4"/>
      <c r="J310" s="4"/>
      <c r="K310" s="4"/>
      <c r="L310" s="53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76"/>
      <c r="F311" s="53"/>
      <c r="G311" s="4"/>
      <c r="H311" s="4"/>
      <c r="I311" s="4"/>
      <c r="J311" s="4"/>
      <c r="K311" s="4"/>
      <c r="L311" s="53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76"/>
      <c r="F312" s="53"/>
      <c r="G312" s="4"/>
      <c r="H312" s="4"/>
      <c r="I312" s="4"/>
      <c r="J312" s="4"/>
      <c r="K312" s="4"/>
      <c r="L312" s="53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76"/>
      <c r="F313" s="53"/>
      <c r="G313" s="4"/>
      <c r="H313" s="4"/>
      <c r="I313" s="4"/>
      <c r="J313" s="4"/>
      <c r="K313" s="4"/>
      <c r="L313" s="53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76"/>
      <c r="F314" s="53"/>
      <c r="G314" s="4"/>
      <c r="H314" s="4"/>
      <c r="I314" s="4"/>
      <c r="J314" s="4"/>
      <c r="K314" s="4"/>
      <c r="L314" s="53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76"/>
      <c r="F315" s="53"/>
      <c r="G315" s="4"/>
      <c r="H315" s="4"/>
      <c r="I315" s="4"/>
      <c r="J315" s="4"/>
      <c r="K315" s="4"/>
      <c r="L315" s="53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76"/>
      <c r="F316" s="53"/>
      <c r="G316" s="4"/>
      <c r="H316" s="4"/>
      <c r="I316" s="4"/>
      <c r="J316" s="4"/>
      <c r="K316" s="4"/>
      <c r="L316" s="53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76"/>
      <c r="F317" s="53"/>
      <c r="G317" s="4"/>
      <c r="H317" s="4"/>
      <c r="I317" s="4"/>
      <c r="J317" s="4"/>
      <c r="K317" s="4"/>
      <c r="L317" s="53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76"/>
      <c r="F318" s="53"/>
      <c r="G318" s="4"/>
      <c r="H318" s="4"/>
      <c r="I318" s="4"/>
      <c r="J318" s="4"/>
      <c r="K318" s="4"/>
      <c r="L318" s="53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76"/>
      <c r="F319" s="53"/>
      <c r="G319" s="4"/>
      <c r="H319" s="4"/>
      <c r="I319" s="4"/>
      <c r="J319" s="4"/>
      <c r="K319" s="4"/>
      <c r="L319" s="53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76"/>
      <c r="F320" s="53"/>
      <c r="G320" s="4"/>
      <c r="H320" s="4"/>
      <c r="I320" s="4"/>
      <c r="J320" s="4"/>
      <c r="K320" s="4"/>
      <c r="L320" s="53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76"/>
      <c r="F321" s="53"/>
      <c r="G321" s="4"/>
      <c r="H321" s="4"/>
      <c r="I321" s="4"/>
      <c r="J321" s="4"/>
      <c r="K321" s="4"/>
      <c r="L321" s="53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76"/>
      <c r="F322" s="53"/>
      <c r="G322" s="4"/>
      <c r="H322" s="4"/>
      <c r="I322" s="4"/>
      <c r="J322" s="4"/>
      <c r="K322" s="4"/>
      <c r="L322" s="53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76"/>
      <c r="F323" s="53"/>
      <c r="G323" s="4"/>
      <c r="H323" s="4"/>
      <c r="I323" s="4"/>
      <c r="J323" s="4"/>
      <c r="K323" s="4"/>
      <c r="L323" s="53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76"/>
      <c r="F324" s="53"/>
      <c r="G324" s="4"/>
      <c r="H324" s="4"/>
      <c r="I324" s="4"/>
      <c r="J324" s="4"/>
      <c r="K324" s="4"/>
      <c r="L324" s="53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76"/>
      <c r="F325" s="53"/>
      <c r="G325" s="4"/>
      <c r="H325" s="4"/>
      <c r="I325" s="4"/>
      <c r="J325" s="4"/>
      <c r="K325" s="4"/>
      <c r="L325" s="53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76"/>
      <c r="F326" s="53"/>
      <c r="G326" s="4"/>
      <c r="H326" s="4"/>
      <c r="I326" s="4"/>
      <c r="J326" s="4"/>
      <c r="K326" s="4"/>
      <c r="L326" s="53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76"/>
      <c r="F327" s="53"/>
      <c r="G327" s="4"/>
      <c r="H327" s="4"/>
      <c r="I327" s="4"/>
      <c r="J327" s="4"/>
      <c r="K327" s="4"/>
      <c r="L327" s="53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76"/>
      <c r="F328" s="53"/>
      <c r="G328" s="4"/>
      <c r="H328" s="4"/>
      <c r="I328" s="4"/>
      <c r="J328" s="4"/>
      <c r="K328" s="4"/>
      <c r="L328" s="53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76"/>
      <c r="F329" s="53"/>
      <c r="G329" s="4"/>
      <c r="H329" s="4"/>
      <c r="I329" s="4"/>
      <c r="J329" s="4"/>
      <c r="K329" s="4"/>
      <c r="L329" s="53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76"/>
      <c r="F330" s="53"/>
      <c r="G330" s="4"/>
      <c r="H330" s="4"/>
      <c r="I330" s="4"/>
      <c r="J330" s="4"/>
      <c r="K330" s="4"/>
      <c r="L330" s="53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76"/>
      <c r="F331" s="53"/>
      <c r="G331" s="4"/>
      <c r="H331" s="4"/>
      <c r="I331" s="4"/>
      <c r="J331" s="4"/>
      <c r="K331" s="4"/>
      <c r="L331" s="53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76"/>
      <c r="F332" s="53"/>
      <c r="G332" s="4"/>
      <c r="H332" s="4"/>
      <c r="I332" s="4"/>
      <c r="J332" s="4"/>
      <c r="K332" s="4"/>
      <c r="L332" s="53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76"/>
      <c r="F333" s="53"/>
      <c r="G333" s="4"/>
      <c r="H333" s="4"/>
      <c r="I333" s="4"/>
      <c r="J333" s="4"/>
      <c r="K333" s="4"/>
      <c r="L333" s="53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76"/>
      <c r="F334" s="53"/>
      <c r="G334" s="4"/>
      <c r="H334" s="4"/>
      <c r="I334" s="4"/>
      <c r="J334" s="4"/>
      <c r="K334" s="4"/>
      <c r="L334" s="53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76"/>
      <c r="F335" s="53"/>
      <c r="G335" s="4"/>
      <c r="H335" s="4"/>
      <c r="I335" s="4"/>
      <c r="J335" s="4"/>
      <c r="K335" s="4"/>
      <c r="L335" s="53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76"/>
      <c r="F336" s="53"/>
      <c r="G336" s="4"/>
      <c r="H336" s="4"/>
      <c r="I336" s="4"/>
      <c r="J336" s="4"/>
      <c r="K336" s="4"/>
      <c r="L336" s="53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76"/>
      <c r="F337" s="53"/>
      <c r="G337" s="4"/>
      <c r="H337" s="4"/>
      <c r="I337" s="4"/>
      <c r="J337" s="4"/>
      <c r="K337" s="4"/>
      <c r="L337" s="53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76"/>
      <c r="F338" s="53"/>
      <c r="G338" s="4"/>
      <c r="H338" s="4"/>
      <c r="I338" s="4"/>
      <c r="J338" s="4"/>
      <c r="K338" s="4"/>
      <c r="L338" s="53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76"/>
      <c r="F339" s="53"/>
      <c r="G339" s="4"/>
      <c r="H339" s="4"/>
      <c r="I339" s="4"/>
      <c r="J339" s="4"/>
      <c r="K339" s="4"/>
      <c r="L339" s="53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76"/>
      <c r="F340" s="53"/>
      <c r="G340" s="4"/>
      <c r="H340" s="4"/>
      <c r="I340" s="4"/>
      <c r="J340" s="4"/>
      <c r="K340" s="4"/>
      <c r="L340" s="53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76"/>
      <c r="F341" s="53"/>
      <c r="G341" s="4"/>
      <c r="H341" s="4"/>
      <c r="I341" s="4"/>
      <c r="J341" s="4"/>
      <c r="K341" s="4"/>
      <c r="L341" s="53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76"/>
      <c r="F342" s="53"/>
      <c r="G342" s="4"/>
      <c r="H342" s="4"/>
      <c r="I342" s="4"/>
      <c r="J342" s="4"/>
      <c r="K342" s="4"/>
      <c r="L342" s="53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76"/>
      <c r="F343" s="53"/>
      <c r="G343" s="4"/>
      <c r="H343" s="4"/>
      <c r="I343" s="4"/>
      <c r="J343" s="4"/>
      <c r="K343" s="4"/>
      <c r="L343" s="53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76"/>
      <c r="F344" s="53"/>
      <c r="G344" s="4"/>
      <c r="H344" s="4"/>
      <c r="I344" s="4"/>
      <c r="J344" s="4"/>
      <c r="K344" s="4"/>
      <c r="L344" s="53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76"/>
      <c r="F345" s="53"/>
      <c r="G345" s="4"/>
      <c r="H345" s="4"/>
      <c r="I345" s="4"/>
      <c r="J345" s="4"/>
      <c r="K345" s="4"/>
      <c r="L345" s="53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76"/>
      <c r="F346" s="53"/>
      <c r="G346" s="4"/>
      <c r="H346" s="4"/>
      <c r="I346" s="4"/>
      <c r="J346" s="4"/>
      <c r="K346" s="4"/>
      <c r="L346" s="53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76"/>
      <c r="F347" s="53"/>
      <c r="G347" s="4"/>
      <c r="H347" s="4"/>
      <c r="I347" s="4"/>
      <c r="J347" s="4"/>
      <c r="K347" s="4"/>
      <c r="L347" s="53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76"/>
      <c r="F348" s="53"/>
      <c r="G348" s="4"/>
      <c r="H348" s="4"/>
      <c r="I348" s="4"/>
      <c r="J348" s="4"/>
      <c r="K348" s="4"/>
      <c r="L348" s="53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76"/>
      <c r="F349" s="53"/>
      <c r="G349" s="4"/>
      <c r="H349" s="4"/>
      <c r="I349" s="4"/>
      <c r="J349" s="4"/>
      <c r="K349" s="4"/>
      <c r="L349" s="53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76"/>
      <c r="F350" s="53"/>
      <c r="G350" s="4"/>
      <c r="H350" s="4"/>
      <c r="I350" s="4"/>
      <c r="J350" s="4"/>
      <c r="K350" s="4"/>
      <c r="L350" s="53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76"/>
      <c r="F351" s="53"/>
      <c r="G351" s="4"/>
      <c r="H351" s="4"/>
      <c r="I351" s="4"/>
      <c r="J351" s="4"/>
      <c r="K351" s="4"/>
      <c r="L351" s="53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76"/>
      <c r="F352" s="53"/>
      <c r="G352" s="4"/>
      <c r="H352" s="4"/>
      <c r="I352" s="4"/>
      <c r="J352" s="4"/>
      <c r="K352" s="4"/>
      <c r="L352" s="53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76"/>
      <c r="F353" s="53"/>
      <c r="G353" s="4"/>
      <c r="H353" s="4"/>
      <c r="I353" s="4"/>
      <c r="J353" s="4"/>
      <c r="K353" s="4"/>
      <c r="L353" s="53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76"/>
      <c r="F354" s="53"/>
      <c r="G354" s="4"/>
      <c r="H354" s="4"/>
      <c r="I354" s="4"/>
      <c r="J354" s="4"/>
      <c r="K354" s="4"/>
      <c r="L354" s="53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76"/>
      <c r="F355" s="53"/>
      <c r="G355" s="4"/>
      <c r="H355" s="4"/>
      <c r="I355" s="4"/>
      <c r="J355" s="4"/>
      <c r="K355" s="4"/>
      <c r="L355" s="53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76"/>
      <c r="F356" s="53"/>
      <c r="G356" s="4"/>
      <c r="H356" s="4"/>
      <c r="I356" s="4"/>
      <c r="J356" s="4"/>
      <c r="K356" s="4"/>
      <c r="L356" s="53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76"/>
      <c r="F357" s="53"/>
      <c r="G357" s="4"/>
      <c r="H357" s="4"/>
      <c r="I357" s="4"/>
      <c r="J357" s="4"/>
      <c r="K357" s="4"/>
      <c r="L357" s="53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76"/>
      <c r="F358" s="53"/>
      <c r="G358" s="4"/>
      <c r="H358" s="4"/>
      <c r="I358" s="4"/>
      <c r="J358" s="4"/>
      <c r="K358" s="4"/>
      <c r="L358" s="53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76"/>
      <c r="F359" s="53"/>
      <c r="G359" s="4"/>
      <c r="H359" s="4"/>
      <c r="I359" s="4"/>
      <c r="J359" s="4"/>
      <c r="K359" s="4"/>
      <c r="L359" s="53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76"/>
      <c r="F360" s="53"/>
      <c r="G360" s="4"/>
      <c r="H360" s="4"/>
      <c r="I360" s="4"/>
      <c r="J360" s="4"/>
      <c r="K360" s="4"/>
      <c r="L360" s="53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76"/>
      <c r="F361" s="53"/>
      <c r="G361" s="4"/>
      <c r="H361" s="4"/>
      <c r="I361" s="4"/>
      <c r="J361" s="4"/>
      <c r="K361" s="4"/>
      <c r="L361" s="53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76"/>
      <c r="F362" s="53"/>
      <c r="G362" s="4"/>
      <c r="H362" s="4"/>
      <c r="I362" s="4"/>
      <c r="J362" s="4"/>
      <c r="K362" s="4"/>
      <c r="L362" s="53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76"/>
      <c r="F363" s="53"/>
      <c r="G363" s="4"/>
      <c r="H363" s="4"/>
      <c r="I363" s="4"/>
      <c r="J363" s="4"/>
      <c r="K363" s="4"/>
      <c r="L363" s="53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76"/>
      <c r="F364" s="53"/>
      <c r="G364" s="4"/>
      <c r="H364" s="4"/>
      <c r="I364" s="4"/>
      <c r="J364" s="4"/>
      <c r="K364" s="4"/>
      <c r="L364" s="53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76"/>
      <c r="F365" s="53"/>
      <c r="G365" s="4"/>
      <c r="H365" s="4"/>
      <c r="I365" s="4"/>
      <c r="J365" s="4"/>
      <c r="K365" s="4"/>
      <c r="L365" s="53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76"/>
      <c r="F366" s="53"/>
      <c r="G366" s="4"/>
      <c r="H366" s="4"/>
      <c r="I366" s="4"/>
      <c r="J366" s="4"/>
      <c r="K366" s="4"/>
      <c r="L366" s="53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76"/>
      <c r="F367" s="53"/>
      <c r="G367" s="4"/>
      <c r="H367" s="4"/>
      <c r="I367" s="4"/>
      <c r="J367" s="4"/>
      <c r="K367" s="4"/>
      <c r="L367" s="53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76"/>
      <c r="F368" s="53"/>
      <c r="G368" s="4"/>
      <c r="H368" s="4"/>
      <c r="I368" s="4"/>
      <c r="J368" s="4"/>
      <c r="K368" s="4"/>
      <c r="L368" s="53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76"/>
      <c r="F369" s="53"/>
      <c r="G369" s="4"/>
      <c r="H369" s="4"/>
      <c r="I369" s="4"/>
      <c r="J369" s="4"/>
      <c r="K369" s="4"/>
      <c r="L369" s="53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76"/>
      <c r="F370" s="53"/>
      <c r="G370" s="4"/>
      <c r="H370" s="4"/>
      <c r="I370" s="4"/>
      <c r="J370" s="4"/>
      <c r="K370" s="4"/>
      <c r="L370" s="53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76"/>
      <c r="F371" s="53"/>
      <c r="G371" s="4"/>
      <c r="H371" s="4"/>
      <c r="I371" s="4"/>
      <c r="J371" s="4"/>
      <c r="K371" s="4"/>
      <c r="L371" s="53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76"/>
      <c r="F372" s="53"/>
      <c r="G372" s="4"/>
      <c r="H372" s="4"/>
      <c r="I372" s="4"/>
      <c r="J372" s="4"/>
      <c r="K372" s="4"/>
      <c r="L372" s="53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76"/>
      <c r="F373" s="53"/>
      <c r="G373" s="4"/>
      <c r="H373" s="4"/>
      <c r="I373" s="4"/>
      <c r="J373" s="4"/>
      <c r="K373" s="4"/>
      <c r="L373" s="53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76"/>
      <c r="F374" s="53"/>
      <c r="G374" s="4"/>
      <c r="H374" s="4"/>
      <c r="I374" s="4"/>
      <c r="J374" s="4"/>
      <c r="K374" s="4"/>
      <c r="L374" s="53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76"/>
      <c r="F375" s="53"/>
      <c r="G375" s="4"/>
      <c r="H375" s="4"/>
      <c r="I375" s="4"/>
      <c r="J375" s="4"/>
      <c r="K375" s="4"/>
      <c r="L375" s="53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76"/>
      <c r="F376" s="53"/>
      <c r="G376" s="4"/>
      <c r="H376" s="4"/>
      <c r="I376" s="4"/>
      <c r="J376" s="4"/>
      <c r="K376" s="4"/>
      <c r="L376" s="53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76"/>
      <c r="F377" s="53"/>
      <c r="G377" s="4"/>
      <c r="H377" s="4"/>
      <c r="I377" s="4"/>
      <c r="J377" s="4"/>
      <c r="K377" s="4"/>
      <c r="L377" s="53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76"/>
      <c r="F378" s="53"/>
      <c r="G378" s="4"/>
      <c r="H378" s="4"/>
      <c r="I378" s="4"/>
      <c r="J378" s="4"/>
      <c r="K378" s="4"/>
      <c r="L378" s="53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76"/>
      <c r="F379" s="53"/>
      <c r="G379" s="4"/>
      <c r="H379" s="4"/>
      <c r="I379" s="4"/>
      <c r="J379" s="4"/>
      <c r="K379" s="4"/>
      <c r="L379" s="53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76"/>
      <c r="F380" s="53"/>
      <c r="G380" s="4"/>
      <c r="H380" s="4"/>
      <c r="I380" s="4"/>
      <c r="J380" s="4"/>
      <c r="K380" s="4"/>
      <c r="L380" s="53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76"/>
      <c r="F381" s="53"/>
      <c r="G381" s="4"/>
      <c r="H381" s="4"/>
      <c r="I381" s="4"/>
      <c r="J381" s="4"/>
      <c r="K381" s="4"/>
      <c r="L381" s="53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76"/>
      <c r="F382" s="53"/>
      <c r="G382" s="4"/>
      <c r="H382" s="4"/>
      <c r="I382" s="4"/>
      <c r="J382" s="4"/>
      <c r="K382" s="4"/>
      <c r="L382" s="53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76"/>
      <c r="F383" s="53"/>
      <c r="G383" s="4"/>
      <c r="H383" s="4"/>
      <c r="I383" s="4"/>
      <c r="J383" s="4"/>
      <c r="K383" s="4"/>
      <c r="L383" s="53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76"/>
      <c r="F384" s="53"/>
      <c r="G384" s="4"/>
      <c r="H384" s="4"/>
      <c r="I384" s="4"/>
      <c r="J384" s="4"/>
      <c r="K384" s="4"/>
      <c r="L384" s="53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76"/>
      <c r="F385" s="53"/>
      <c r="G385" s="4"/>
      <c r="H385" s="4"/>
      <c r="I385" s="4"/>
      <c r="J385" s="4"/>
      <c r="K385" s="4"/>
      <c r="L385" s="53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76"/>
      <c r="F386" s="53"/>
      <c r="G386" s="4"/>
      <c r="H386" s="4"/>
      <c r="I386" s="4"/>
      <c r="J386" s="4"/>
      <c r="K386" s="4"/>
      <c r="L386" s="53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76"/>
      <c r="F387" s="53"/>
      <c r="G387" s="4"/>
      <c r="H387" s="4"/>
      <c r="I387" s="4"/>
      <c r="J387" s="4"/>
      <c r="K387" s="4"/>
      <c r="L387" s="53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76"/>
      <c r="F388" s="53"/>
      <c r="G388" s="4"/>
      <c r="H388" s="4"/>
      <c r="I388" s="4"/>
      <c r="J388" s="4"/>
      <c r="K388" s="4"/>
      <c r="L388" s="53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76"/>
      <c r="F389" s="53"/>
      <c r="G389" s="4"/>
      <c r="H389" s="4"/>
      <c r="I389" s="4"/>
      <c r="J389" s="4"/>
      <c r="K389" s="4"/>
      <c r="L389" s="53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76"/>
      <c r="F390" s="53"/>
      <c r="G390" s="4"/>
      <c r="H390" s="4"/>
      <c r="I390" s="4"/>
      <c r="J390" s="4"/>
      <c r="K390" s="4"/>
      <c r="L390" s="53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76"/>
      <c r="F391" s="53"/>
      <c r="G391" s="4"/>
      <c r="H391" s="4"/>
      <c r="I391" s="4"/>
      <c r="J391" s="4"/>
      <c r="K391" s="4"/>
      <c r="L391" s="53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76"/>
      <c r="F392" s="53"/>
      <c r="G392" s="4"/>
      <c r="H392" s="4"/>
      <c r="I392" s="4"/>
      <c r="J392" s="4"/>
      <c r="K392" s="4"/>
      <c r="L392" s="53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76"/>
      <c r="F393" s="53"/>
      <c r="G393" s="4"/>
      <c r="H393" s="4"/>
      <c r="I393" s="4"/>
      <c r="J393" s="4"/>
      <c r="K393" s="4"/>
      <c r="L393" s="53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76"/>
      <c r="F394" s="53"/>
      <c r="G394" s="4"/>
      <c r="H394" s="4"/>
      <c r="I394" s="4"/>
      <c r="J394" s="4"/>
      <c r="K394" s="4"/>
      <c r="L394" s="53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76"/>
      <c r="F395" s="53"/>
      <c r="G395" s="4"/>
      <c r="H395" s="4"/>
      <c r="I395" s="4"/>
      <c r="J395" s="4"/>
      <c r="K395" s="4"/>
      <c r="L395" s="53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76"/>
      <c r="F396" s="53"/>
      <c r="G396" s="4"/>
      <c r="H396" s="4"/>
      <c r="I396" s="4"/>
      <c r="J396" s="4"/>
      <c r="K396" s="4"/>
      <c r="L396" s="53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76"/>
      <c r="F397" s="53"/>
      <c r="G397" s="4"/>
      <c r="H397" s="4"/>
      <c r="I397" s="4"/>
      <c r="J397" s="4"/>
      <c r="K397" s="4"/>
      <c r="L397" s="53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76"/>
      <c r="F398" s="53"/>
      <c r="G398" s="4"/>
      <c r="H398" s="4"/>
      <c r="I398" s="4"/>
      <c r="J398" s="4"/>
      <c r="K398" s="4"/>
      <c r="L398" s="53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76"/>
      <c r="F399" s="53"/>
      <c r="G399" s="4"/>
      <c r="H399" s="4"/>
      <c r="I399" s="4"/>
      <c r="J399" s="4"/>
      <c r="K399" s="4"/>
      <c r="L399" s="53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76"/>
      <c r="F400" s="53"/>
      <c r="G400" s="4"/>
      <c r="H400" s="4"/>
      <c r="I400" s="4"/>
      <c r="J400" s="4"/>
      <c r="K400" s="4"/>
      <c r="L400" s="53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76"/>
      <c r="F401" s="53"/>
      <c r="G401" s="4"/>
      <c r="H401" s="4"/>
      <c r="I401" s="4"/>
      <c r="J401" s="4"/>
      <c r="K401" s="4"/>
      <c r="L401" s="53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76"/>
      <c r="F402" s="53"/>
      <c r="G402" s="4"/>
      <c r="H402" s="4"/>
      <c r="I402" s="4"/>
      <c r="J402" s="4"/>
      <c r="K402" s="4"/>
      <c r="L402" s="53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76"/>
      <c r="F403" s="53"/>
      <c r="G403" s="4"/>
      <c r="H403" s="4"/>
      <c r="I403" s="4"/>
      <c r="J403" s="4"/>
      <c r="K403" s="4"/>
      <c r="L403" s="53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76"/>
      <c r="F404" s="53"/>
      <c r="G404" s="4"/>
      <c r="H404" s="4"/>
      <c r="I404" s="4"/>
      <c r="J404" s="4"/>
      <c r="K404" s="4"/>
      <c r="L404" s="53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76"/>
      <c r="F405" s="53"/>
      <c r="G405" s="4"/>
      <c r="H405" s="4"/>
      <c r="I405" s="4"/>
      <c r="J405" s="4"/>
      <c r="K405" s="4"/>
      <c r="L405" s="53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76"/>
      <c r="F406" s="53"/>
      <c r="G406" s="4"/>
      <c r="H406" s="4"/>
      <c r="I406" s="4"/>
      <c r="J406" s="4"/>
      <c r="K406" s="4"/>
      <c r="L406" s="53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76"/>
      <c r="F407" s="53"/>
      <c r="G407" s="4"/>
      <c r="H407" s="4"/>
      <c r="I407" s="4"/>
      <c r="J407" s="4"/>
      <c r="K407" s="4"/>
      <c r="L407" s="53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76"/>
      <c r="F408" s="53"/>
      <c r="G408" s="4"/>
      <c r="H408" s="4"/>
      <c r="I408" s="4"/>
      <c r="J408" s="4"/>
      <c r="K408" s="4"/>
      <c r="L408" s="53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76"/>
      <c r="F409" s="53"/>
      <c r="G409" s="4"/>
      <c r="H409" s="4"/>
      <c r="I409" s="4"/>
      <c r="J409" s="4"/>
      <c r="K409" s="4"/>
      <c r="L409" s="53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76"/>
      <c r="F410" s="53"/>
      <c r="G410" s="4"/>
      <c r="H410" s="4"/>
      <c r="I410" s="4"/>
      <c r="J410" s="4"/>
      <c r="K410" s="4"/>
      <c r="L410" s="53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76"/>
      <c r="F411" s="53"/>
      <c r="G411" s="4"/>
      <c r="H411" s="4"/>
      <c r="I411" s="4"/>
      <c r="J411" s="4"/>
      <c r="K411" s="4"/>
      <c r="L411" s="53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76"/>
      <c r="F412" s="53"/>
      <c r="G412" s="4"/>
      <c r="H412" s="4"/>
      <c r="I412" s="4"/>
      <c r="J412" s="4"/>
      <c r="K412" s="4"/>
      <c r="L412" s="53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76"/>
      <c r="F413" s="53"/>
      <c r="G413" s="4"/>
      <c r="H413" s="4"/>
      <c r="I413" s="4"/>
      <c r="J413" s="4"/>
      <c r="K413" s="4"/>
      <c r="L413" s="53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76"/>
      <c r="F414" s="53"/>
      <c r="G414" s="4"/>
      <c r="H414" s="4"/>
      <c r="I414" s="4"/>
      <c r="J414" s="4"/>
      <c r="K414" s="4"/>
      <c r="L414" s="53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76"/>
      <c r="F415" s="53"/>
      <c r="G415" s="4"/>
      <c r="H415" s="4"/>
      <c r="I415" s="4"/>
      <c r="J415" s="4"/>
      <c r="K415" s="4"/>
      <c r="L415" s="53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76"/>
      <c r="F416" s="53"/>
      <c r="G416" s="4"/>
      <c r="H416" s="4"/>
      <c r="I416" s="4"/>
      <c r="J416" s="4"/>
      <c r="K416" s="4"/>
      <c r="L416" s="53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76"/>
      <c r="F417" s="53"/>
      <c r="G417" s="4"/>
      <c r="H417" s="4"/>
      <c r="I417" s="4"/>
      <c r="J417" s="4"/>
      <c r="K417" s="4"/>
      <c r="L417" s="53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76"/>
      <c r="F418" s="53"/>
      <c r="G418" s="4"/>
      <c r="H418" s="4"/>
      <c r="I418" s="4"/>
      <c r="J418" s="4"/>
      <c r="K418" s="4"/>
      <c r="L418" s="53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76"/>
      <c r="F419" s="53"/>
      <c r="G419" s="4"/>
      <c r="H419" s="4"/>
      <c r="I419" s="4"/>
      <c r="J419" s="4"/>
      <c r="K419" s="4"/>
      <c r="L419" s="53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76"/>
      <c r="F420" s="53"/>
      <c r="G420" s="4"/>
      <c r="H420" s="4"/>
      <c r="I420" s="4"/>
      <c r="J420" s="4"/>
      <c r="K420" s="4"/>
      <c r="L420" s="53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76"/>
      <c r="F421" s="53"/>
      <c r="G421" s="4"/>
      <c r="H421" s="4"/>
      <c r="I421" s="4"/>
      <c r="J421" s="4"/>
      <c r="K421" s="4"/>
      <c r="L421" s="53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76"/>
      <c r="F422" s="53"/>
      <c r="G422" s="4"/>
      <c r="H422" s="4"/>
      <c r="I422" s="4"/>
      <c r="J422" s="4"/>
      <c r="K422" s="4"/>
      <c r="L422" s="53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76"/>
      <c r="F423" s="53"/>
      <c r="G423" s="4"/>
      <c r="H423" s="4"/>
      <c r="I423" s="4"/>
      <c r="J423" s="4"/>
      <c r="K423" s="4"/>
      <c r="L423" s="53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76"/>
      <c r="F424" s="53"/>
      <c r="G424" s="4"/>
      <c r="H424" s="4"/>
      <c r="I424" s="4"/>
      <c r="J424" s="4"/>
      <c r="K424" s="4"/>
      <c r="L424" s="53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76"/>
      <c r="F425" s="53"/>
      <c r="G425" s="4"/>
      <c r="H425" s="4"/>
      <c r="I425" s="4"/>
      <c r="J425" s="4"/>
      <c r="K425" s="4"/>
      <c r="L425" s="53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76"/>
      <c r="F426" s="53"/>
      <c r="G426" s="4"/>
      <c r="H426" s="4"/>
      <c r="I426" s="4"/>
      <c r="J426" s="4"/>
      <c r="K426" s="4"/>
      <c r="L426" s="53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76"/>
      <c r="F427" s="53"/>
      <c r="G427" s="4"/>
      <c r="H427" s="4"/>
      <c r="I427" s="4"/>
      <c r="J427" s="4"/>
      <c r="K427" s="4"/>
      <c r="L427" s="53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76"/>
      <c r="F428" s="53"/>
      <c r="G428" s="4"/>
      <c r="H428" s="4"/>
      <c r="I428" s="4"/>
      <c r="J428" s="4"/>
      <c r="K428" s="4"/>
      <c r="L428" s="53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76"/>
      <c r="F429" s="53"/>
      <c r="G429" s="4"/>
      <c r="H429" s="4"/>
      <c r="I429" s="4"/>
      <c r="J429" s="4"/>
      <c r="K429" s="4"/>
      <c r="L429" s="53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76"/>
      <c r="F430" s="53"/>
      <c r="G430" s="4"/>
      <c r="H430" s="4"/>
      <c r="I430" s="4"/>
      <c r="J430" s="4"/>
      <c r="K430" s="4"/>
      <c r="L430" s="53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76"/>
      <c r="F431" s="53"/>
      <c r="G431" s="4"/>
      <c r="H431" s="4"/>
      <c r="I431" s="4"/>
      <c r="J431" s="4"/>
      <c r="K431" s="4"/>
      <c r="L431" s="53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76"/>
      <c r="F432" s="53"/>
      <c r="G432" s="4"/>
      <c r="H432" s="4"/>
      <c r="I432" s="4"/>
      <c r="J432" s="4"/>
      <c r="K432" s="4"/>
      <c r="L432" s="53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76"/>
      <c r="F433" s="53"/>
      <c r="G433" s="4"/>
      <c r="H433" s="4"/>
      <c r="I433" s="4"/>
      <c r="J433" s="4"/>
      <c r="K433" s="4"/>
      <c r="L433" s="53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76"/>
      <c r="F434" s="53"/>
      <c r="G434" s="4"/>
      <c r="H434" s="4"/>
      <c r="I434" s="4"/>
      <c r="J434" s="4"/>
      <c r="K434" s="4"/>
      <c r="L434" s="53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76"/>
      <c r="F435" s="53"/>
      <c r="G435" s="4"/>
      <c r="H435" s="4"/>
      <c r="I435" s="4"/>
      <c r="J435" s="4"/>
      <c r="K435" s="4"/>
      <c r="L435" s="53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76"/>
      <c r="F436" s="53"/>
      <c r="G436" s="4"/>
      <c r="H436" s="4"/>
      <c r="I436" s="4"/>
      <c r="J436" s="4"/>
      <c r="K436" s="4"/>
      <c r="L436" s="53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76"/>
      <c r="F437" s="53"/>
      <c r="G437" s="4"/>
      <c r="H437" s="4"/>
      <c r="I437" s="4"/>
      <c r="J437" s="4"/>
      <c r="K437" s="4"/>
      <c r="L437" s="53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76"/>
      <c r="F438" s="53"/>
      <c r="G438" s="4"/>
      <c r="H438" s="4"/>
      <c r="I438" s="4"/>
      <c r="J438" s="4"/>
      <c r="K438" s="4"/>
      <c r="L438" s="53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76"/>
      <c r="F439" s="53"/>
      <c r="G439" s="4"/>
      <c r="H439" s="4"/>
      <c r="I439" s="4"/>
      <c r="J439" s="4"/>
      <c r="K439" s="4"/>
      <c r="L439" s="53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76"/>
      <c r="F440" s="53"/>
      <c r="G440" s="4"/>
      <c r="H440" s="4"/>
      <c r="I440" s="4"/>
      <c r="J440" s="4"/>
      <c r="K440" s="4"/>
      <c r="L440" s="53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76"/>
      <c r="F441" s="53"/>
      <c r="G441" s="4"/>
      <c r="H441" s="4"/>
      <c r="I441" s="4"/>
      <c r="J441" s="4"/>
      <c r="K441" s="4"/>
      <c r="L441" s="53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76"/>
      <c r="F442" s="53"/>
      <c r="G442" s="4"/>
      <c r="H442" s="4"/>
      <c r="I442" s="4"/>
      <c r="J442" s="4"/>
      <c r="K442" s="4"/>
      <c r="L442" s="53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76"/>
      <c r="F443" s="53"/>
      <c r="G443" s="4"/>
      <c r="H443" s="4"/>
      <c r="I443" s="4"/>
      <c r="J443" s="4"/>
      <c r="K443" s="4"/>
      <c r="L443" s="53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76"/>
      <c r="F444" s="53"/>
      <c r="G444" s="4"/>
      <c r="H444" s="4"/>
      <c r="I444" s="4"/>
      <c r="J444" s="4"/>
      <c r="K444" s="4"/>
      <c r="L444" s="53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76"/>
      <c r="F445" s="53"/>
      <c r="G445" s="4"/>
      <c r="H445" s="4"/>
      <c r="I445" s="4"/>
      <c r="J445" s="4"/>
      <c r="K445" s="4"/>
      <c r="L445" s="53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76"/>
      <c r="F446" s="53"/>
      <c r="G446" s="4"/>
      <c r="H446" s="4"/>
      <c r="I446" s="4"/>
      <c r="J446" s="4"/>
      <c r="K446" s="4"/>
      <c r="L446" s="53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76"/>
      <c r="F447" s="53"/>
      <c r="G447" s="4"/>
      <c r="H447" s="4"/>
      <c r="I447" s="4"/>
      <c r="J447" s="4"/>
      <c r="K447" s="4"/>
      <c r="L447" s="53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76"/>
      <c r="F448" s="53"/>
      <c r="G448" s="4"/>
      <c r="H448" s="4"/>
      <c r="I448" s="4"/>
      <c r="J448" s="4"/>
      <c r="K448" s="4"/>
      <c r="L448" s="53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76"/>
      <c r="F449" s="53"/>
      <c r="G449" s="4"/>
      <c r="H449" s="4"/>
      <c r="I449" s="4"/>
      <c r="J449" s="4"/>
      <c r="K449" s="4"/>
      <c r="L449" s="53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76"/>
      <c r="F450" s="53"/>
      <c r="G450" s="4"/>
      <c r="H450" s="4"/>
      <c r="I450" s="4"/>
      <c r="J450" s="4"/>
      <c r="K450" s="4"/>
      <c r="L450" s="53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76"/>
      <c r="F451" s="53"/>
      <c r="G451" s="4"/>
      <c r="H451" s="4"/>
      <c r="I451" s="4"/>
      <c r="J451" s="4"/>
      <c r="K451" s="4"/>
      <c r="L451" s="53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76"/>
      <c r="F452" s="53"/>
      <c r="G452" s="4"/>
      <c r="H452" s="4"/>
      <c r="I452" s="4"/>
      <c r="J452" s="4"/>
      <c r="K452" s="4"/>
      <c r="L452" s="53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76"/>
      <c r="F453" s="53"/>
      <c r="G453" s="4"/>
      <c r="H453" s="4"/>
      <c r="I453" s="4"/>
      <c r="J453" s="4"/>
      <c r="K453" s="4"/>
      <c r="L453" s="53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76"/>
      <c r="F454" s="53"/>
      <c r="G454" s="4"/>
      <c r="H454" s="4"/>
      <c r="I454" s="4"/>
      <c r="J454" s="4"/>
      <c r="K454" s="4"/>
      <c r="L454" s="53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76"/>
      <c r="F455" s="53"/>
      <c r="G455" s="4"/>
      <c r="H455" s="4"/>
      <c r="I455" s="4"/>
      <c r="J455" s="4"/>
      <c r="K455" s="4"/>
      <c r="L455" s="53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76"/>
      <c r="F456" s="53"/>
      <c r="G456" s="4"/>
      <c r="H456" s="4"/>
      <c r="I456" s="4"/>
      <c r="J456" s="4"/>
      <c r="K456" s="4"/>
      <c r="L456" s="53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76"/>
      <c r="F457" s="53"/>
      <c r="G457" s="4"/>
      <c r="H457" s="4"/>
      <c r="I457" s="4"/>
      <c r="J457" s="4"/>
      <c r="K457" s="4"/>
      <c r="L457" s="53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76"/>
      <c r="F458" s="53"/>
      <c r="G458" s="4"/>
      <c r="H458" s="4"/>
      <c r="I458" s="4"/>
      <c r="J458" s="4"/>
      <c r="K458" s="4"/>
      <c r="L458" s="53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76"/>
      <c r="F459" s="53"/>
      <c r="G459" s="4"/>
      <c r="H459" s="4"/>
      <c r="I459" s="4"/>
      <c r="J459" s="4"/>
      <c r="K459" s="4"/>
      <c r="L459" s="53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76"/>
      <c r="F460" s="53"/>
      <c r="G460" s="4"/>
      <c r="H460" s="4"/>
      <c r="I460" s="4"/>
      <c r="J460" s="4"/>
      <c r="K460" s="4"/>
      <c r="L460" s="53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76"/>
      <c r="F461" s="53"/>
      <c r="G461" s="4"/>
      <c r="H461" s="4"/>
      <c r="I461" s="4"/>
      <c r="J461" s="4"/>
      <c r="K461" s="4"/>
      <c r="L461" s="53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76"/>
      <c r="F462" s="53"/>
      <c r="G462" s="4"/>
      <c r="H462" s="4"/>
      <c r="I462" s="4"/>
      <c r="J462" s="4"/>
      <c r="K462" s="4"/>
      <c r="L462" s="53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76"/>
      <c r="F463" s="53"/>
      <c r="G463" s="4"/>
      <c r="H463" s="4"/>
      <c r="I463" s="4"/>
      <c r="J463" s="4"/>
      <c r="K463" s="4"/>
      <c r="L463" s="53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76"/>
      <c r="F464" s="53"/>
      <c r="G464" s="4"/>
      <c r="H464" s="4"/>
      <c r="I464" s="4"/>
      <c r="J464" s="4"/>
      <c r="K464" s="4"/>
      <c r="L464" s="53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76"/>
      <c r="F465" s="53"/>
      <c r="G465" s="4"/>
      <c r="H465" s="4"/>
      <c r="I465" s="4"/>
      <c r="J465" s="4"/>
      <c r="K465" s="4"/>
      <c r="L465" s="53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76"/>
      <c r="F466" s="53"/>
      <c r="G466" s="4"/>
      <c r="H466" s="4"/>
      <c r="I466" s="4"/>
      <c r="J466" s="4"/>
      <c r="K466" s="4"/>
      <c r="L466" s="53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76"/>
      <c r="F467" s="53"/>
      <c r="G467" s="4"/>
      <c r="H467" s="4"/>
      <c r="I467" s="4"/>
      <c r="J467" s="4"/>
      <c r="K467" s="4"/>
      <c r="L467" s="53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76"/>
      <c r="F468" s="53"/>
      <c r="G468" s="4"/>
      <c r="H468" s="4"/>
      <c r="I468" s="4"/>
      <c r="J468" s="4"/>
      <c r="K468" s="4"/>
      <c r="L468" s="53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76"/>
      <c r="F469" s="53"/>
      <c r="G469" s="4"/>
      <c r="H469" s="4"/>
      <c r="I469" s="4"/>
      <c r="J469" s="4"/>
      <c r="K469" s="4"/>
      <c r="L469" s="53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76"/>
      <c r="F470" s="53"/>
      <c r="G470" s="4"/>
      <c r="H470" s="4"/>
      <c r="I470" s="4"/>
      <c r="J470" s="4"/>
      <c r="K470" s="4"/>
      <c r="L470" s="53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76"/>
      <c r="F471" s="53"/>
      <c r="G471" s="4"/>
      <c r="H471" s="4"/>
      <c r="I471" s="4"/>
      <c r="J471" s="4"/>
      <c r="K471" s="4"/>
      <c r="L471" s="53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76"/>
      <c r="F472" s="53"/>
      <c r="G472" s="4"/>
      <c r="H472" s="4"/>
      <c r="I472" s="4"/>
      <c r="J472" s="4"/>
      <c r="K472" s="4"/>
      <c r="L472" s="53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76"/>
      <c r="F473" s="53"/>
      <c r="G473" s="4"/>
      <c r="H473" s="4"/>
      <c r="I473" s="4"/>
      <c r="J473" s="4"/>
      <c r="K473" s="4"/>
      <c r="L473" s="53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76"/>
      <c r="F474" s="53"/>
      <c r="G474" s="4"/>
      <c r="H474" s="4"/>
      <c r="I474" s="4"/>
      <c r="J474" s="4"/>
      <c r="K474" s="4"/>
      <c r="L474" s="53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76"/>
      <c r="F475" s="53"/>
      <c r="G475" s="4"/>
      <c r="H475" s="4"/>
      <c r="I475" s="4"/>
      <c r="J475" s="4"/>
      <c r="K475" s="4"/>
      <c r="L475" s="53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76"/>
      <c r="F476" s="53"/>
      <c r="G476" s="4"/>
      <c r="H476" s="4"/>
      <c r="I476" s="4"/>
      <c r="J476" s="4"/>
      <c r="K476" s="4"/>
      <c r="L476" s="53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76"/>
      <c r="F477" s="53"/>
      <c r="G477" s="4"/>
      <c r="H477" s="4"/>
      <c r="I477" s="4"/>
      <c r="J477" s="4"/>
      <c r="K477" s="4"/>
      <c r="L477" s="53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76"/>
      <c r="F478" s="53"/>
      <c r="G478" s="4"/>
      <c r="H478" s="4"/>
      <c r="I478" s="4"/>
      <c r="J478" s="4"/>
      <c r="K478" s="4"/>
      <c r="L478" s="53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76"/>
      <c r="F479" s="53"/>
      <c r="G479" s="4"/>
      <c r="H479" s="4"/>
      <c r="I479" s="4"/>
      <c r="J479" s="4"/>
      <c r="K479" s="4"/>
      <c r="L479" s="53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76"/>
      <c r="F480" s="53"/>
      <c r="G480" s="4"/>
      <c r="H480" s="4"/>
      <c r="I480" s="4"/>
      <c r="J480" s="4"/>
      <c r="K480" s="4"/>
      <c r="L480" s="53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76"/>
      <c r="F481" s="53"/>
      <c r="G481" s="4"/>
      <c r="H481" s="4"/>
      <c r="I481" s="4"/>
      <c r="J481" s="4"/>
      <c r="K481" s="4"/>
      <c r="L481" s="53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76"/>
      <c r="F482" s="53"/>
      <c r="G482" s="4"/>
      <c r="H482" s="4"/>
      <c r="I482" s="4"/>
      <c r="J482" s="4"/>
      <c r="K482" s="4"/>
      <c r="L482" s="53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76"/>
      <c r="F483" s="53"/>
      <c r="G483" s="4"/>
      <c r="H483" s="4"/>
      <c r="I483" s="4"/>
      <c r="J483" s="4"/>
      <c r="K483" s="4"/>
      <c r="L483" s="53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76"/>
      <c r="F484" s="53"/>
      <c r="G484" s="4"/>
      <c r="H484" s="4"/>
      <c r="I484" s="4"/>
      <c r="J484" s="4"/>
      <c r="K484" s="4"/>
      <c r="L484" s="53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76"/>
      <c r="F485" s="53"/>
      <c r="G485" s="4"/>
      <c r="H485" s="4"/>
      <c r="I485" s="4"/>
      <c r="J485" s="4"/>
      <c r="K485" s="4"/>
      <c r="L485" s="53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76"/>
      <c r="F486" s="53"/>
      <c r="G486" s="4"/>
      <c r="H486" s="4"/>
      <c r="I486" s="4"/>
      <c r="J486" s="4"/>
      <c r="K486" s="4"/>
      <c r="L486" s="53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76"/>
      <c r="F487" s="53"/>
      <c r="G487" s="4"/>
      <c r="H487" s="4"/>
      <c r="I487" s="4"/>
      <c r="J487" s="4"/>
      <c r="K487" s="4"/>
      <c r="L487" s="53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76"/>
      <c r="F488" s="53"/>
      <c r="G488" s="4"/>
      <c r="H488" s="4"/>
      <c r="I488" s="4"/>
      <c r="J488" s="4"/>
      <c r="K488" s="4"/>
      <c r="L488" s="53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76"/>
      <c r="F489" s="53"/>
      <c r="G489" s="4"/>
      <c r="H489" s="4"/>
      <c r="I489" s="4"/>
      <c r="J489" s="4"/>
      <c r="K489" s="4"/>
      <c r="L489" s="53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76"/>
      <c r="F490" s="53"/>
      <c r="G490" s="4"/>
      <c r="H490" s="4"/>
      <c r="I490" s="4"/>
      <c r="J490" s="4"/>
      <c r="K490" s="4"/>
      <c r="L490" s="53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76"/>
      <c r="F491" s="53"/>
      <c r="G491" s="4"/>
      <c r="H491" s="4"/>
      <c r="I491" s="4"/>
      <c r="J491" s="4"/>
      <c r="K491" s="4"/>
      <c r="L491" s="53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76"/>
      <c r="F492" s="53"/>
      <c r="G492" s="4"/>
      <c r="H492" s="4"/>
      <c r="I492" s="4"/>
      <c r="J492" s="4"/>
      <c r="K492" s="4"/>
      <c r="L492" s="53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76"/>
      <c r="F493" s="53"/>
      <c r="G493" s="4"/>
      <c r="H493" s="4"/>
      <c r="I493" s="4"/>
      <c r="J493" s="4"/>
      <c r="K493" s="4"/>
      <c r="L493" s="53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76"/>
      <c r="F494" s="53"/>
      <c r="G494" s="4"/>
      <c r="H494" s="4"/>
      <c r="I494" s="4"/>
      <c r="J494" s="4"/>
      <c r="K494" s="4"/>
      <c r="L494" s="53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76"/>
      <c r="F495" s="53"/>
      <c r="G495" s="4"/>
      <c r="H495" s="4"/>
      <c r="I495" s="4"/>
      <c r="J495" s="4"/>
      <c r="K495" s="4"/>
      <c r="L495" s="53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76"/>
      <c r="F496" s="53"/>
      <c r="G496" s="4"/>
      <c r="H496" s="4"/>
      <c r="I496" s="4"/>
      <c r="J496" s="4"/>
      <c r="K496" s="4"/>
      <c r="L496" s="53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76"/>
      <c r="F497" s="53"/>
      <c r="G497" s="4"/>
      <c r="H497" s="4"/>
      <c r="I497" s="4"/>
      <c r="J497" s="4"/>
      <c r="K497" s="4"/>
      <c r="L497" s="53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76"/>
      <c r="F498" s="53"/>
      <c r="G498" s="4"/>
      <c r="H498" s="4"/>
      <c r="I498" s="4"/>
      <c r="J498" s="4"/>
      <c r="K498" s="4"/>
      <c r="L498" s="53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76"/>
      <c r="F499" s="53"/>
      <c r="G499" s="4"/>
      <c r="H499" s="4"/>
      <c r="I499" s="4"/>
      <c r="J499" s="4"/>
      <c r="K499" s="4"/>
      <c r="L499" s="53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76"/>
      <c r="F500" s="53"/>
      <c r="G500" s="4"/>
      <c r="H500" s="4"/>
      <c r="I500" s="4"/>
      <c r="J500" s="4"/>
      <c r="K500" s="4"/>
      <c r="L500" s="53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76"/>
      <c r="F501" s="53"/>
      <c r="G501" s="4"/>
      <c r="H501" s="4"/>
      <c r="I501" s="4"/>
      <c r="J501" s="4"/>
      <c r="K501" s="4"/>
      <c r="L501" s="53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76"/>
      <c r="F502" s="53"/>
      <c r="G502" s="4"/>
      <c r="H502" s="4"/>
      <c r="I502" s="4"/>
      <c r="J502" s="4"/>
      <c r="K502" s="4"/>
      <c r="L502" s="53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76"/>
      <c r="F503" s="53"/>
      <c r="G503" s="4"/>
      <c r="H503" s="4"/>
      <c r="I503" s="4"/>
      <c r="J503" s="4"/>
      <c r="K503" s="4"/>
      <c r="L503" s="53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76"/>
      <c r="F504" s="53"/>
      <c r="G504" s="4"/>
      <c r="H504" s="4"/>
      <c r="I504" s="4"/>
      <c r="J504" s="4"/>
      <c r="K504" s="4"/>
      <c r="L504" s="53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76"/>
      <c r="F505" s="53"/>
      <c r="G505" s="4"/>
      <c r="H505" s="4"/>
      <c r="I505" s="4"/>
      <c r="J505" s="4"/>
      <c r="K505" s="4"/>
      <c r="L505" s="53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76"/>
      <c r="F506" s="53"/>
      <c r="G506" s="4"/>
      <c r="H506" s="4"/>
      <c r="I506" s="4"/>
      <c r="J506" s="4"/>
      <c r="K506" s="4"/>
      <c r="L506" s="53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76"/>
      <c r="F507" s="53"/>
      <c r="G507" s="4"/>
      <c r="H507" s="4"/>
      <c r="I507" s="4"/>
      <c r="J507" s="4"/>
      <c r="K507" s="4"/>
      <c r="L507" s="53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76"/>
      <c r="F508" s="53"/>
      <c r="G508" s="4"/>
      <c r="H508" s="4"/>
      <c r="I508" s="4"/>
      <c r="J508" s="4"/>
      <c r="K508" s="4"/>
      <c r="L508" s="53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76"/>
      <c r="F509" s="53"/>
      <c r="G509" s="4"/>
      <c r="H509" s="4"/>
      <c r="I509" s="4"/>
      <c r="J509" s="4"/>
      <c r="K509" s="4"/>
      <c r="L509" s="53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76"/>
      <c r="F510" s="53"/>
      <c r="G510" s="4"/>
      <c r="H510" s="4"/>
      <c r="I510" s="4"/>
      <c r="J510" s="4"/>
      <c r="K510" s="4"/>
      <c r="L510" s="53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76"/>
      <c r="F511" s="53"/>
      <c r="G511" s="4"/>
      <c r="H511" s="4"/>
      <c r="I511" s="4"/>
      <c r="J511" s="4"/>
      <c r="K511" s="4"/>
      <c r="L511" s="53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76"/>
      <c r="F512" s="53"/>
      <c r="G512" s="4"/>
      <c r="H512" s="4"/>
      <c r="I512" s="4"/>
      <c r="J512" s="4"/>
      <c r="K512" s="4"/>
      <c r="L512" s="53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76"/>
      <c r="F513" s="53"/>
      <c r="G513" s="4"/>
      <c r="H513" s="4"/>
      <c r="I513" s="4"/>
      <c r="J513" s="4"/>
      <c r="K513" s="4"/>
      <c r="L513" s="53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76"/>
      <c r="F514" s="53"/>
      <c r="G514" s="4"/>
      <c r="H514" s="4"/>
      <c r="I514" s="4"/>
      <c r="J514" s="4"/>
      <c r="K514" s="4"/>
      <c r="L514" s="53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76"/>
      <c r="F515" s="53"/>
      <c r="G515" s="4"/>
      <c r="H515" s="4"/>
      <c r="I515" s="4"/>
      <c r="J515" s="4"/>
      <c r="K515" s="4"/>
      <c r="L515" s="53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76"/>
      <c r="F516" s="53"/>
      <c r="G516" s="4"/>
      <c r="H516" s="4"/>
      <c r="I516" s="4"/>
      <c r="J516" s="4"/>
      <c r="K516" s="4"/>
      <c r="L516" s="53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76"/>
      <c r="F517" s="53"/>
      <c r="G517" s="4"/>
      <c r="H517" s="4"/>
      <c r="I517" s="4"/>
      <c r="J517" s="4"/>
      <c r="K517" s="4"/>
      <c r="L517" s="53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76"/>
      <c r="F518" s="53"/>
      <c r="G518" s="4"/>
      <c r="H518" s="4"/>
      <c r="I518" s="4"/>
      <c r="J518" s="4"/>
      <c r="K518" s="4"/>
      <c r="L518" s="53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76"/>
      <c r="F519" s="53"/>
      <c r="G519" s="4"/>
      <c r="H519" s="4"/>
      <c r="I519" s="4"/>
      <c r="J519" s="4"/>
      <c r="K519" s="4"/>
      <c r="L519" s="53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76"/>
      <c r="F520" s="53"/>
      <c r="G520" s="4"/>
      <c r="H520" s="4"/>
      <c r="I520" s="4"/>
      <c r="J520" s="4"/>
      <c r="K520" s="4"/>
      <c r="L520" s="53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76"/>
      <c r="F521" s="53"/>
      <c r="G521" s="4"/>
      <c r="H521" s="4"/>
      <c r="I521" s="4"/>
      <c r="J521" s="4"/>
      <c r="K521" s="4"/>
      <c r="L521" s="53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76"/>
      <c r="F522" s="53"/>
      <c r="G522" s="4"/>
      <c r="H522" s="4"/>
      <c r="I522" s="4"/>
      <c r="J522" s="4"/>
      <c r="K522" s="4"/>
      <c r="L522" s="53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76"/>
      <c r="F523" s="53"/>
      <c r="G523" s="4"/>
      <c r="H523" s="4"/>
      <c r="I523" s="4"/>
      <c r="J523" s="4"/>
      <c r="K523" s="4"/>
      <c r="L523" s="53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76"/>
      <c r="F524" s="53"/>
      <c r="G524" s="4"/>
      <c r="H524" s="4"/>
      <c r="I524" s="4"/>
      <c r="J524" s="4"/>
      <c r="K524" s="4"/>
      <c r="L524" s="53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76"/>
      <c r="F525" s="53"/>
      <c r="G525" s="4"/>
      <c r="H525" s="4"/>
      <c r="I525" s="4"/>
      <c r="J525" s="4"/>
      <c r="K525" s="4"/>
      <c r="L525" s="53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76"/>
      <c r="F526" s="53"/>
      <c r="G526" s="4"/>
      <c r="H526" s="4"/>
      <c r="I526" s="4"/>
      <c r="J526" s="4"/>
      <c r="K526" s="4"/>
      <c r="L526" s="53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76"/>
      <c r="F527" s="53"/>
      <c r="G527" s="4"/>
      <c r="H527" s="4"/>
      <c r="I527" s="4"/>
      <c r="J527" s="4"/>
      <c r="K527" s="4"/>
      <c r="L527" s="53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76"/>
      <c r="F528" s="53"/>
      <c r="G528" s="4"/>
      <c r="H528" s="4"/>
      <c r="I528" s="4"/>
      <c r="J528" s="4"/>
      <c r="K528" s="4"/>
      <c r="L528" s="53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76"/>
      <c r="F529" s="53"/>
      <c r="G529" s="4"/>
      <c r="H529" s="4"/>
      <c r="I529" s="4"/>
      <c r="J529" s="4"/>
      <c r="K529" s="4"/>
      <c r="L529" s="53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76"/>
      <c r="F530" s="53"/>
      <c r="G530" s="4"/>
      <c r="H530" s="4"/>
      <c r="I530" s="4"/>
      <c r="J530" s="4"/>
      <c r="K530" s="4"/>
      <c r="L530" s="53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76"/>
      <c r="F531" s="53"/>
      <c r="G531" s="4"/>
      <c r="H531" s="4"/>
      <c r="I531" s="4"/>
      <c r="J531" s="4"/>
      <c r="K531" s="4"/>
      <c r="L531" s="53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76"/>
      <c r="F532" s="53"/>
      <c r="G532" s="4"/>
      <c r="H532" s="4"/>
      <c r="I532" s="4"/>
      <c r="J532" s="4"/>
      <c r="K532" s="4"/>
      <c r="L532" s="53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76"/>
      <c r="F533" s="53"/>
      <c r="G533" s="4"/>
      <c r="H533" s="4"/>
      <c r="I533" s="4"/>
      <c r="J533" s="4"/>
      <c r="K533" s="4"/>
      <c r="L533" s="53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76"/>
      <c r="F534" s="53"/>
      <c r="G534" s="4"/>
      <c r="H534" s="4"/>
      <c r="I534" s="4"/>
      <c r="J534" s="4"/>
      <c r="K534" s="4"/>
      <c r="L534" s="53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76"/>
      <c r="F535" s="53"/>
      <c r="G535" s="4"/>
      <c r="H535" s="4"/>
      <c r="I535" s="4"/>
      <c r="J535" s="4"/>
      <c r="K535" s="4"/>
      <c r="L535" s="53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76"/>
      <c r="F536" s="53"/>
      <c r="G536" s="4"/>
      <c r="H536" s="4"/>
      <c r="I536" s="4"/>
      <c r="J536" s="4"/>
      <c r="K536" s="4"/>
      <c r="L536" s="53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76"/>
      <c r="F537" s="53"/>
      <c r="G537" s="4"/>
      <c r="H537" s="4"/>
      <c r="I537" s="4"/>
      <c r="J537" s="4"/>
      <c r="K537" s="4"/>
      <c r="L537" s="53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76"/>
      <c r="F538" s="53"/>
      <c r="G538" s="4"/>
      <c r="H538" s="4"/>
      <c r="I538" s="4"/>
      <c r="J538" s="4"/>
      <c r="K538" s="4"/>
      <c r="L538" s="53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76"/>
      <c r="F539" s="53"/>
      <c r="G539" s="4"/>
      <c r="H539" s="4"/>
      <c r="I539" s="4"/>
      <c r="J539" s="4"/>
      <c r="K539" s="4"/>
      <c r="L539" s="53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76"/>
      <c r="F540" s="53"/>
      <c r="G540" s="4"/>
      <c r="H540" s="4"/>
      <c r="I540" s="4"/>
      <c r="J540" s="4"/>
      <c r="K540" s="4"/>
      <c r="L540" s="53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76"/>
      <c r="F541" s="53"/>
      <c r="G541" s="4"/>
      <c r="H541" s="4"/>
      <c r="I541" s="4"/>
      <c r="J541" s="4"/>
      <c r="K541" s="4"/>
      <c r="L541" s="53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76"/>
      <c r="F542" s="53"/>
      <c r="G542" s="4"/>
      <c r="H542" s="4"/>
      <c r="I542" s="4"/>
      <c r="J542" s="4"/>
      <c r="K542" s="4"/>
      <c r="L542" s="53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76"/>
      <c r="F543" s="53"/>
      <c r="G543" s="4"/>
      <c r="H543" s="4"/>
      <c r="I543" s="4"/>
      <c r="J543" s="4"/>
      <c r="K543" s="4"/>
      <c r="L543" s="53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76"/>
      <c r="F544" s="53"/>
      <c r="G544" s="4"/>
      <c r="H544" s="4"/>
      <c r="I544" s="4"/>
      <c r="J544" s="4"/>
      <c r="K544" s="4"/>
      <c r="L544" s="53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76"/>
      <c r="F545" s="53"/>
      <c r="G545" s="4"/>
      <c r="H545" s="4"/>
      <c r="I545" s="4"/>
      <c r="J545" s="4"/>
      <c r="K545" s="4"/>
      <c r="L545" s="53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76"/>
      <c r="F546" s="53"/>
      <c r="G546" s="4"/>
      <c r="H546" s="4"/>
      <c r="I546" s="4"/>
      <c r="J546" s="4"/>
      <c r="K546" s="4"/>
      <c r="L546" s="53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76"/>
      <c r="F547" s="53"/>
      <c r="G547" s="4"/>
      <c r="H547" s="4"/>
      <c r="I547" s="4"/>
      <c r="J547" s="4"/>
      <c r="K547" s="4"/>
      <c r="L547" s="53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76"/>
      <c r="F548" s="53"/>
      <c r="G548" s="4"/>
      <c r="H548" s="4"/>
      <c r="I548" s="4"/>
      <c r="J548" s="4"/>
      <c r="K548" s="4"/>
      <c r="L548" s="53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76"/>
      <c r="F549" s="53"/>
      <c r="G549" s="4"/>
      <c r="H549" s="4"/>
      <c r="I549" s="4"/>
      <c r="J549" s="4"/>
      <c r="K549" s="4"/>
      <c r="L549" s="53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76"/>
      <c r="F550" s="53"/>
      <c r="G550" s="4"/>
      <c r="H550" s="4"/>
      <c r="I550" s="4"/>
      <c r="J550" s="4"/>
      <c r="K550" s="4"/>
      <c r="L550" s="53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76"/>
      <c r="F551" s="53"/>
      <c r="G551" s="4"/>
      <c r="H551" s="4"/>
      <c r="I551" s="4"/>
      <c r="J551" s="4"/>
      <c r="K551" s="4"/>
      <c r="L551" s="53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76"/>
      <c r="F552" s="53"/>
      <c r="G552" s="4"/>
      <c r="H552" s="4"/>
      <c r="I552" s="4"/>
      <c r="J552" s="4"/>
      <c r="K552" s="4"/>
      <c r="L552" s="53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76"/>
      <c r="F553" s="53"/>
      <c r="G553" s="4"/>
      <c r="H553" s="4"/>
      <c r="I553" s="4"/>
      <c r="J553" s="4"/>
      <c r="K553" s="4"/>
      <c r="L553" s="53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76"/>
      <c r="F554" s="53"/>
      <c r="G554" s="4"/>
      <c r="H554" s="4"/>
      <c r="I554" s="4"/>
      <c r="J554" s="4"/>
      <c r="K554" s="4"/>
      <c r="L554" s="53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76"/>
      <c r="F555" s="53"/>
      <c r="G555" s="4"/>
      <c r="H555" s="4"/>
      <c r="I555" s="4"/>
      <c r="J555" s="4"/>
      <c r="K555" s="4"/>
      <c r="L555" s="53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76"/>
      <c r="F556" s="53"/>
      <c r="G556" s="4"/>
      <c r="H556" s="4"/>
      <c r="I556" s="4"/>
      <c r="J556" s="4"/>
      <c r="K556" s="4"/>
      <c r="L556" s="53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76"/>
      <c r="F557" s="53"/>
      <c r="G557" s="4"/>
      <c r="H557" s="4"/>
      <c r="I557" s="4"/>
      <c r="J557" s="4"/>
      <c r="K557" s="4"/>
      <c r="L557" s="53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76"/>
      <c r="F558" s="53"/>
      <c r="G558" s="4"/>
      <c r="H558" s="4"/>
      <c r="I558" s="4"/>
      <c r="J558" s="4"/>
      <c r="K558" s="4"/>
      <c r="L558" s="53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76"/>
      <c r="F559" s="53"/>
      <c r="G559" s="4"/>
      <c r="H559" s="4"/>
      <c r="I559" s="4"/>
      <c r="J559" s="4"/>
      <c r="K559" s="4"/>
      <c r="L559" s="53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76"/>
      <c r="F560" s="53"/>
      <c r="G560" s="4"/>
      <c r="H560" s="4"/>
      <c r="I560" s="4"/>
      <c r="J560" s="4"/>
      <c r="K560" s="4"/>
      <c r="L560" s="53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76"/>
      <c r="F561" s="53"/>
      <c r="G561" s="4"/>
      <c r="H561" s="4"/>
      <c r="I561" s="4"/>
      <c r="J561" s="4"/>
      <c r="K561" s="4"/>
      <c r="L561" s="53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76"/>
      <c r="F562" s="53"/>
      <c r="G562" s="4"/>
      <c r="H562" s="4"/>
      <c r="I562" s="4"/>
      <c r="J562" s="4"/>
      <c r="K562" s="4"/>
      <c r="L562" s="53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76"/>
      <c r="F563" s="53"/>
      <c r="G563" s="4"/>
      <c r="H563" s="4"/>
      <c r="I563" s="4"/>
      <c r="J563" s="4"/>
      <c r="K563" s="4"/>
      <c r="L563" s="53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76"/>
      <c r="F564" s="53"/>
      <c r="G564" s="4"/>
      <c r="H564" s="4"/>
      <c r="I564" s="4"/>
      <c r="J564" s="4"/>
      <c r="K564" s="4"/>
      <c r="L564" s="53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76"/>
      <c r="F565" s="53"/>
      <c r="G565" s="4"/>
      <c r="H565" s="4"/>
      <c r="I565" s="4"/>
      <c r="J565" s="4"/>
      <c r="K565" s="4"/>
      <c r="L565" s="53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76"/>
      <c r="F566" s="53"/>
      <c r="G566" s="4"/>
      <c r="H566" s="4"/>
      <c r="I566" s="4"/>
      <c r="J566" s="4"/>
      <c r="K566" s="4"/>
      <c r="L566" s="53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76"/>
      <c r="F567" s="53"/>
      <c r="G567" s="4"/>
      <c r="H567" s="4"/>
      <c r="I567" s="4"/>
      <c r="J567" s="4"/>
      <c r="K567" s="4"/>
      <c r="L567" s="53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76"/>
      <c r="F568" s="53"/>
      <c r="G568" s="4"/>
      <c r="H568" s="4"/>
      <c r="I568" s="4"/>
      <c r="J568" s="4"/>
      <c r="K568" s="4"/>
      <c r="L568" s="53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76"/>
      <c r="F569" s="53"/>
      <c r="G569" s="4"/>
      <c r="H569" s="4"/>
      <c r="I569" s="4"/>
      <c r="J569" s="4"/>
      <c r="K569" s="4"/>
      <c r="L569" s="53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76"/>
      <c r="F570" s="53"/>
      <c r="G570" s="4"/>
      <c r="H570" s="4"/>
      <c r="I570" s="4"/>
      <c r="J570" s="4"/>
      <c r="K570" s="4"/>
      <c r="L570" s="53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76"/>
      <c r="F571" s="53"/>
      <c r="G571" s="4"/>
      <c r="H571" s="4"/>
      <c r="I571" s="4"/>
      <c r="J571" s="4"/>
      <c r="K571" s="4"/>
      <c r="L571" s="53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76"/>
      <c r="F572" s="53"/>
      <c r="G572" s="4"/>
      <c r="H572" s="4"/>
      <c r="I572" s="4"/>
      <c r="J572" s="4"/>
      <c r="K572" s="4"/>
      <c r="L572" s="53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76"/>
      <c r="F573" s="53"/>
      <c r="G573" s="4"/>
      <c r="H573" s="4"/>
      <c r="I573" s="4"/>
      <c r="J573" s="4"/>
      <c r="K573" s="4"/>
      <c r="L573" s="53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76"/>
      <c r="F574" s="53"/>
      <c r="G574" s="4"/>
      <c r="H574" s="4"/>
      <c r="I574" s="4"/>
      <c r="J574" s="4"/>
      <c r="K574" s="4"/>
      <c r="L574" s="53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76"/>
      <c r="F575" s="53"/>
      <c r="G575" s="4"/>
      <c r="H575" s="4"/>
      <c r="I575" s="4"/>
      <c r="J575" s="4"/>
      <c r="K575" s="4"/>
      <c r="L575" s="53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76"/>
      <c r="F576" s="53"/>
      <c r="G576" s="4"/>
      <c r="H576" s="4"/>
      <c r="I576" s="4"/>
      <c r="J576" s="4"/>
      <c r="K576" s="4"/>
      <c r="L576" s="53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76"/>
      <c r="F577" s="53"/>
      <c r="G577" s="4"/>
      <c r="H577" s="4"/>
      <c r="I577" s="4"/>
      <c r="J577" s="4"/>
      <c r="K577" s="4"/>
      <c r="L577" s="53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76"/>
      <c r="F578" s="53"/>
      <c r="G578" s="4"/>
      <c r="H578" s="4"/>
      <c r="I578" s="4"/>
      <c r="J578" s="4"/>
      <c r="K578" s="4"/>
      <c r="L578" s="53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76"/>
      <c r="F579" s="53"/>
      <c r="G579" s="4"/>
      <c r="H579" s="4"/>
      <c r="I579" s="4"/>
      <c r="J579" s="4"/>
      <c r="K579" s="4"/>
      <c r="L579" s="53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76"/>
      <c r="F580" s="53"/>
      <c r="G580" s="4"/>
      <c r="H580" s="4"/>
      <c r="I580" s="4"/>
      <c r="J580" s="4"/>
      <c r="K580" s="4"/>
      <c r="L580" s="53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76"/>
      <c r="F581" s="53"/>
      <c r="G581" s="4"/>
      <c r="H581" s="4"/>
      <c r="I581" s="4"/>
      <c r="J581" s="4"/>
      <c r="K581" s="4"/>
      <c r="L581" s="53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76"/>
      <c r="F582" s="53"/>
      <c r="G582" s="4"/>
      <c r="H582" s="4"/>
      <c r="I582" s="4"/>
      <c r="J582" s="4"/>
      <c r="K582" s="4"/>
      <c r="L582" s="53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76"/>
      <c r="F583" s="53"/>
      <c r="G583" s="4"/>
      <c r="H583" s="4"/>
      <c r="I583" s="4"/>
      <c r="J583" s="4"/>
      <c r="K583" s="4"/>
      <c r="L583" s="53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76"/>
      <c r="F584" s="53"/>
      <c r="G584" s="4"/>
      <c r="H584" s="4"/>
      <c r="I584" s="4"/>
      <c r="J584" s="4"/>
      <c r="K584" s="4"/>
      <c r="L584" s="53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76"/>
      <c r="F585" s="53"/>
      <c r="G585" s="4"/>
      <c r="H585" s="4"/>
      <c r="I585" s="4"/>
      <c r="J585" s="4"/>
      <c r="K585" s="4"/>
      <c r="L585" s="53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76"/>
      <c r="F586" s="53"/>
      <c r="G586" s="4"/>
      <c r="H586" s="4"/>
      <c r="I586" s="4"/>
      <c r="J586" s="4"/>
      <c r="K586" s="4"/>
      <c r="L586" s="53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76"/>
      <c r="F587" s="53"/>
      <c r="G587" s="4"/>
      <c r="H587" s="4"/>
      <c r="I587" s="4"/>
      <c r="J587" s="4"/>
      <c r="K587" s="4"/>
      <c r="L587" s="53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76"/>
      <c r="F588" s="53"/>
      <c r="G588" s="4"/>
      <c r="H588" s="4"/>
      <c r="I588" s="4"/>
      <c r="J588" s="4"/>
      <c r="K588" s="4"/>
      <c r="L588" s="53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76"/>
      <c r="F589" s="53"/>
      <c r="G589" s="4"/>
      <c r="H589" s="4"/>
      <c r="I589" s="4"/>
      <c r="J589" s="4"/>
      <c r="K589" s="4"/>
      <c r="L589" s="53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76"/>
      <c r="F590" s="53"/>
      <c r="G590" s="4"/>
      <c r="H590" s="4"/>
      <c r="I590" s="4"/>
      <c r="J590" s="4"/>
      <c r="K590" s="4"/>
      <c r="L590" s="53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76"/>
      <c r="F591" s="53"/>
      <c r="G591" s="4"/>
      <c r="H591" s="4"/>
      <c r="I591" s="4"/>
      <c r="J591" s="4"/>
      <c r="K591" s="4"/>
      <c r="L591" s="53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76"/>
      <c r="F592" s="53"/>
      <c r="G592" s="4"/>
      <c r="H592" s="4"/>
      <c r="I592" s="4"/>
      <c r="J592" s="4"/>
      <c r="K592" s="4"/>
      <c r="L592" s="53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76"/>
      <c r="F593" s="53"/>
      <c r="G593" s="4"/>
      <c r="H593" s="4"/>
      <c r="I593" s="4"/>
      <c r="J593" s="4"/>
      <c r="K593" s="4"/>
      <c r="L593" s="53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76"/>
      <c r="F594" s="53"/>
      <c r="G594" s="4"/>
      <c r="H594" s="4"/>
      <c r="I594" s="4"/>
      <c r="J594" s="4"/>
      <c r="K594" s="4"/>
      <c r="L594" s="53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76"/>
      <c r="F595" s="53"/>
      <c r="G595" s="4"/>
      <c r="H595" s="4"/>
      <c r="I595" s="4"/>
      <c r="J595" s="4"/>
      <c r="K595" s="4"/>
      <c r="L595" s="53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76"/>
      <c r="F596" s="53"/>
      <c r="G596" s="4"/>
      <c r="H596" s="4"/>
      <c r="I596" s="4"/>
      <c r="J596" s="4"/>
      <c r="K596" s="4"/>
      <c r="L596" s="53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76"/>
      <c r="F597" s="53"/>
      <c r="G597" s="4"/>
      <c r="H597" s="4"/>
      <c r="I597" s="4"/>
      <c r="J597" s="4"/>
      <c r="K597" s="4"/>
      <c r="L597" s="53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76"/>
      <c r="F598" s="53"/>
      <c r="G598" s="4"/>
      <c r="H598" s="4"/>
      <c r="I598" s="4"/>
      <c r="J598" s="4"/>
      <c r="K598" s="4"/>
      <c r="L598" s="53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76"/>
      <c r="F599" s="53"/>
      <c r="G599" s="4"/>
      <c r="H599" s="4"/>
      <c r="I599" s="4"/>
      <c r="J599" s="4"/>
      <c r="K599" s="4"/>
      <c r="L599" s="53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76"/>
      <c r="F600" s="53"/>
      <c r="G600" s="4"/>
      <c r="H600" s="4"/>
      <c r="I600" s="4"/>
      <c r="J600" s="4"/>
      <c r="K600" s="4"/>
      <c r="L600" s="53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76"/>
      <c r="F601" s="53"/>
      <c r="G601" s="4"/>
      <c r="H601" s="4"/>
      <c r="I601" s="4"/>
      <c r="J601" s="4"/>
      <c r="K601" s="4"/>
      <c r="L601" s="53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76"/>
      <c r="F602" s="53"/>
      <c r="G602" s="4"/>
      <c r="H602" s="4"/>
      <c r="I602" s="4"/>
      <c r="J602" s="4"/>
      <c r="K602" s="4"/>
      <c r="L602" s="53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76"/>
      <c r="F603" s="53"/>
      <c r="G603" s="4"/>
      <c r="H603" s="4"/>
      <c r="I603" s="4"/>
      <c r="J603" s="4"/>
      <c r="K603" s="4"/>
      <c r="L603" s="53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76"/>
      <c r="F604" s="53"/>
      <c r="G604" s="4"/>
      <c r="H604" s="4"/>
      <c r="I604" s="4"/>
      <c r="J604" s="4"/>
      <c r="K604" s="4"/>
      <c r="L604" s="53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76"/>
      <c r="F605" s="53"/>
      <c r="G605" s="4"/>
      <c r="H605" s="4"/>
      <c r="I605" s="4"/>
      <c r="J605" s="4"/>
      <c r="K605" s="4"/>
      <c r="L605" s="53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76"/>
      <c r="F606" s="53"/>
      <c r="G606" s="4"/>
      <c r="H606" s="4"/>
      <c r="I606" s="4"/>
      <c r="J606" s="4"/>
      <c r="K606" s="4"/>
      <c r="L606" s="53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76"/>
      <c r="F607" s="53"/>
      <c r="G607" s="4"/>
      <c r="H607" s="4"/>
      <c r="I607" s="4"/>
      <c r="J607" s="4"/>
      <c r="K607" s="4"/>
      <c r="L607" s="53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76"/>
      <c r="F608" s="53"/>
      <c r="G608" s="4"/>
      <c r="H608" s="4"/>
      <c r="I608" s="4"/>
      <c r="J608" s="4"/>
      <c r="K608" s="4"/>
      <c r="L608" s="53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76"/>
      <c r="F609" s="53"/>
      <c r="G609" s="4"/>
      <c r="H609" s="4"/>
      <c r="I609" s="4"/>
      <c r="J609" s="4"/>
      <c r="K609" s="4"/>
      <c r="L609" s="53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76"/>
      <c r="F610" s="53"/>
      <c r="G610" s="4"/>
      <c r="H610" s="4"/>
      <c r="I610" s="4"/>
      <c r="J610" s="4"/>
      <c r="K610" s="4"/>
      <c r="L610" s="53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76"/>
      <c r="F611" s="53"/>
      <c r="G611" s="4"/>
      <c r="H611" s="4"/>
      <c r="I611" s="4"/>
      <c r="J611" s="4"/>
      <c r="K611" s="4"/>
      <c r="L611" s="53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76"/>
      <c r="F612" s="53"/>
      <c r="G612" s="4"/>
      <c r="H612" s="4"/>
      <c r="I612" s="4"/>
      <c r="J612" s="4"/>
      <c r="K612" s="4"/>
      <c r="L612" s="53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76"/>
      <c r="F613" s="53"/>
      <c r="G613" s="4"/>
      <c r="H613" s="4"/>
      <c r="I613" s="4"/>
      <c r="J613" s="4"/>
      <c r="K613" s="4"/>
      <c r="L613" s="53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76"/>
      <c r="F614" s="53"/>
      <c r="G614" s="4"/>
      <c r="H614" s="4"/>
      <c r="I614" s="4"/>
      <c r="J614" s="4"/>
      <c r="K614" s="4"/>
      <c r="L614" s="53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76"/>
      <c r="F615" s="53"/>
      <c r="G615" s="4"/>
      <c r="H615" s="4"/>
      <c r="I615" s="4"/>
      <c r="J615" s="4"/>
      <c r="K615" s="4"/>
      <c r="L615" s="53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76"/>
      <c r="F616" s="53"/>
      <c r="G616" s="4"/>
      <c r="H616" s="4"/>
      <c r="I616" s="4"/>
      <c r="J616" s="4"/>
      <c r="K616" s="4"/>
      <c r="L616" s="53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76"/>
      <c r="F617" s="53"/>
      <c r="G617" s="4"/>
      <c r="H617" s="4"/>
      <c r="I617" s="4"/>
      <c r="J617" s="4"/>
      <c r="K617" s="4"/>
      <c r="L617" s="53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76"/>
      <c r="F618" s="53"/>
      <c r="G618" s="4"/>
      <c r="H618" s="4"/>
      <c r="I618" s="4"/>
      <c r="J618" s="4"/>
      <c r="K618" s="4"/>
      <c r="L618" s="53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76"/>
      <c r="F619" s="53"/>
      <c r="G619" s="4"/>
      <c r="H619" s="4"/>
      <c r="I619" s="4"/>
      <c r="J619" s="4"/>
      <c r="K619" s="4"/>
      <c r="L619" s="53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76"/>
      <c r="F620" s="53"/>
      <c r="G620" s="4"/>
      <c r="H620" s="4"/>
      <c r="I620" s="4"/>
      <c r="J620" s="4"/>
      <c r="K620" s="4"/>
      <c r="L620" s="53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76"/>
      <c r="F621" s="53"/>
      <c r="G621" s="4"/>
      <c r="H621" s="4"/>
      <c r="I621" s="4"/>
      <c r="J621" s="4"/>
      <c r="K621" s="4"/>
      <c r="L621" s="53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76"/>
      <c r="F622" s="53"/>
      <c r="G622" s="4"/>
      <c r="H622" s="4"/>
      <c r="I622" s="4"/>
      <c r="J622" s="4"/>
      <c r="K622" s="4"/>
      <c r="L622" s="53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76"/>
      <c r="F623" s="53"/>
      <c r="G623" s="4"/>
      <c r="H623" s="4"/>
      <c r="I623" s="4"/>
      <c r="J623" s="4"/>
      <c r="K623" s="4"/>
      <c r="L623" s="53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76"/>
      <c r="F624" s="53"/>
      <c r="G624" s="4"/>
      <c r="H624" s="4"/>
      <c r="I624" s="4"/>
      <c r="J624" s="4"/>
      <c r="K624" s="4"/>
      <c r="L624" s="53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76"/>
      <c r="F625" s="53"/>
      <c r="G625" s="4"/>
      <c r="H625" s="4"/>
      <c r="I625" s="4"/>
      <c r="J625" s="4"/>
      <c r="K625" s="4"/>
      <c r="L625" s="53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76"/>
      <c r="F626" s="53"/>
      <c r="G626" s="4"/>
      <c r="H626" s="4"/>
      <c r="I626" s="4"/>
      <c r="J626" s="4"/>
      <c r="K626" s="4"/>
      <c r="L626" s="53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76"/>
      <c r="F627" s="53"/>
      <c r="G627" s="4"/>
      <c r="H627" s="4"/>
      <c r="I627" s="4"/>
      <c r="J627" s="4"/>
      <c r="K627" s="4"/>
      <c r="L627" s="53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76"/>
      <c r="F628" s="53"/>
      <c r="G628" s="4"/>
      <c r="H628" s="4"/>
      <c r="I628" s="4"/>
      <c r="J628" s="4"/>
      <c r="K628" s="4"/>
      <c r="L628" s="53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76"/>
      <c r="F629" s="53"/>
      <c r="G629" s="4"/>
      <c r="H629" s="4"/>
      <c r="I629" s="4"/>
      <c r="J629" s="4"/>
      <c r="K629" s="4"/>
      <c r="L629" s="53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76"/>
      <c r="F630" s="53"/>
      <c r="G630" s="4"/>
      <c r="H630" s="4"/>
      <c r="I630" s="4"/>
      <c r="J630" s="4"/>
      <c r="K630" s="4"/>
      <c r="L630" s="53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76"/>
      <c r="F631" s="53"/>
      <c r="G631" s="4"/>
      <c r="H631" s="4"/>
      <c r="I631" s="4"/>
      <c r="J631" s="4"/>
      <c r="K631" s="4"/>
      <c r="L631" s="53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76"/>
      <c r="F632" s="53"/>
      <c r="G632" s="4"/>
      <c r="H632" s="4"/>
      <c r="I632" s="4"/>
      <c r="J632" s="4"/>
      <c r="K632" s="4"/>
      <c r="L632" s="53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76"/>
      <c r="F633" s="53"/>
      <c r="G633" s="4"/>
      <c r="H633" s="4"/>
      <c r="I633" s="4"/>
      <c r="J633" s="4"/>
      <c r="K633" s="4"/>
      <c r="L633" s="53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76"/>
      <c r="F634" s="53"/>
      <c r="G634" s="4"/>
      <c r="H634" s="4"/>
      <c r="I634" s="4"/>
      <c r="J634" s="4"/>
      <c r="K634" s="4"/>
      <c r="L634" s="53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76"/>
      <c r="F635" s="53"/>
      <c r="G635" s="4"/>
      <c r="H635" s="4"/>
      <c r="I635" s="4"/>
      <c r="J635" s="4"/>
      <c r="K635" s="4"/>
      <c r="L635" s="53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76"/>
      <c r="F636" s="53"/>
      <c r="G636" s="4"/>
      <c r="H636" s="4"/>
      <c r="I636" s="4"/>
      <c r="J636" s="4"/>
      <c r="K636" s="4"/>
      <c r="L636" s="53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76"/>
      <c r="F637" s="53"/>
      <c r="G637" s="4"/>
      <c r="H637" s="4"/>
      <c r="I637" s="4"/>
      <c r="J637" s="4"/>
      <c r="K637" s="4"/>
      <c r="L637" s="53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76"/>
      <c r="F638" s="53"/>
      <c r="G638" s="4"/>
      <c r="H638" s="4"/>
      <c r="I638" s="4"/>
      <c r="J638" s="4"/>
      <c r="K638" s="4"/>
      <c r="L638" s="53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76"/>
      <c r="F639" s="53"/>
      <c r="G639" s="4"/>
      <c r="H639" s="4"/>
      <c r="I639" s="4"/>
      <c r="J639" s="4"/>
      <c r="K639" s="4"/>
      <c r="L639" s="53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76"/>
      <c r="F640" s="53"/>
      <c r="G640" s="4"/>
      <c r="H640" s="4"/>
      <c r="I640" s="4"/>
      <c r="J640" s="4"/>
      <c r="K640" s="4"/>
      <c r="L640" s="53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76"/>
      <c r="F641" s="53"/>
      <c r="G641" s="4"/>
      <c r="H641" s="4"/>
      <c r="I641" s="4"/>
      <c r="J641" s="4"/>
      <c r="K641" s="4"/>
      <c r="L641" s="53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76"/>
      <c r="F642" s="53"/>
      <c r="G642" s="4"/>
      <c r="H642" s="4"/>
      <c r="I642" s="4"/>
      <c r="J642" s="4"/>
      <c r="K642" s="4"/>
      <c r="L642" s="53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76"/>
      <c r="F643" s="53"/>
      <c r="G643" s="4"/>
      <c r="H643" s="4"/>
      <c r="I643" s="4"/>
      <c r="J643" s="4"/>
      <c r="K643" s="4"/>
      <c r="L643" s="53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76"/>
      <c r="F644" s="53"/>
      <c r="G644" s="4"/>
      <c r="H644" s="4"/>
      <c r="I644" s="4"/>
      <c r="J644" s="4"/>
      <c r="K644" s="4"/>
      <c r="L644" s="53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76"/>
      <c r="F645" s="53"/>
      <c r="G645" s="4"/>
      <c r="H645" s="4"/>
      <c r="I645" s="4"/>
      <c r="J645" s="4"/>
      <c r="K645" s="4"/>
      <c r="L645" s="53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76"/>
      <c r="F646" s="53"/>
      <c r="G646" s="4"/>
      <c r="H646" s="4"/>
      <c r="I646" s="4"/>
      <c r="J646" s="4"/>
      <c r="K646" s="4"/>
      <c r="L646" s="53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76"/>
      <c r="F647" s="53"/>
      <c r="G647" s="4"/>
      <c r="H647" s="4"/>
      <c r="I647" s="4"/>
      <c r="J647" s="4"/>
      <c r="K647" s="4"/>
      <c r="L647" s="53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76"/>
      <c r="F648" s="53"/>
      <c r="G648" s="4"/>
      <c r="H648" s="4"/>
      <c r="I648" s="4"/>
      <c r="J648" s="4"/>
      <c r="K648" s="4"/>
      <c r="L648" s="53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76"/>
      <c r="F649" s="53"/>
      <c r="G649" s="4"/>
      <c r="H649" s="4"/>
      <c r="I649" s="4"/>
      <c r="J649" s="4"/>
      <c r="K649" s="4"/>
      <c r="L649" s="53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76"/>
      <c r="F650" s="53"/>
      <c r="G650" s="4"/>
      <c r="H650" s="4"/>
      <c r="I650" s="4"/>
      <c r="J650" s="4"/>
      <c r="K650" s="4"/>
      <c r="L650" s="53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76"/>
      <c r="F651" s="53"/>
      <c r="G651" s="4"/>
      <c r="H651" s="4"/>
      <c r="I651" s="4"/>
      <c r="J651" s="4"/>
      <c r="K651" s="4"/>
      <c r="L651" s="53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76"/>
      <c r="F652" s="53"/>
      <c r="G652" s="4"/>
      <c r="H652" s="4"/>
      <c r="I652" s="4"/>
      <c r="J652" s="4"/>
      <c r="K652" s="4"/>
      <c r="L652" s="53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76"/>
      <c r="F653" s="53"/>
      <c r="G653" s="4"/>
      <c r="H653" s="4"/>
      <c r="I653" s="4"/>
      <c r="J653" s="4"/>
      <c r="K653" s="4"/>
      <c r="L653" s="53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76"/>
      <c r="F654" s="53"/>
      <c r="G654" s="4"/>
      <c r="H654" s="4"/>
      <c r="I654" s="4"/>
      <c r="J654" s="4"/>
      <c r="K654" s="4"/>
      <c r="L654" s="53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76"/>
      <c r="F655" s="53"/>
      <c r="G655" s="4"/>
      <c r="H655" s="4"/>
      <c r="I655" s="4"/>
      <c r="J655" s="4"/>
      <c r="K655" s="4"/>
      <c r="L655" s="53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76"/>
      <c r="F656" s="53"/>
      <c r="G656" s="4"/>
      <c r="H656" s="4"/>
      <c r="I656" s="4"/>
      <c r="J656" s="4"/>
      <c r="K656" s="4"/>
      <c r="L656" s="53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76"/>
      <c r="F657" s="53"/>
      <c r="G657" s="4"/>
      <c r="H657" s="4"/>
      <c r="I657" s="4"/>
      <c r="J657" s="4"/>
      <c r="K657" s="4"/>
      <c r="L657" s="53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76"/>
      <c r="F658" s="53"/>
      <c r="G658" s="4"/>
      <c r="H658" s="4"/>
      <c r="I658" s="4"/>
      <c r="J658" s="4"/>
      <c r="K658" s="4"/>
      <c r="L658" s="53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76"/>
      <c r="F659" s="53"/>
      <c r="G659" s="4"/>
      <c r="H659" s="4"/>
      <c r="I659" s="4"/>
      <c r="J659" s="4"/>
      <c r="K659" s="4"/>
      <c r="L659" s="53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76"/>
      <c r="F660" s="53"/>
      <c r="G660" s="4"/>
      <c r="H660" s="4"/>
      <c r="I660" s="4"/>
      <c r="J660" s="4"/>
      <c r="K660" s="4"/>
      <c r="L660" s="53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76"/>
      <c r="F661" s="53"/>
      <c r="G661" s="4"/>
      <c r="H661" s="4"/>
      <c r="I661" s="4"/>
      <c r="J661" s="4"/>
      <c r="K661" s="4"/>
      <c r="L661" s="53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76"/>
      <c r="F662" s="53"/>
      <c r="G662" s="4"/>
      <c r="H662" s="4"/>
      <c r="I662" s="4"/>
      <c r="J662" s="4"/>
      <c r="K662" s="4"/>
      <c r="L662" s="53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76"/>
      <c r="F663" s="53"/>
      <c r="G663" s="4"/>
      <c r="H663" s="4"/>
      <c r="I663" s="4"/>
      <c r="J663" s="4"/>
      <c r="K663" s="4"/>
      <c r="L663" s="53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76"/>
      <c r="F664" s="53"/>
      <c r="G664" s="4"/>
      <c r="H664" s="4"/>
      <c r="I664" s="4"/>
      <c r="J664" s="4"/>
      <c r="K664" s="4"/>
      <c r="L664" s="53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76"/>
      <c r="F665" s="53"/>
      <c r="G665" s="4"/>
      <c r="H665" s="4"/>
      <c r="I665" s="4"/>
      <c r="J665" s="4"/>
      <c r="K665" s="4"/>
      <c r="L665" s="53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76"/>
      <c r="F666" s="53"/>
      <c r="G666" s="4"/>
      <c r="H666" s="4"/>
      <c r="I666" s="4"/>
      <c r="J666" s="4"/>
      <c r="K666" s="4"/>
      <c r="L666" s="53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76"/>
      <c r="F667" s="53"/>
      <c r="G667" s="4"/>
      <c r="H667" s="4"/>
      <c r="I667" s="4"/>
      <c r="J667" s="4"/>
      <c r="K667" s="4"/>
      <c r="L667" s="53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76"/>
      <c r="F668" s="53"/>
      <c r="G668" s="4"/>
      <c r="H668" s="4"/>
      <c r="I668" s="4"/>
      <c r="J668" s="4"/>
      <c r="K668" s="4"/>
      <c r="L668" s="53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76"/>
      <c r="F669" s="53"/>
      <c r="G669" s="4"/>
      <c r="H669" s="4"/>
      <c r="I669" s="4"/>
      <c r="J669" s="4"/>
      <c r="K669" s="4"/>
      <c r="L669" s="53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76"/>
      <c r="F670" s="53"/>
      <c r="G670" s="4"/>
      <c r="H670" s="4"/>
      <c r="I670" s="4"/>
      <c r="J670" s="4"/>
      <c r="K670" s="4"/>
      <c r="L670" s="53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76"/>
      <c r="F671" s="53"/>
      <c r="G671" s="4"/>
      <c r="H671" s="4"/>
      <c r="I671" s="4"/>
      <c r="J671" s="4"/>
      <c r="K671" s="4"/>
      <c r="L671" s="53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76"/>
      <c r="F672" s="53"/>
      <c r="G672" s="4"/>
      <c r="H672" s="4"/>
      <c r="I672" s="4"/>
      <c r="J672" s="4"/>
      <c r="K672" s="4"/>
      <c r="L672" s="53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76"/>
      <c r="F673" s="53"/>
      <c r="G673" s="4"/>
      <c r="H673" s="4"/>
      <c r="I673" s="4"/>
      <c r="J673" s="4"/>
      <c r="K673" s="4"/>
      <c r="L673" s="53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76"/>
      <c r="F674" s="53"/>
      <c r="G674" s="4"/>
      <c r="H674" s="4"/>
      <c r="I674" s="4"/>
      <c r="J674" s="4"/>
      <c r="K674" s="4"/>
      <c r="L674" s="53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76"/>
      <c r="F675" s="53"/>
      <c r="G675" s="4"/>
      <c r="H675" s="4"/>
      <c r="I675" s="4"/>
      <c r="J675" s="4"/>
      <c r="K675" s="4"/>
      <c r="L675" s="53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76"/>
      <c r="F676" s="53"/>
      <c r="G676" s="4"/>
      <c r="H676" s="4"/>
      <c r="I676" s="4"/>
      <c r="J676" s="4"/>
      <c r="K676" s="4"/>
      <c r="L676" s="53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76"/>
      <c r="F677" s="53"/>
      <c r="G677" s="4"/>
      <c r="H677" s="4"/>
      <c r="I677" s="4"/>
      <c r="J677" s="4"/>
      <c r="K677" s="4"/>
      <c r="L677" s="53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76"/>
      <c r="F678" s="53"/>
      <c r="G678" s="4"/>
      <c r="H678" s="4"/>
      <c r="I678" s="4"/>
      <c r="J678" s="4"/>
      <c r="K678" s="4"/>
      <c r="L678" s="53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76"/>
      <c r="F679" s="53"/>
      <c r="G679" s="4"/>
      <c r="H679" s="4"/>
      <c r="I679" s="4"/>
      <c r="J679" s="4"/>
      <c r="K679" s="4"/>
      <c r="L679" s="53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76"/>
      <c r="F680" s="53"/>
      <c r="G680" s="4"/>
      <c r="H680" s="4"/>
      <c r="I680" s="4"/>
      <c r="J680" s="4"/>
      <c r="K680" s="4"/>
      <c r="L680" s="53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76"/>
      <c r="F681" s="53"/>
      <c r="G681" s="4"/>
      <c r="H681" s="4"/>
      <c r="I681" s="4"/>
      <c r="J681" s="4"/>
      <c r="K681" s="4"/>
      <c r="L681" s="53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76"/>
      <c r="F682" s="53"/>
      <c r="G682" s="4"/>
      <c r="H682" s="4"/>
      <c r="I682" s="4"/>
      <c r="J682" s="4"/>
      <c r="K682" s="4"/>
      <c r="L682" s="53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76"/>
      <c r="F683" s="53"/>
      <c r="G683" s="4"/>
      <c r="H683" s="4"/>
      <c r="I683" s="4"/>
      <c r="J683" s="4"/>
      <c r="K683" s="4"/>
      <c r="L683" s="53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76"/>
      <c r="F684" s="53"/>
      <c r="G684" s="4"/>
      <c r="H684" s="4"/>
      <c r="I684" s="4"/>
      <c r="J684" s="4"/>
      <c r="K684" s="4"/>
      <c r="L684" s="53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76"/>
      <c r="F685" s="53"/>
      <c r="G685" s="4"/>
      <c r="H685" s="4"/>
      <c r="I685" s="4"/>
      <c r="J685" s="4"/>
      <c r="K685" s="4"/>
      <c r="L685" s="53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76"/>
      <c r="F686" s="53"/>
      <c r="G686" s="4"/>
      <c r="H686" s="4"/>
      <c r="I686" s="4"/>
      <c r="J686" s="4"/>
      <c r="K686" s="4"/>
      <c r="L686" s="53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76"/>
      <c r="F687" s="53"/>
      <c r="G687" s="4"/>
      <c r="H687" s="4"/>
      <c r="I687" s="4"/>
      <c r="J687" s="4"/>
      <c r="K687" s="4"/>
      <c r="L687" s="53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76"/>
      <c r="F688" s="53"/>
      <c r="G688" s="4"/>
      <c r="H688" s="4"/>
      <c r="I688" s="4"/>
      <c r="J688" s="4"/>
      <c r="K688" s="4"/>
      <c r="L688" s="53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76"/>
      <c r="F689" s="53"/>
      <c r="G689" s="4"/>
      <c r="H689" s="4"/>
      <c r="I689" s="4"/>
      <c r="J689" s="4"/>
      <c r="K689" s="4"/>
      <c r="L689" s="53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76"/>
      <c r="F690" s="53"/>
      <c r="G690" s="4"/>
      <c r="H690" s="4"/>
      <c r="I690" s="4"/>
      <c r="J690" s="4"/>
      <c r="K690" s="4"/>
      <c r="L690" s="53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76"/>
      <c r="F691" s="53"/>
      <c r="G691" s="4"/>
      <c r="H691" s="4"/>
      <c r="I691" s="4"/>
      <c r="J691" s="4"/>
      <c r="K691" s="4"/>
      <c r="L691" s="53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76"/>
      <c r="F692" s="53"/>
      <c r="G692" s="4"/>
      <c r="H692" s="4"/>
      <c r="I692" s="4"/>
      <c r="J692" s="4"/>
      <c r="K692" s="4"/>
      <c r="L692" s="53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76"/>
      <c r="F693" s="53"/>
      <c r="G693" s="4"/>
      <c r="H693" s="4"/>
      <c r="I693" s="4"/>
      <c r="J693" s="4"/>
      <c r="K693" s="4"/>
      <c r="L693" s="53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76"/>
      <c r="F694" s="53"/>
      <c r="G694" s="4"/>
      <c r="H694" s="4"/>
      <c r="I694" s="4"/>
      <c r="J694" s="4"/>
      <c r="K694" s="4"/>
      <c r="L694" s="53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76"/>
      <c r="F695" s="53"/>
      <c r="G695" s="4"/>
      <c r="H695" s="4"/>
      <c r="I695" s="4"/>
      <c r="J695" s="4"/>
      <c r="K695" s="4"/>
      <c r="L695" s="53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76"/>
      <c r="F696" s="53"/>
      <c r="G696" s="4"/>
      <c r="H696" s="4"/>
      <c r="I696" s="4"/>
      <c r="J696" s="4"/>
      <c r="K696" s="4"/>
      <c r="L696" s="53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76"/>
      <c r="F697" s="53"/>
      <c r="G697" s="4"/>
      <c r="H697" s="4"/>
      <c r="I697" s="4"/>
      <c r="J697" s="4"/>
      <c r="K697" s="4"/>
      <c r="L697" s="53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76"/>
      <c r="F698" s="53"/>
      <c r="G698" s="4"/>
      <c r="H698" s="4"/>
      <c r="I698" s="4"/>
      <c r="J698" s="4"/>
      <c r="K698" s="4"/>
      <c r="L698" s="53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76"/>
      <c r="F699" s="53"/>
      <c r="G699" s="4"/>
      <c r="H699" s="4"/>
      <c r="I699" s="4"/>
      <c r="J699" s="4"/>
      <c r="K699" s="4"/>
      <c r="L699" s="53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76"/>
      <c r="F700" s="53"/>
      <c r="G700" s="4"/>
      <c r="H700" s="4"/>
      <c r="I700" s="4"/>
      <c r="J700" s="4"/>
      <c r="K700" s="4"/>
      <c r="L700" s="53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76"/>
      <c r="F701" s="53"/>
      <c r="G701" s="4"/>
      <c r="H701" s="4"/>
      <c r="I701" s="4"/>
      <c r="J701" s="4"/>
      <c r="K701" s="4"/>
      <c r="L701" s="53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76"/>
      <c r="F702" s="53"/>
      <c r="G702" s="4"/>
      <c r="H702" s="4"/>
      <c r="I702" s="4"/>
      <c r="J702" s="4"/>
      <c r="K702" s="4"/>
      <c r="L702" s="53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76"/>
      <c r="F703" s="53"/>
      <c r="G703" s="4"/>
      <c r="H703" s="4"/>
      <c r="I703" s="4"/>
      <c r="J703" s="4"/>
      <c r="K703" s="4"/>
      <c r="L703" s="53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76"/>
      <c r="F704" s="53"/>
      <c r="G704" s="4"/>
      <c r="H704" s="4"/>
      <c r="I704" s="4"/>
      <c r="J704" s="4"/>
      <c r="K704" s="4"/>
      <c r="L704" s="53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76"/>
      <c r="F705" s="53"/>
      <c r="G705" s="4"/>
      <c r="H705" s="4"/>
      <c r="I705" s="4"/>
      <c r="J705" s="4"/>
      <c r="K705" s="4"/>
      <c r="L705" s="53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76"/>
      <c r="F706" s="53"/>
      <c r="G706" s="4"/>
      <c r="H706" s="4"/>
      <c r="I706" s="4"/>
      <c r="J706" s="4"/>
      <c r="K706" s="4"/>
      <c r="L706" s="53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76"/>
      <c r="F707" s="53"/>
      <c r="G707" s="4"/>
      <c r="H707" s="4"/>
      <c r="I707" s="4"/>
      <c r="J707" s="4"/>
      <c r="K707" s="4"/>
      <c r="L707" s="53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76"/>
      <c r="F708" s="53"/>
      <c r="G708" s="4"/>
      <c r="H708" s="4"/>
      <c r="I708" s="4"/>
      <c r="J708" s="4"/>
      <c r="K708" s="4"/>
      <c r="L708" s="53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76"/>
      <c r="F709" s="53"/>
      <c r="G709" s="4"/>
      <c r="H709" s="4"/>
      <c r="I709" s="4"/>
      <c r="J709" s="4"/>
      <c r="K709" s="4"/>
      <c r="L709" s="53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76"/>
      <c r="F710" s="53"/>
      <c r="G710" s="4"/>
      <c r="H710" s="4"/>
      <c r="I710" s="4"/>
      <c r="J710" s="4"/>
      <c r="K710" s="4"/>
      <c r="L710" s="53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76"/>
      <c r="F711" s="53"/>
      <c r="G711" s="4"/>
      <c r="H711" s="4"/>
      <c r="I711" s="4"/>
      <c r="J711" s="4"/>
      <c r="K711" s="4"/>
      <c r="L711" s="53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76"/>
      <c r="F712" s="53"/>
      <c r="G712" s="4"/>
      <c r="H712" s="4"/>
      <c r="I712" s="4"/>
      <c r="J712" s="4"/>
      <c r="K712" s="4"/>
      <c r="L712" s="53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76"/>
      <c r="F713" s="53"/>
      <c r="G713" s="4"/>
      <c r="H713" s="4"/>
      <c r="I713" s="4"/>
      <c r="J713" s="4"/>
      <c r="K713" s="4"/>
      <c r="L713" s="53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76"/>
      <c r="F714" s="53"/>
      <c r="G714" s="4"/>
      <c r="H714" s="4"/>
      <c r="I714" s="4"/>
      <c r="J714" s="4"/>
      <c r="K714" s="4"/>
      <c r="L714" s="53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76"/>
      <c r="F715" s="53"/>
      <c r="G715" s="4"/>
      <c r="H715" s="4"/>
      <c r="I715" s="4"/>
      <c r="J715" s="4"/>
      <c r="K715" s="4"/>
      <c r="L715" s="53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76"/>
      <c r="F716" s="53"/>
      <c r="G716" s="4"/>
      <c r="H716" s="4"/>
      <c r="I716" s="4"/>
      <c r="J716" s="4"/>
      <c r="K716" s="4"/>
      <c r="L716" s="53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76"/>
      <c r="F717" s="53"/>
      <c r="G717" s="4"/>
      <c r="H717" s="4"/>
      <c r="I717" s="4"/>
      <c r="J717" s="4"/>
      <c r="K717" s="4"/>
      <c r="L717" s="53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76"/>
      <c r="F718" s="53"/>
      <c r="G718" s="4"/>
      <c r="H718" s="4"/>
      <c r="I718" s="4"/>
      <c r="J718" s="4"/>
      <c r="K718" s="4"/>
      <c r="L718" s="53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76"/>
      <c r="F719" s="53"/>
      <c r="G719" s="4"/>
      <c r="H719" s="4"/>
      <c r="I719" s="4"/>
      <c r="J719" s="4"/>
      <c r="K719" s="4"/>
      <c r="L719" s="53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76"/>
      <c r="F720" s="53"/>
      <c r="G720" s="4"/>
      <c r="H720" s="4"/>
      <c r="I720" s="4"/>
      <c r="J720" s="4"/>
      <c r="K720" s="4"/>
      <c r="L720" s="53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76"/>
      <c r="F721" s="53"/>
      <c r="G721" s="4"/>
      <c r="H721" s="4"/>
      <c r="I721" s="4"/>
      <c r="J721" s="4"/>
      <c r="K721" s="4"/>
      <c r="L721" s="53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76"/>
      <c r="F722" s="53"/>
      <c r="G722" s="4"/>
      <c r="H722" s="4"/>
      <c r="I722" s="4"/>
      <c r="J722" s="4"/>
      <c r="K722" s="4"/>
      <c r="L722" s="53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76"/>
      <c r="F723" s="53"/>
      <c r="G723" s="4"/>
      <c r="H723" s="4"/>
      <c r="I723" s="4"/>
      <c r="J723" s="4"/>
      <c r="K723" s="4"/>
      <c r="L723" s="53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76"/>
      <c r="F724" s="53"/>
      <c r="G724" s="4"/>
      <c r="H724" s="4"/>
      <c r="I724" s="4"/>
      <c r="J724" s="4"/>
      <c r="K724" s="4"/>
      <c r="L724" s="53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76"/>
      <c r="F725" s="53"/>
      <c r="G725" s="4"/>
      <c r="H725" s="4"/>
      <c r="I725" s="4"/>
      <c r="J725" s="4"/>
      <c r="K725" s="4"/>
      <c r="L725" s="53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76"/>
      <c r="F726" s="53"/>
      <c r="G726" s="4"/>
      <c r="H726" s="4"/>
      <c r="I726" s="4"/>
      <c r="J726" s="4"/>
      <c r="K726" s="4"/>
      <c r="L726" s="53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76"/>
      <c r="F727" s="53"/>
      <c r="G727" s="4"/>
      <c r="H727" s="4"/>
      <c r="I727" s="4"/>
      <c r="J727" s="4"/>
      <c r="K727" s="4"/>
      <c r="L727" s="53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76"/>
      <c r="F728" s="53"/>
      <c r="G728" s="4"/>
      <c r="H728" s="4"/>
      <c r="I728" s="4"/>
      <c r="J728" s="4"/>
      <c r="K728" s="4"/>
      <c r="L728" s="53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76"/>
      <c r="F729" s="53"/>
      <c r="G729" s="4"/>
      <c r="H729" s="4"/>
      <c r="I729" s="4"/>
      <c r="J729" s="4"/>
      <c r="K729" s="4"/>
      <c r="L729" s="53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76"/>
      <c r="F730" s="53"/>
      <c r="G730" s="4"/>
      <c r="H730" s="4"/>
      <c r="I730" s="4"/>
      <c r="J730" s="4"/>
      <c r="K730" s="4"/>
      <c r="L730" s="53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76"/>
      <c r="F731" s="53"/>
      <c r="G731" s="4"/>
      <c r="H731" s="4"/>
      <c r="I731" s="4"/>
      <c r="J731" s="4"/>
      <c r="K731" s="4"/>
      <c r="L731" s="53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76"/>
      <c r="F732" s="53"/>
      <c r="G732" s="4"/>
      <c r="H732" s="4"/>
      <c r="I732" s="4"/>
      <c r="J732" s="4"/>
      <c r="K732" s="4"/>
      <c r="L732" s="53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76"/>
      <c r="F733" s="53"/>
      <c r="G733" s="4"/>
      <c r="H733" s="4"/>
      <c r="I733" s="4"/>
      <c r="J733" s="4"/>
      <c r="K733" s="4"/>
      <c r="L733" s="53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76"/>
      <c r="F734" s="53"/>
      <c r="G734" s="4"/>
      <c r="H734" s="4"/>
      <c r="I734" s="4"/>
      <c r="J734" s="4"/>
      <c r="K734" s="4"/>
      <c r="L734" s="53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76"/>
      <c r="F735" s="53"/>
      <c r="G735" s="4"/>
      <c r="H735" s="4"/>
      <c r="I735" s="4"/>
      <c r="J735" s="4"/>
      <c r="K735" s="4"/>
      <c r="L735" s="53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76"/>
      <c r="F736" s="53"/>
      <c r="G736" s="4"/>
      <c r="H736" s="4"/>
      <c r="I736" s="4"/>
      <c r="J736" s="4"/>
      <c r="K736" s="4"/>
      <c r="L736" s="53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76"/>
      <c r="F737" s="53"/>
      <c r="G737" s="4"/>
      <c r="H737" s="4"/>
      <c r="I737" s="4"/>
      <c r="J737" s="4"/>
      <c r="K737" s="4"/>
      <c r="L737" s="53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76"/>
      <c r="F738" s="53"/>
      <c r="G738" s="4"/>
      <c r="H738" s="4"/>
      <c r="I738" s="4"/>
      <c r="J738" s="4"/>
      <c r="K738" s="4"/>
      <c r="L738" s="53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76"/>
      <c r="F739" s="53"/>
      <c r="G739" s="4"/>
      <c r="H739" s="4"/>
      <c r="I739" s="4"/>
      <c r="J739" s="4"/>
      <c r="K739" s="4"/>
      <c r="L739" s="53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76"/>
      <c r="F740" s="53"/>
      <c r="G740" s="4"/>
      <c r="H740" s="4"/>
      <c r="I740" s="4"/>
      <c r="J740" s="4"/>
      <c r="K740" s="4"/>
      <c r="L740" s="53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76"/>
      <c r="F741" s="53"/>
      <c r="G741" s="4"/>
      <c r="H741" s="4"/>
      <c r="I741" s="4"/>
      <c r="J741" s="4"/>
      <c r="K741" s="4"/>
      <c r="L741" s="53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76"/>
      <c r="F742" s="53"/>
      <c r="G742" s="4"/>
      <c r="H742" s="4"/>
      <c r="I742" s="4"/>
      <c r="J742" s="4"/>
      <c r="K742" s="4"/>
      <c r="L742" s="53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76"/>
      <c r="F743" s="53"/>
      <c r="G743" s="4"/>
      <c r="H743" s="4"/>
      <c r="I743" s="4"/>
      <c r="J743" s="4"/>
      <c r="K743" s="4"/>
      <c r="L743" s="53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76"/>
      <c r="F744" s="53"/>
      <c r="G744" s="4"/>
      <c r="H744" s="4"/>
      <c r="I744" s="4"/>
      <c r="J744" s="4"/>
      <c r="K744" s="4"/>
      <c r="L744" s="53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76"/>
      <c r="F745" s="53"/>
      <c r="G745" s="4"/>
      <c r="H745" s="4"/>
      <c r="I745" s="4"/>
      <c r="J745" s="4"/>
      <c r="K745" s="4"/>
      <c r="L745" s="53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76"/>
      <c r="F746" s="53"/>
      <c r="G746" s="4"/>
      <c r="H746" s="4"/>
      <c r="I746" s="4"/>
      <c r="J746" s="4"/>
      <c r="K746" s="4"/>
      <c r="L746" s="53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76"/>
      <c r="F747" s="53"/>
      <c r="G747" s="4"/>
      <c r="H747" s="4"/>
      <c r="I747" s="4"/>
      <c r="J747" s="4"/>
      <c r="K747" s="4"/>
      <c r="L747" s="53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76"/>
      <c r="F748" s="53"/>
      <c r="G748" s="4"/>
      <c r="H748" s="4"/>
      <c r="I748" s="4"/>
      <c r="J748" s="4"/>
      <c r="K748" s="4"/>
      <c r="L748" s="53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76"/>
      <c r="F749" s="53"/>
      <c r="G749" s="4"/>
      <c r="H749" s="4"/>
      <c r="I749" s="4"/>
      <c r="J749" s="4"/>
      <c r="K749" s="4"/>
      <c r="L749" s="53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76"/>
      <c r="F750" s="53"/>
      <c r="G750" s="4"/>
      <c r="H750" s="4"/>
      <c r="I750" s="4"/>
      <c r="J750" s="4"/>
      <c r="K750" s="4"/>
      <c r="L750" s="53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76"/>
      <c r="F751" s="53"/>
      <c r="G751" s="4"/>
      <c r="H751" s="4"/>
      <c r="I751" s="4"/>
      <c r="J751" s="4"/>
      <c r="K751" s="4"/>
      <c r="L751" s="53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76"/>
      <c r="F752" s="53"/>
      <c r="G752" s="4"/>
      <c r="H752" s="4"/>
      <c r="I752" s="4"/>
      <c r="J752" s="4"/>
      <c r="K752" s="4"/>
      <c r="L752" s="53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76"/>
      <c r="F753" s="53"/>
      <c r="G753" s="4"/>
      <c r="H753" s="4"/>
      <c r="I753" s="4"/>
      <c r="J753" s="4"/>
      <c r="K753" s="4"/>
      <c r="L753" s="53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76"/>
      <c r="F754" s="53"/>
      <c r="G754" s="4"/>
      <c r="H754" s="4"/>
      <c r="I754" s="4"/>
      <c r="J754" s="4"/>
      <c r="K754" s="4"/>
      <c r="L754" s="53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76"/>
      <c r="F755" s="53"/>
      <c r="G755" s="4"/>
      <c r="H755" s="4"/>
      <c r="I755" s="4"/>
      <c r="J755" s="4"/>
      <c r="K755" s="4"/>
      <c r="L755" s="53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76"/>
      <c r="F756" s="53"/>
      <c r="G756" s="4"/>
      <c r="H756" s="4"/>
      <c r="I756" s="4"/>
      <c r="J756" s="4"/>
      <c r="K756" s="4"/>
      <c r="L756" s="53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76"/>
      <c r="F757" s="53"/>
      <c r="G757" s="4"/>
      <c r="H757" s="4"/>
      <c r="I757" s="4"/>
      <c r="J757" s="4"/>
      <c r="K757" s="4"/>
      <c r="L757" s="53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76"/>
      <c r="F758" s="53"/>
      <c r="G758" s="4"/>
      <c r="H758" s="4"/>
      <c r="I758" s="4"/>
      <c r="J758" s="4"/>
      <c r="K758" s="4"/>
      <c r="L758" s="53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76"/>
      <c r="F759" s="53"/>
      <c r="G759" s="4"/>
      <c r="H759" s="4"/>
      <c r="I759" s="4"/>
      <c r="J759" s="4"/>
      <c r="K759" s="4"/>
      <c r="L759" s="53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76"/>
      <c r="F760" s="53"/>
      <c r="G760" s="4"/>
      <c r="H760" s="4"/>
      <c r="I760" s="4"/>
      <c r="J760" s="4"/>
      <c r="K760" s="4"/>
      <c r="L760" s="53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76"/>
      <c r="F761" s="53"/>
      <c r="G761" s="4"/>
      <c r="H761" s="4"/>
      <c r="I761" s="4"/>
      <c r="J761" s="4"/>
      <c r="K761" s="4"/>
      <c r="L761" s="53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76"/>
      <c r="F762" s="53"/>
      <c r="G762" s="4"/>
      <c r="H762" s="4"/>
      <c r="I762" s="4"/>
      <c r="J762" s="4"/>
      <c r="K762" s="4"/>
      <c r="L762" s="53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76"/>
      <c r="F763" s="53"/>
      <c r="G763" s="4"/>
      <c r="H763" s="4"/>
      <c r="I763" s="4"/>
      <c r="J763" s="4"/>
      <c r="K763" s="4"/>
      <c r="L763" s="53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76"/>
      <c r="F764" s="53"/>
      <c r="G764" s="4"/>
      <c r="H764" s="4"/>
      <c r="I764" s="4"/>
      <c r="J764" s="4"/>
      <c r="K764" s="4"/>
      <c r="L764" s="53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76"/>
      <c r="F765" s="53"/>
      <c r="G765" s="4"/>
      <c r="H765" s="4"/>
      <c r="I765" s="4"/>
      <c r="J765" s="4"/>
      <c r="K765" s="4"/>
      <c r="L765" s="53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76"/>
      <c r="F766" s="53"/>
      <c r="G766" s="4"/>
      <c r="H766" s="4"/>
      <c r="I766" s="4"/>
      <c r="J766" s="4"/>
      <c r="K766" s="4"/>
      <c r="L766" s="53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76"/>
      <c r="F767" s="53"/>
      <c r="G767" s="4"/>
      <c r="H767" s="4"/>
      <c r="I767" s="4"/>
      <c r="J767" s="4"/>
      <c r="K767" s="4"/>
      <c r="L767" s="53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76"/>
      <c r="F768" s="53"/>
      <c r="G768" s="4"/>
      <c r="H768" s="4"/>
      <c r="I768" s="4"/>
      <c r="J768" s="4"/>
      <c r="K768" s="4"/>
      <c r="L768" s="53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76"/>
      <c r="F769" s="53"/>
      <c r="G769" s="4"/>
      <c r="H769" s="4"/>
      <c r="I769" s="4"/>
      <c r="J769" s="4"/>
      <c r="K769" s="4"/>
      <c r="L769" s="53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76"/>
      <c r="F770" s="53"/>
      <c r="G770" s="4"/>
      <c r="H770" s="4"/>
      <c r="I770" s="4"/>
      <c r="J770" s="4"/>
      <c r="K770" s="4"/>
      <c r="L770" s="53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76"/>
      <c r="F771" s="53"/>
      <c r="G771" s="4"/>
      <c r="H771" s="4"/>
      <c r="I771" s="4"/>
      <c r="J771" s="4"/>
      <c r="K771" s="4"/>
      <c r="L771" s="53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76"/>
      <c r="F772" s="53"/>
      <c r="G772" s="4"/>
      <c r="H772" s="4"/>
      <c r="I772" s="4"/>
      <c r="J772" s="4"/>
      <c r="K772" s="4"/>
      <c r="L772" s="53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76"/>
      <c r="F773" s="53"/>
      <c r="G773" s="4"/>
      <c r="H773" s="4"/>
      <c r="I773" s="4"/>
      <c r="J773" s="4"/>
      <c r="K773" s="4"/>
      <c r="L773" s="53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76"/>
      <c r="F774" s="53"/>
      <c r="G774" s="4"/>
      <c r="H774" s="4"/>
      <c r="I774" s="4"/>
      <c r="J774" s="4"/>
      <c r="K774" s="4"/>
      <c r="L774" s="53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76"/>
      <c r="F775" s="53"/>
      <c r="G775" s="4"/>
      <c r="H775" s="4"/>
      <c r="I775" s="4"/>
      <c r="J775" s="4"/>
      <c r="K775" s="4"/>
      <c r="L775" s="53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76"/>
      <c r="F776" s="53"/>
      <c r="G776" s="4"/>
      <c r="H776" s="4"/>
      <c r="I776" s="4"/>
      <c r="J776" s="4"/>
      <c r="K776" s="4"/>
      <c r="L776" s="53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76"/>
      <c r="F777" s="53"/>
      <c r="G777" s="4"/>
      <c r="H777" s="4"/>
      <c r="I777" s="4"/>
      <c r="J777" s="4"/>
      <c r="K777" s="4"/>
      <c r="L777" s="53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76"/>
      <c r="F778" s="53"/>
      <c r="G778" s="4"/>
      <c r="H778" s="4"/>
      <c r="I778" s="4"/>
      <c r="J778" s="4"/>
      <c r="K778" s="4"/>
      <c r="L778" s="53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76"/>
      <c r="F779" s="53"/>
      <c r="G779" s="4"/>
      <c r="H779" s="4"/>
      <c r="I779" s="4"/>
      <c r="J779" s="4"/>
      <c r="K779" s="4"/>
      <c r="L779" s="53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76"/>
      <c r="F780" s="53"/>
      <c r="G780" s="4"/>
      <c r="H780" s="4"/>
      <c r="I780" s="4"/>
      <c r="J780" s="4"/>
      <c r="K780" s="4"/>
      <c r="L780" s="53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76"/>
      <c r="F781" s="53"/>
      <c r="G781" s="4"/>
      <c r="H781" s="4"/>
      <c r="I781" s="4"/>
      <c r="J781" s="4"/>
      <c r="K781" s="4"/>
      <c r="L781" s="53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76"/>
      <c r="F782" s="53"/>
      <c r="G782" s="4"/>
      <c r="H782" s="4"/>
      <c r="I782" s="4"/>
      <c r="J782" s="4"/>
      <c r="K782" s="4"/>
      <c r="L782" s="53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76"/>
      <c r="F783" s="53"/>
      <c r="G783" s="4"/>
      <c r="H783" s="4"/>
      <c r="I783" s="4"/>
      <c r="J783" s="4"/>
      <c r="K783" s="4"/>
      <c r="L783" s="53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76"/>
      <c r="F784" s="53"/>
      <c r="G784" s="4"/>
      <c r="H784" s="4"/>
      <c r="I784" s="4"/>
      <c r="J784" s="4"/>
      <c r="K784" s="4"/>
      <c r="L784" s="53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76"/>
      <c r="F785" s="53"/>
      <c r="G785" s="4"/>
      <c r="H785" s="4"/>
      <c r="I785" s="4"/>
      <c r="J785" s="4"/>
      <c r="K785" s="4"/>
      <c r="L785" s="53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76"/>
      <c r="F786" s="53"/>
      <c r="G786" s="4"/>
      <c r="H786" s="4"/>
      <c r="I786" s="4"/>
      <c r="J786" s="4"/>
      <c r="K786" s="4"/>
      <c r="L786" s="53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76"/>
      <c r="F787" s="53"/>
      <c r="G787" s="4"/>
      <c r="H787" s="4"/>
      <c r="I787" s="4"/>
      <c r="J787" s="4"/>
      <c r="K787" s="4"/>
      <c r="L787" s="53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76"/>
      <c r="F788" s="53"/>
      <c r="G788" s="4"/>
      <c r="H788" s="4"/>
      <c r="I788" s="4"/>
      <c r="J788" s="4"/>
      <c r="K788" s="4"/>
      <c r="L788" s="53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76"/>
      <c r="F789" s="53"/>
      <c r="G789" s="4"/>
      <c r="H789" s="4"/>
      <c r="I789" s="4"/>
      <c r="J789" s="4"/>
      <c r="K789" s="4"/>
      <c r="L789" s="53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76"/>
      <c r="F790" s="53"/>
      <c r="G790" s="4"/>
      <c r="H790" s="4"/>
      <c r="I790" s="4"/>
      <c r="J790" s="4"/>
      <c r="K790" s="4"/>
      <c r="L790" s="53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76"/>
      <c r="F791" s="53"/>
      <c r="G791" s="4"/>
      <c r="H791" s="4"/>
      <c r="I791" s="4"/>
      <c r="J791" s="4"/>
      <c r="K791" s="4"/>
      <c r="L791" s="53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76"/>
      <c r="F792" s="53"/>
      <c r="G792" s="4"/>
      <c r="H792" s="4"/>
      <c r="I792" s="4"/>
      <c r="J792" s="4"/>
      <c r="K792" s="4"/>
      <c r="L792" s="53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76"/>
      <c r="F793" s="53"/>
      <c r="G793" s="4"/>
      <c r="H793" s="4"/>
      <c r="I793" s="4"/>
      <c r="J793" s="4"/>
      <c r="K793" s="4"/>
      <c r="L793" s="53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76"/>
      <c r="F794" s="53"/>
      <c r="G794" s="4"/>
      <c r="H794" s="4"/>
      <c r="I794" s="4"/>
      <c r="J794" s="4"/>
      <c r="K794" s="4"/>
      <c r="L794" s="53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76"/>
      <c r="F795" s="53"/>
      <c r="G795" s="4"/>
      <c r="H795" s="4"/>
      <c r="I795" s="4"/>
      <c r="J795" s="4"/>
      <c r="K795" s="4"/>
      <c r="L795" s="53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76"/>
      <c r="F796" s="53"/>
      <c r="G796" s="4"/>
      <c r="H796" s="4"/>
      <c r="I796" s="4"/>
      <c r="J796" s="4"/>
      <c r="K796" s="4"/>
      <c r="L796" s="53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76"/>
      <c r="F797" s="53"/>
      <c r="G797" s="4"/>
      <c r="H797" s="4"/>
      <c r="I797" s="4"/>
      <c r="J797" s="4"/>
      <c r="K797" s="4"/>
      <c r="L797" s="53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76"/>
      <c r="F798" s="53"/>
      <c r="G798" s="4"/>
      <c r="H798" s="4"/>
      <c r="I798" s="4"/>
      <c r="J798" s="4"/>
      <c r="K798" s="4"/>
      <c r="L798" s="53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76"/>
      <c r="F799" s="53"/>
      <c r="G799" s="4"/>
      <c r="H799" s="4"/>
      <c r="I799" s="4"/>
      <c r="J799" s="4"/>
      <c r="K799" s="4"/>
      <c r="L799" s="53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76"/>
      <c r="F800" s="53"/>
      <c r="G800" s="4"/>
      <c r="H800" s="4"/>
      <c r="I800" s="4"/>
      <c r="J800" s="4"/>
      <c r="K800" s="4"/>
      <c r="L800" s="53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76"/>
      <c r="F801" s="53"/>
      <c r="G801" s="4"/>
      <c r="H801" s="4"/>
      <c r="I801" s="4"/>
      <c r="J801" s="4"/>
      <c r="K801" s="4"/>
      <c r="L801" s="53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76"/>
      <c r="F802" s="53"/>
      <c r="G802" s="4"/>
      <c r="H802" s="4"/>
      <c r="I802" s="4"/>
      <c r="J802" s="4"/>
      <c r="K802" s="4"/>
      <c r="L802" s="53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76"/>
      <c r="F803" s="53"/>
      <c r="G803" s="4"/>
      <c r="H803" s="4"/>
      <c r="I803" s="4"/>
      <c r="J803" s="4"/>
      <c r="K803" s="4"/>
      <c r="L803" s="53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76"/>
      <c r="F804" s="53"/>
      <c r="G804" s="4"/>
      <c r="H804" s="4"/>
      <c r="I804" s="4"/>
      <c r="J804" s="4"/>
      <c r="K804" s="4"/>
      <c r="L804" s="53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76"/>
      <c r="F805" s="53"/>
      <c r="G805" s="4"/>
      <c r="H805" s="4"/>
      <c r="I805" s="4"/>
      <c r="J805" s="4"/>
      <c r="K805" s="4"/>
      <c r="L805" s="53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76"/>
      <c r="F806" s="53"/>
      <c r="G806" s="4"/>
      <c r="H806" s="4"/>
      <c r="I806" s="4"/>
      <c r="J806" s="4"/>
      <c r="K806" s="4"/>
      <c r="L806" s="53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76"/>
      <c r="F807" s="53"/>
      <c r="G807" s="4"/>
      <c r="H807" s="4"/>
      <c r="I807" s="4"/>
      <c r="J807" s="4"/>
      <c r="K807" s="4"/>
      <c r="L807" s="53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76"/>
      <c r="F808" s="53"/>
      <c r="G808" s="4"/>
      <c r="H808" s="4"/>
      <c r="I808" s="4"/>
      <c r="J808" s="4"/>
      <c r="K808" s="4"/>
      <c r="L808" s="53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76"/>
      <c r="F809" s="53"/>
      <c r="G809" s="4"/>
      <c r="H809" s="4"/>
      <c r="I809" s="4"/>
      <c r="J809" s="4"/>
      <c r="K809" s="4"/>
      <c r="L809" s="53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76"/>
      <c r="F810" s="53"/>
      <c r="G810" s="4"/>
      <c r="H810" s="4"/>
      <c r="I810" s="4"/>
      <c r="J810" s="4"/>
      <c r="K810" s="4"/>
      <c r="L810" s="53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76"/>
      <c r="F811" s="53"/>
      <c r="G811" s="4"/>
      <c r="H811" s="4"/>
      <c r="I811" s="4"/>
      <c r="J811" s="4"/>
      <c r="K811" s="4"/>
      <c r="L811" s="53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76"/>
      <c r="F812" s="53"/>
      <c r="G812" s="4"/>
      <c r="H812" s="4"/>
      <c r="I812" s="4"/>
      <c r="J812" s="4"/>
      <c r="K812" s="4"/>
      <c r="L812" s="53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76"/>
      <c r="F813" s="53"/>
      <c r="G813" s="4"/>
      <c r="H813" s="4"/>
      <c r="I813" s="4"/>
      <c r="J813" s="4"/>
      <c r="K813" s="4"/>
      <c r="L813" s="53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76"/>
      <c r="F814" s="53"/>
      <c r="G814" s="4"/>
      <c r="H814" s="4"/>
      <c r="I814" s="4"/>
      <c r="J814" s="4"/>
      <c r="K814" s="4"/>
      <c r="L814" s="53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76"/>
      <c r="F815" s="53"/>
      <c r="G815" s="4"/>
      <c r="H815" s="4"/>
      <c r="I815" s="4"/>
      <c r="J815" s="4"/>
      <c r="K815" s="4"/>
      <c r="L815" s="53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76"/>
      <c r="F816" s="53"/>
      <c r="G816" s="4"/>
      <c r="H816" s="4"/>
      <c r="I816" s="4"/>
      <c r="J816" s="4"/>
      <c r="K816" s="4"/>
      <c r="L816" s="53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76"/>
      <c r="F817" s="53"/>
      <c r="G817" s="4"/>
      <c r="H817" s="4"/>
      <c r="I817" s="4"/>
      <c r="J817" s="4"/>
      <c r="K817" s="4"/>
      <c r="L817" s="53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76"/>
      <c r="F818" s="53"/>
      <c r="G818" s="4"/>
      <c r="H818" s="4"/>
      <c r="I818" s="4"/>
      <c r="J818" s="4"/>
      <c r="K818" s="4"/>
      <c r="L818" s="53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76"/>
      <c r="F819" s="53"/>
      <c r="G819" s="4"/>
      <c r="H819" s="4"/>
      <c r="I819" s="4"/>
      <c r="J819" s="4"/>
      <c r="K819" s="4"/>
      <c r="L819" s="53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76"/>
      <c r="F820" s="53"/>
      <c r="G820" s="4"/>
      <c r="H820" s="4"/>
      <c r="I820" s="4"/>
      <c r="J820" s="4"/>
      <c r="K820" s="4"/>
      <c r="L820" s="53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76"/>
      <c r="F821" s="53"/>
      <c r="G821" s="4"/>
      <c r="H821" s="4"/>
      <c r="I821" s="4"/>
      <c r="J821" s="4"/>
      <c r="K821" s="4"/>
      <c r="L821" s="53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76"/>
      <c r="F822" s="53"/>
      <c r="G822" s="4"/>
      <c r="H822" s="4"/>
      <c r="I822" s="4"/>
      <c r="J822" s="4"/>
      <c r="K822" s="4"/>
      <c r="L822" s="53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76"/>
      <c r="F823" s="53"/>
      <c r="G823" s="4"/>
      <c r="H823" s="4"/>
      <c r="I823" s="4"/>
      <c r="J823" s="4"/>
      <c r="K823" s="4"/>
      <c r="L823" s="53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76"/>
      <c r="F824" s="53"/>
      <c r="G824" s="4"/>
      <c r="H824" s="4"/>
      <c r="I824" s="4"/>
      <c r="J824" s="4"/>
      <c r="K824" s="4"/>
      <c r="L824" s="53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76"/>
      <c r="F825" s="53"/>
      <c r="G825" s="4"/>
      <c r="H825" s="4"/>
      <c r="I825" s="4"/>
      <c r="J825" s="4"/>
      <c r="K825" s="4"/>
      <c r="L825" s="53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76"/>
      <c r="F826" s="53"/>
      <c r="G826" s="4"/>
      <c r="H826" s="4"/>
      <c r="I826" s="4"/>
      <c r="J826" s="4"/>
      <c r="K826" s="4"/>
      <c r="L826" s="53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76"/>
      <c r="F827" s="53"/>
      <c r="G827" s="4"/>
      <c r="H827" s="4"/>
      <c r="I827" s="4"/>
      <c r="J827" s="4"/>
      <c r="K827" s="4"/>
      <c r="L827" s="53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76"/>
      <c r="F828" s="53"/>
      <c r="G828" s="4"/>
      <c r="H828" s="4"/>
      <c r="I828" s="4"/>
      <c r="J828" s="4"/>
      <c r="K828" s="4"/>
      <c r="L828" s="53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76"/>
      <c r="F829" s="53"/>
      <c r="G829" s="4"/>
      <c r="H829" s="4"/>
      <c r="I829" s="4"/>
      <c r="J829" s="4"/>
      <c r="K829" s="4"/>
      <c r="L829" s="53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76"/>
      <c r="F830" s="53"/>
      <c r="G830" s="4"/>
      <c r="H830" s="4"/>
      <c r="I830" s="4"/>
      <c r="J830" s="4"/>
      <c r="K830" s="4"/>
      <c r="L830" s="53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76"/>
      <c r="F831" s="53"/>
      <c r="G831" s="4"/>
      <c r="H831" s="4"/>
      <c r="I831" s="4"/>
      <c r="J831" s="4"/>
      <c r="K831" s="4"/>
      <c r="L831" s="53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76"/>
      <c r="F832" s="53"/>
      <c r="G832" s="4"/>
      <c r="H832" s="4"/>
      <c r="I832" s="4"/>
      <c r="J832" s="4"/>
      <c r="K832" s="4"/>
      <c r="L832" s="53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76"/>
      <c r="F833" s="53"/>
      <c r="G833" s="4"/>
      <c r="H833" s="4"/>
      <c r="I833" s="4"/>
      <c r="J833" s="4"/>
      <c r="K833" s="4"/>
      <c r="L833" s="53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76"/>
      <c r="F834" s="53"/>
      <c r="G834" s="4"/>
      <c r="H834" s="4"/>
      <c r="I834" s="4"/>
      <c r="J834" s="4"/>
      <c r="K834" s="4"/>
      <c r="L834" s="53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76"/>
      <c r="F835" s="53"/>
      <c r="G835" s="4"/>
      <c r="H835" s="4"/>
      <c r="I835" s="4"/>
      <c r="J835" s="4"/>
      <c r="K835" s="4"/>
      <c r="L835" s="53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76"/>
      <c r="F836" s="53"/>
      <c r="G836" s="4"/>
      <c r="H836" s="4"/>
      <c r="I836" s="4"/>
      <c r="J836" s="4"/>
      <c r="K836" s="4"/>
      <c r="L836" s="53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76"/>
      <c r="F837" s="53"/>
      <c r="G837" s="4"/>
      <c r="H837" s="4"/>
      <c r="I837" s="4"/>
      <c r="J837" s="4"/>
      <c r="K837" s="4"/>
      <c r="L837" s="53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76"/>
      <c r="F838" s="53"/>
      <c r="G838" s="4"/>
      <c r="H838" s="4"/>
      <c r="I838" s="4"/>
      <c r="J838" s="4"/>
      <c r="K838" s="4"/>
      <c r="L838" s="53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76"/>
      <c r="F839" s="53"/>
      <c r="G839" s="4"/>
      <c r="H839" s="4"/>
      <c r="I839" s="4"/>
      <c r="J839" s="4"/>
      <c r="K839" s="4"/>
      <c r="L839" s="53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76"/>
      <c r="F840" s="53"/>
      <c r="G840" s="4"/>
      <c r="H840" s="4"/>
      <c r="I840" s="4"/>
      <c r="J840" s="4"/>
      <c r="K840" s="4"/>
      <c r="L840" s="53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76"/>
      <c r="F841" s="53"/>
      <c r="G841" s="4"/>
      <c r="H841" s="4"/>
      <c r="I841" s="4"/>
      <c r="J841" s="4"/>
      <c r="K841" s="4"/>
      <c r="L841" s="53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76"/>
      <c r="F842" s="53"/>
      <c r="G842" s="4"/>
      <c r="H842" s="4"/>
      <c r="I842" s="4"/>
      <c r="J842" s="4"/>
      <c r="K842" s="4"/>
      <c r="L842" s="53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76"/>
      <c r="F843" s="53"/>
      <c r="G843" s="4"/>
      <c r="H843" s="4"/>
      <c r="I843" s="4"/>
      <c r="J843" s="4"/>
      <c r="K843" s="4"/>
      <c r="L843" s="53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76"/>
      <c r="F844" s="53"/>
      <c r="G844" s="4"/>
      <c r="H844" s="4"/>
      <c r="I844" s="4"/>
      <c r="J844" s="4"/>
      <c r="K844" s="4"/>
      <c r="L844" s="53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76"/>
      <c r="F845" s="53"/>
      <c r="G845" s="4"/>
      <c r="H845" s="4"/>
      <c r="I845" s="4"/>
      <c r="J845" s="4"/>
      <c r="K845" s="4"/>
      <c r="L845" s="53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76"/>
      <c r="F846" s="53"/>
      <c r="G846" s="4"/>
      <c r="H846" s="4"/>
      <c r="I846" s="4"/>
      <c r="J846" s="4"/>
      <c r="K846" s="4"/>
      <c r="L846" s="53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76"/>
      <c r="F847" s="53"/>
      <c r="G847" s="4"/>
      <c r="H847" s="4"/>
      <c r="I847" s="4"/>
      <c r="J847" s="4"/>
      <c r="K847" s="4"/>
      <c r="L847" s="53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76"/>
      <c r="F848" s="53"/>
      <c r="G848" s="4"/>
      <c r="H848" s="4"/>
      <c r="I848" s="4"/>
      <c r="J848" s="4"/>
      <c r="K848" s="4"/>
      <c r="L848" s="53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76"/>
      <c r="F849" s="53"/>
      <c r="G849" s="4"/>
      <c r="H849" s="4"/>
      <c r="I849" s="4"/>
      <c r="J849" s="4"/>
      <c r="K849" s="4"/>
      <c r="L849" s="53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76"/>
      <c r="F850" s="53"/>
      <c r="G850" s="4"/>
      <c r="H850" s="4"/>
      <c r="I850" s="4"/>
      <c r="J850" s="4"/>
      <c r="K850" s="4"/>
      <c r="L850" s="53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76"/>
      <c r="F851" s="53"/>
      <c r="G851" s="4"/>
      <c r="H851" s="4"/>
      <c r="I851" s="4"/>
      <c r="J851" s="4"/>
      <c r="K851" s="4"/>
      <c r="L851" s="53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76"/>
      <c r="F852" s="53"/>
      <c r="G852" s="4"/>
      <c r="H852" s="4"/>
      <c r="I852" s="4"/>
      <c r="J852" s="4"/>
      <c r="K852" s="4"/>
      <c r="L852" s="53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76"/>
      <c r="F853" s="53"/>
      <c r="G853" s="4"/>
      <c r="H853" s="4"/>
      <c r="I853" s="4"/>
      <c r="J853" s="4"/>
      <c r="K853" s="4"/>
      <c r="L853" s="53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76"/>
      <c r="F854" s="53"/>
      <c r="G854" s="4"/>
      <c r="H854" s="4"/>
      <c r="I854" s="4"/>
      <c r="J854" s="4"/>
      <c r="K854" s="4"/>
      <c r="L854" s="53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76"/>
      <c r="F855" s="53"/>
      <c r="G855" s="4"/>
      <c r="H855" s="4"/>
      <c r="I855" s="4"/>
      <c r="J855" s="4"/>
      <c r="K855" s="4"/>
      <c r="L855" s="53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76"/>
      <c r="F856" s="53"/>
      <c r="G856" s="4"/>
      <c r="H856" s="4"/>
      <c r="I856" s="4"/>
      <c r="J856" s="4"/>
      <c r="K856" s="4"/>
      <c r="L856" s="53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76"/>
      <c r="F857" s="53"/>
      <c r="G857" s="4"/>
      <c r="H857" s="4"/>
      <c r="I857" s="4"/>
      <c r="J857" s="4"/>
      <c r="K857" s="4"/>
      <c r="L857" s="53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76"/>
      <c r="F858" s="53"/>
      <c r="G858" s="4"/>
      <c r="H858" s="4"/>
      <c r="I858" s="4"/>
      <c r="J858" s="4"/>
      <c r="K858" s="4"/>
      <c r="L858" s="53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76"/>
      <c r="F859" s="53"/>
      <c r="G859" s="4"/>
      <c r="H859" s="4"/>
      <c r="I859" s="4"/>
      <c r="J859" s="4"/>
      <c r="K859" s="4"/>
      <c r="L859" s="53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76"/>
      <c r="F860" s="53"/>
      <c r="G860" s="4"/>
      <c r="H860" s="4"/>
      <c r="I860" s="4"/>
      <c r="J860" s="4"/>
      <c r="K860" s="4"/>
      <c r="L860" s="53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76"/>
      <c r="F861" s="53"/>
      <c r="G861" s="4"/>
      <c r="H861" s="4"/>
      <c r="I861" s="4"/>
      <c r="J861" s="4"/>
      <c r="K861" s="4"/>
      <c r="L861" s="53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76"/>
      <c r="F862" s="53"/>
      <c r="G862" s="4"/>
      <c r="H862" s="4"/>
      <c r="I862" s="4"/>
      <c r="J862" s="4"/>
      <c r="K862" s="4"/>
      <c r="L862" s="53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76"/>
      <c r="F863" s="53"/>
      <c r="G863" s="4"/>
      <c r="H863" s="4"/>
      <c r="I863" s="4"/>
      <c r="J863" s="4"/>
      <c r="K863" s="4"/>
      <c r="L863" s="53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76"/>
      <c r="F864" s="53"/>
      <c r="G864" s="4"/>
      <c r="H864" s="4"/>
      <c r="I864" s="4"/>
      <c r="J864" s="4"/>
      <c r="K864" s="4"/>
      <c r="L864" s="53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76"/>
      <c r="F865" s="53"/>
      <c r="G865" s="4"/>
      <c r="H865" s="4"/>
      <c r="I865" s="4"/>
      <c r="J865" s="4"/>
      <c r="K865" s="4"/>
      <c r="L865" s="53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76"/>
      <c r="F866" s="53"/>
      <c r="G866" s="4"/>
      <c r="H866" s="4"/>
      <c r="I866" s="4"/>
      <c r="J866" s="4"/>
      <c r="K866" s="4"/>
      <c r="L866" s="53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76"/>
      <c r="F867" s="53"/>
      <c r="G867" s="4"/>
      <c r="H867" s="4"/>
      <c r="I867" s="4"/>
      <c r="J867" s="4"/>
      <c r="K867" s="4"/>
      <c r="L867" s="53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76"/>
      <c r="F868" s="53"/>
      <c r="G868" s="4"/>
      <c r="H868" s="4"/>
      <c r="I868" s="4"/>
      <c r="J868" s="4"/>
      <c r="K868" s="4"/>
      <c r="L868" s="53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76"/>
      <c r="F869" s="53"/>
      <c r="G869" s="4"/>
      <c r="H869" s="4"/>
      <c r="I869" s="4"/>
      <c r="J869" s="4"/>
      <c r="K869" s="4"/>
      <c r="L869" s="53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76"/>
      <c r="F870" s="53"/>
      <c r="G870" s="4"/>
      <c r="H870" s="4"/>
      <c r="I870" s="4"/>
      <c r="J870" s="4"/>
      <c r="K870" s="4"/>
      <c r="L870" s="53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76"/>
      <c r="F871" s="53"/>
      <c r="G871" s="4"/>
      <c r="H871" s="4"/>
      <c r="I871" s="4"/>
      <c r="J871" s="4"/>
      <c r="K871" s="4"/>
      <c r="L871" s="53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76"/>
      <c r="F872" s="53"/>
      <c r="G872" s="4"/>
      <c r="H872" s="4"/>
      <c r="I872" s="4"/>
      <c r="J872" s="4"/>
      <c r="K872" s="4"/>
      <c r="L872" s="53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76"/>
      <c r="F873" s="53"/>
      <c r="G873" s="4"/>
      <c r="H873" s="4"/>
      <c r="I873" s="4"/>
      <c r="J873" s="4"/>
      <c r="K873" s="4"/>
      <c r="L873" s="53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76"/>
      <c r="F874" s="53"/>
      <c r="G874" s="4"/>
      <c r="H874" s="4"/>
      <c r="I874" s="4"/>
      <c r="J874" s="4"/>
      <c r="K874" s="4"/>
      <c r="L874" s="53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76"/>
      <c r="F875" s="53"/>
      <c r="G875" s="4"/>
      <c r="H875" s="4"/>
      <c r="I875" s="4"/>
      <c r="J875" s="4"/>
      <c r="K875" s="4"/>
      <c r="L875" s="53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76"/>
      <c r="F876" s="53"/>
      <c r="G876" s="4"/>
      <c r="H876" s="4"/>
      <c r="I876" s="4"/>
      <c r="J876" s="4"/>
      <c r="K876" s="4"/>
      <c r="L876" s="53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76"/>
      <c r="F877" s="53"/>
      <c r="G877" s="4"/>
      <c r="H877" s="4"/>
      <c r="I877" s="4"/>
      <c r="J877" s="4"/>
      <c r="K877" s="4"/>
      <c r="L877" s="53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76"/>
      <c r="F878" s="53"/>
      <c r="G878" s="4"/>
      <c r="H878" s="4"/>
      <c r="I878" s="4"/>
      <c r="J878" s="4"/>
      <c r="K878" s="4"/>
      <c r="L878" s="53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76"/>
      <c r="F879" s="53"/>
      <c r="G879" s="4"/>
      <c r="H879" s="4"/>
      <c r="I879" s="4"/>
      <c r="J879" s="4"/>
      <c r="K879" s="4"/>
      <c r="L879" s="53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76"/>
      <c r="F880" s="53"/>
      <c r="G880" s="4"/>
      <c r="H880" s="4"/>
      <c r="I880" s="4"/>
      <c r="J880" s="4"/>
      <c r="K880" s="4"/>
      <c r="L880" s="53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76"/>
      <c r="F881" s="53"/>
      <c r="G881" s="4"/>
      <c r="H881" s="4"/>
      <c r="I881" s="4"/>
      <c r="J881" s="4"/>
      <c r="K881" s="4"/>
      <c r="L881" s="53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76"/>
      <c r="F882" s="53"/>
      <c r="G882" s="4"/>
      <c r="H882" s="4"/>
      <c r="I882" s="4"/>
      <c r="J882" s="4"/>
      <c r="K882" s="4"/>
      <c r="L882" s="53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76"/>
      <c r="F883" s="53"/>
      <c r="G883" s="4"/>
      <c r="H883" s="4"/>
      <c r="I883" s="4"/>
      <c r="J883" s="4"/>
      <c r="K883" s="4"/>
      <c r="L883" s="53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76"/>
      <c r="F884" s="53"/>
      <c r="G884" s="4"/>
      <c r="H884" s="4"/>
      <c r="I884" s="4"/>
      <c r="J884" s="4"/>
      <c r="K884" s="4"/>
      <c r="L884" s="53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76"/>
      <c r="F885" s="53"/>
      <c r="G885" s="4"/>
      <c r="H885" s="4"/>
      <c r="I885" s="4"/>
      <c r="J885" s="4"/>
      <c r="K885" s="4"/>
      <c r="L885" s="53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76"/>
      <c r="F886" s="53"/>
      <c r="G886" s="4"/>
      <c r="H886" s="4"/>
      <c r="I886" s="4"/>
      <c r="J886" s="4"/>
      <c r="K886" s="4"/>
      <c r="L886" s="53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76"/>
      <c r="F887" s="53"/>
      <c r="G887" s="4"/>
      <c r="H887" s="4"/>
      <c r="I887" s="4"/>
      <c r="J887" s="4"/>
      <c r="K887" s="4"/>
      <c r="L887" s="53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76"/>
      <c r="F888" s="53"/>
      <c r="G888" s="4"/>
      <c r="H888" s="4"/>
      <c r="I888" s="4"/>
      <c r="J888" s="4"/>
      <c r="K888" s="4"/>
      <c r="L888" s="53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76"/>
      <c r="F889" s="53"/>
      <c r="G889" s="4"/>
      <c r="H889" s="4"/>
      <c r="I889" s="4"/>
      <c r="J889" s="4"/>
      <c r="K889" s="4"/>
      <c r="L889" s="53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76"/>
      <c r="F890" s="53"/>
      <c r="G890" s="4"/>
      <c r="H890" s="4"/>
      <c r="I890" s="4"/>
      <c r="J890" s="4"/>
      <c r="K890" s="4"/>
      <c r="L890" s="53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76"/>
      <c r="F891" s="53"/>
      <c r="G891" s="4"/>
      <c r="H891" s="4"/>
      <c r="I891" s="4"/>
      <c r="J891" s="4"/>
      <c r="K891" s="4"/>
      <c r="L891" s="53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76"/>
      <c r="F892" s="53"/>
      <c r="G892" s="4"/>
      <c r="H892" s="4"/>
      <c r="I892" s="4"/>
      <c r="J892" s="4"/>
      <c r="K892" s="4"/>
      <c r="L892" s="53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76"/>
      <c r="F893" s="53"/>
      <c r="G893" s="4"/>
      <c r="H893" s="4"/>
      <c r="I893" s="4"/>
      <c r="J893" s="4"/>
      <c r="K893" s="4"/>
      <c r="L893" s="53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76"/>
      <c r="F894" s="53"/>
      <c r="G894" s="4"/>
      <c r="H894" s="4"/>
      <c r="I894" s="4"/>
      <c r="J894" s="4"/>
      <c r="K894" s="4"/>
      <c r="L894" s="53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76"/>
      <c r="F895" s="53"/>
      <c r="G895" s="4"/>
      <c r="H895" s="4"/>
      <c r="I895" s="4"/>
      <c r="J895" s="4"/>
      <c r="K895" s="4"/>
      <c r="L895" s="53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76"/>
      <c r="F896" s="53"/>
      <c r="G896" s="4"/>
      <c r="H896" s="4"/>
      <c r="I896" s="4"/>
      <c r="J896" s="4"/>
      <c r="K896" s="4"/>
      <c r="L896" s="53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76"/>
      <c r="F897" s="53"/>
      <c r="G897" s="4"/>
      <c r="H897" s="4"/>
      <c r="I897" s="4"/>
      <c r="J897" s="4"/>
      <c r="K897" s="4"/>
      <c r="L897" s="53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76"/>
      <c r="F898" s="53"/>
      <c r="G898" s="4"/>
      <c r="H898" s="4"/>
      <c r="I898" s="4"/>
      <c r="J898" s="4"/>
      <c r="K898" s="4"/>
      <c r="L898" s="53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76"/>
      <c r="F899" s="53"/>
      <c r="G899" s="4"/>
      <c r="H899" s="4"/>
      <c r="I899" s="4"/>
      <c r="J899" s="4"/>
      <c r="K899" s="4"/>
      <c r="L899" s="53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76"/>
      <c r="F900" s="53"/>
      <c r="G900" s="4"/>
      <c r="H900" s="4"/>
      <c r="I900" s="4"/>
      <c r="J900" s="4"/>
      <c r="K900" s="4"/>
      <c r="L900" s="53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76"/>
      <c r="F901" s="53"/>
      <c r="G901" s="4"/>
      <c r="H901" s="4"/>
      <c r="I901" s="4"/>
      <c r="J901" s="4"/>
      <c r="K901" s="4"/>
      <c r="L901" s="53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76"/>
      <c r="F902" s="53"/>
      <c r="G902" s="4"/>
      <c r="H902" s="4"/>
      <c r="I902" s="4"/>
      <c r="J902" s="4"/>
      <c r="K902" s="4"/>
      <c r="L902" s="53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76"/>
      <c r="F903" s="53"/>
      <c r="G903" s="4"/>
      <c r="H903" s="4"/>
      <c r="I903" s="4"/>
      <c r="J903" s="4"/>
      <c r="K903" s="4"/>
      <c r="L903" s="53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76"/>
      <c r="F904" s="53"/>
      <c r="G904" s="4"/>
      <c r="H904" s="4"/>
      <c r="I904" s="4"/>
      <c r="J904" s="4"/>
      <c r="K904" s="4"/>
      <c r="L904" s="53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76"/>
      <c r="F905" s="53"/>
      <c r="G905" s="4"/>
      <c r="H905" s="4"/>
      <c r="I905" s="4"/>
      <c r="J905" s="4"/>
      <c r="K905" s="4"/>
      <c r="L905" s="53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76"/>
      <c r="F906" s="53"/>
      <c r="G906" s="4"/>
      <c r="H906" s="4"/>
      <c r="I906" s="4"/>
      <c r="J906" s="4"/>
      <c r="K906" s="4"/>
      <c r="L906" s="53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76"/>
      <c r="F907" s="53"/>
      <c r="G907" s="4"/>
      <c r="H907" s="4"/>
      <c r="I907" s="4"/>
      <c r="J907" s="4"/>
      <c r="K907" s="4"/>
      <c r="L907" s="53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76"/>
      <c r="F908" s="53"/>
      <c r="G908" s="4"/>
      <c r="H908" s="4"/>
      <c r="I908" s="4"/>
      <c r="J908" s="4"/>
      <c r="K908" s="4"/>
      <c r="L908" s="53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76"/>
      <c r="F909" s="53"/>
      <c r="G909" s="4"/>
      <c r="H909" s="4"/>
      <c r="I909" s="4"/>
      <c r="J909" s="4"/>
      <c r="K909" s="4"/>
      <c r="L909" s="53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76"/>
      <c r="F910" s="53"/>
      <c r="G910" s="4"/>
      <c r="H910" s="4"/>
      <c r="I910" s="4"/>
      <c r="J910" s="4"/>
      <c r="K910" s="4"/>
      <c r="L910" s="53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76"/>
      <c r="F911" s="53"/>
      <c r="G911" s="4"/>
      <c r="H911" s="4"/>
      <c r="I911" s="4"/>
      <c r="J911" s="4"/>
      <c r="K911" s="4"/>
      <c r="L911" s="53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76"/>
      <c r="F912" s="53"/>
      <c r="G912" s="4"/>
      <c r="H912" s="4"/>
      <c r="I912" s="4"/>
      <c r="J912" s="4"/>
      <c r="K912" s="4"/>
      <c r="L912" s="53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76"/>
      <c r="F913" s="53"/>
      <c r="G913" s="4"/>
      <c r="H913" s="4"/>
      <c r="I913" s="4"/>
      <c r="J913" s="4"/>
      <c r="K913" s="4"/>
      <c r="L913" s="53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76"/>
      <c r="F914" s="53"/>
      <c r="G914" s="4"/>
      <c r="H914" s="4"/>
      <c r="I914" s="4"/>
      <c r="J914" s="4"/>
      <c r="K914" s="4"/>
      <c r="L914" s="53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76"/>
      <c r="F915" s="53"/>
      <c r="G915" s="4"/>
      <c r="H915" s="4"/>
      <c r="I915" s="4"/>
      <c r="J915" s="4"/>
      <c r="K915" s="4"/>
      <c r="L915" s="53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76"/>
      <c r="F916" s="53"/>
      <c r="G916" s="4"/>
      <c r="H916" s="4"/>
      <c r="I916" s="4"/>
      <c r="J916" s="4"/>
      <c r="K916" s="4"/>
      <c r="L916" s="53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76"/>
      <c r="F917" s="53"/>
      <c r="G917" s="4"/>
      <c r="H917" s="4"/>
      <c r="I917" s="4"/>
      <c r="J917" s="4"/>
      <c r="K917" s="4"/>
      <c r="L917" s="53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76"/>
      <c r="F918" s="53"/>
      <c r="G918" s="4"/>
      <c r="H918" s="4"/>
      <c r="I918" s="4"/>
      <c r="J918" s="4"/>
      <c r="K918" s="4"/>
      <c r="L918" s="53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76"/>
      <c r="F919" s="53"/>
      <c r="G919" s="4"/>
      <c r="H919" s="4"/>
      <c r="I919" s="4"/>
      <c r="J919" s="4"/>
      <c r="K919" s="4"/>
      <c r="L919" s="53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76"/>
      <c r="F920" s="53"/>
      <c r="G920" s="4"/>
      <c r="H920" s="4"/>
      <c r="I920" s="4"/>
      <c r="J920" s="4"/>
      <c r="K920" s="4"/>
      <c r="L920" s="53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76"/>
      <c r="F921" s="53"/>
      <c r="G921" s="4"/>
      <c r="H921" s="4"/>
      <c r="I921" s="4"/>
      <c r="J921" s="4"/>
      <c r="K921" s="4"/>
      <c r="L921" s="53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76"/>
      <c r="F922" s="53"/>
      <c r="G922" s="4"/>
      <c r="H922" s="4"/>
      <c r="I922" s="4"/>
      <c r="J922" s="4"/>
      <c r="K922" s="4"/>
      <c r="L922" s="53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76"/>
      <c r="F923" s="53"/>
      <c r="G923" s="4"/>
      <c r="H923" s="4"/>
      <c r="I923" s="4"/>
      <c r="J923" s="4"/>
      <c r="K923" s="4"/>
      <c r="L923" s="53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76"/>
      <c r="F924" s="53"/>
      <c r="G924" s="4"/>
      <c r="H924" s="4"/>
      <c r="I924" s="4"/>
      <c r="J924" s="4"/>
      <c r="K924" s="4"/>
      <c r="L924" s="53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76"/>
      <c r="F925" s="53"/>
      <c r="G925" s="4"/>
      <c r="H925" s="4"/>
      <c r="I925" s="4"/>
      <c r="J925" s="4"/>
      <c r="K925" s="4"/>
      <c r="L925" s="53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76"/>
      <c r="F926" s="53"/>
      <c r="G926" s="4"/>
      <c r="H926" s="4"/>
      <c r="I926" s="4"/>
      <c r="J926" s="4"/>
      <c r="K926" s="4"/>
      <c r="L926" s="53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76"/>
      <c r="F927" s="53"/>
      <c r="G927" s="4"/>
      <c r="H927" s="4"/>
      <c r="I927" s="4"/>
      <c r="J927" s="4"/>
      <c r="K927" s="4"/>
      <c r="L927" s="53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76"/>
      <c r="F928" s="53"/>
      <c r="G928" s="4"/>
      <c r="H928" s="4"/>
      <c r="I928" s="4"/>
      <c r="J928" s="4"/>
      <c r="K928" s="4"/>
      <c r="L928" s="53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76"/>
      <c r="F929" s="53"/>
      <c r="G929" s="4"/>
      <c r="H929" s="4"/>
      <c r="I929" s="4"/>
      <c r="J929" s="4"/>
      <c r="K929" s="4"/>
      <c r="L929" s="53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76"/>
      <c r="F930" s="53"/>
      <c r="G930" s="4"/>
      <c r="H930" s="4"/>
      <c r="I930" s="4"/>
      <c r="J930" s="4"/>
      <c r="K930" s="4"/>
      <c r="L930" s="53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76"/>
      <c r="F931" s="53"/>
      <c r="G931" s="4"/>
      <c r="H931" s="4"/>
      <c r="I931" s="4"/>
      <c r="J931" s="4"/>
      <c r="K931" s="4"/>
      <c r="L931" s="53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76"/>
      <c r="F932" s="53"/>
      <c r="G932" s="4"/>
      <c r="H932" s="4"/>
      <c r="I932" s="4"/>
      <c r="J932" s="4"/>
      <c r="K932" s="4"/>
      <c r="L932" s="53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76"/>
      <c r="F933" s="53"/>
      <c r="G933" s="4"/>
      <c r="H933" s="4"/>
      <c r="I933" s="4"/>
      <c r="J933" s="4"/>
      <c r="K933" s="4"/>
      <c r="L933" s="53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76"/>
      <c r="F934" s="53"/>
      <c r="G934" s="4"/>
      <c r="H934" s="4"/>
      <c r="I934" s="4"/>
      <c r="J934" s="4"/>
      <c r="K934" s="4"/>
      <c r="L934" s="53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76"/>
      <c r="F935" s="53"/>
      <c r="G935" s="4"/>
      <c r="H935" s="4"/>
      <c r="I935" s="4"/>
      <c r="J935" s="4"/>
      <c r="K935" s="4"/>
      <c r="L935" s="53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76"/>
      <c r="F936" s="53"/>
      <c r="G936" s="4"/>
      <c r="H936" s="4"/>
      <c r="I936" s="4"/>
      <c r="J936" s="4"/>
      <c r="K936" s="4"/>
      <c r="L936" s="53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76"/>
      <c r="F937" s="53"/>
      <c r="G937" s="4"/>
      <c r="H937" s="4"/>
      <c r="I937" s="4"/>
      <c r="J937" s="4"/>
      <c r="K937" s="4"/>
      <c r="L937" s="53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76"/>
      <c r="F938" s="53"/>
      <c r="G938" s="4"/>
      <c r="H938" s="4"/>
      <c r="I938" s="4"/>
      <c r="J938" s="4"/>
      <c r="K938" s="4"/>
      <c r="L938" s="53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76"/>
      <c r="F939" s="53"/>
      <c r="G939" s="4"/>
      <c r="H939" s="4"/>
      <c r="I939" s="4"/>
      <c r="J939" s="4"/>
      <c r="K939" s="4"/>
      <c r="L939" s="53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76"/>
      <c r="F940" s="53"/>
      <c r="G940" s="4"/>
      <c r="H940" s="4"/>
      <c r="I940" s="4"/>
      <c r="J940" s="4"/>
      <c r="K940" s="4"/>
      <c r="L940" s="53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76"/>
      <c r="F941" s="53"/>
      <c r="G941" s="4"/>
      <c r="H941" s="4"/>
      <c r="I941" s="4"/>
      <c r="J941" s="4"/>
      <c r="K941" s="4"/>
      <c r="L941" s="53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76"/>
      <c r="F942" s="53"/>
      <c r="G942" s="4"/>
      <c r="H942" s="4"/>
      <c r="I942" s="4"/>
      <c r="J942" s="4"/>
      <c r="K942" s="4"/>
      <c r="L942" s="53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76"/>
      <c r="F943" s="53"/>
      <c r="G943" s="4"/>
      <c r="H943" s="4"/>
      <c r="I943" s="4"/>
      <c r="J943" s="4"/>
      <c r="K943" s="4"/>
      <c r="L943" s="53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76"/>
      <c r="F944" s="53"/>
      <c r="G944" s="4"/>
      <c r="H944" s="4"/>
      <c r="I944" s="4"/>
      <c r="J944" s="4"/>
      <c r="K944" s="4"/>
      <c r="L944" s="53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76"/>
      <c r="F945" s="53"/>
      <c r="G945" s="4"/>
      <c r="H945" s="4"/>
      <c r="I945" s="4"/>
      <c r="J945" s="4"/>
      <c r="K945" s="4"/>
      <c r="L945" s="53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76"/>
      <c r="F946" s="53"/>
      <c r="G946" s="4"/>
      <c r="H946" s="4"/>
      <c r="I946" s="4"/>
      <c r="J946" s="4"/>
      <c r="K946" s="4"/>
      <c r="L946" s="53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76"/>
      <c r="F947" s="53"/>
      <c r="G947" s="4"/>
      <c r="H947" s="4"/>
      <c r="I947" s="4"/>
      <c r="J947" s="4"/>
      <c r="K947" s="4"/>
      <c r="L947" s="53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76"/>
      <c r="F948" s="53"/>
      <c r="G948" s="4"/>
      <c r="H948" s="4"/>
      <c r="I948" s="4"/>
      <c r="J948" s="4"/>
      <c r="K948" s="4"/>
      <c r="L948" s="53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76"/>
      <c r="F949" s="53"/>
      <c r="G949" s="4"/>
      <c r="H949" s="4"/>
      <c r="I949" s="4"/>
      <c r="J949" s="4"/>
      <c r="K949" s="4"/>
      <c r="L949" s="53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76"/>
      <c r="F950" s="53"/>
      <c r="G950" s="4"/>
      <c r="H950" s="4"/>
      <c r="I950" s="4"/>
      <c r="J950" s="4"/>
      <c r="K950" s="4"/>
      <c r="L950" s="53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76"/>
      <c r="F951" s="53"/>
      <c r="G951" s="4"/>
      <c r="H951" s="4"/>
      <c r="I951" s="4"/>
      <c r="J951" s="4"/>
      <c r="K951" s="4"/>
      <c r="L951" s="53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76"/>
      <c r="F952" s="53"/>
      <c r="G952" s="4"/>
      <c r="H952" s="4"/>
      <c r="I952" s="4"/>
      <c r="J952" s="4"/>
      <c r="K952" s="4"/>
      <c r="L952" s="53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76"/>
      <c r="F953" s="53"/>
      <c r="G953" s="4"/>
      <c r="H953" s="4"/>
      <c r="I953" s="4"/>
      <c r="J953" s="4"/>
      <c r="K953" s="4"/>
      <c r="L953" s="53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76"/>
      <c r="F954" s="53"/>
      <c r="G954" s="4"/>
      <c r="H954" s="4"/>
      <c r="I954" s="4"/>
      <c r="J954" s="4"/>
      <c r="K954" s="4"/>
      <c r="L954" s="53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76"/>
      <c r="F955" s="53"/>
      <c r="G955" s="4"/>
      <c r="H955" s="4"/>
      <c r="I955" s="4"/>
      <c r="J955" s="4"/>
      <c r="K955" s="4"/>
      <c r="L955" s="53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76"/>
      <c r="F956" s="53"/>
      <c r="G956" s="4"/>
      <c r="H956" s="4"/>
      <c r="I956" s="4"/>
      <c r="J956" s="4"/>
      <c r="K956" s="4"/>
      <c r="L956" s="53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76"/>
      <c r="F957" s="53"/>
      <c r="G957" s="4"/>
      <c r="H957" s="4"/>
      <c r="I957" s="4"/>
      <c r="J957" s="4"/>
      <c r="K957" s="4"/>
      <c r="L957" s="53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76"/>
      <c r="F958" s="53"/>
      <c r="G958" s="4"/>
      <c r="H958" s="4"/>
      <c r="I958" s="4"/>
      <c r="J958" s="4"/>
      <c r="K958" s="4"/>
      <c r="L958" s="53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76"/>
      <c r="F959" s="53"/>
      <c r="G959" s="4"/>
      <c r="H959" s="4"/>
      <c r="I959" s="4"/>
      <c r="J959" s="4"/>
      <c r="K959" s="4"/>
      <c r="L959" s="53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76"/>
      <c r="F960" s="53"/>
      <c r="G960" s="4"/>
      <c r="H960" s="4"/>
      <c r="I960" s="4"/>
      <c r="J960" s="4"/>
      <c r="K960" s="4"/>
      <c r="L960" s="53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76"/>
      <c r="F961" s="53"/>
      <c r="G961" s="4"/>
      <c r="H961" s="4"/>
      <c r="I961" s="4"/>
      <c r="J961" s="4"/>
      <c r="K961" s="4"/>
      <c r="L961" s="53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76"/>
      <c r="F962" s="53"/>
      <c r="G962" s="4"/>
      <c r="H962" s="4"/>
      <c r="I962" s="4"/>
      <c r="J962" s="4"/>
      <c r="K962" s="4"/>
      <c r="L962" s="53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76"/>
      <c r="F963" s="53"/>
      <c r="G963" s="4"/>
      <c r="H963" s="4"/>
      <c r="I963" s="4"/>
      <c r="J963" s="4"/>
      <c r="K963" s="4"/>
      <c r="L963" s="53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76"/>
      <c r="F964" s="53"/>
      <c r="G964" s="4"/>
      <c r="H964" s="4"/>
      <c r="I964" s="4"/>
      <c r="J964" s="4"/>
      <c r="K964" s="4"/>
      <c r="L964" s="53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76"/>
      <c r="F965" s="53"/>
      <c r="G965" s="4"/>
      <c r="H965" s="4"/>
      <c r="I965" s="4"/>
      <c r="J965" s="4"/>
      <c r="K965" s="4"/>
      <c r="L965" s="53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76"/>
      <c r="F966" s="53"/>
      <c r="G966" s="4"/>
      <c r="H966" s="4"/>
      <c r="I966" s="4"/>
      <c r="J966" s="4"/>
      <c r="K966" s="4"/>
      <c r="L966" s="53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76"/>
      <c r="F967" s="53"/>
      <c r="G967" s="4"/>
      <c r="H967" s="4"/>
      <c r="I967" s="4"/>
      <c r="J967" s="4"/>
      <c r="K967" s="4"/>
      <c r="L967" s="53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76"/>
      <c r="F968" s="53"/>
      <c r="G968" s="4"/>
      <c r="H968" s="4"/>
      <c r="I968" s="4"/>
      <c r="J968" s="4"/>
      <c r="K968" s="4"/>
      <c r="L968" s="53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76"/>
      <c r="F969" s="53"/>
      <c r="G969" s="4"/>
      <c r="H969" s="4"/>
      <c r="I969" s="4"/>
      <c r="J969" s="4"/>
      <c r="K969" s="4"/>
      <c r="L969" s="53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76"/>
      <c r="F970" s="53"/>
      <c r="G970" s="4"/>
      <c r="H970" s="4"/>
      <c r="I970" s="4"/>
      <c r="J970" s="4"/>
      <c r="K970" s="4"/>
      <c r="L970" s="53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76"/>
      <c r="F971" s="53"/>
      <c r="G971" s="4"/>
      <c r="H971" s="4"/>
      <c r="I971" s="4"/>
      <c r="J971" s="4"/>
      <c r="K971" s="4"/>
      <c r="L971" s="53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76"/>
      <c r="F972" s="53"/>
      <c r="G972" s="4"/>
      <c r="H972" s="4"/>
      <c r="I972" s="4"/>
      <c r="J972" s="4"/>
      <c r="K972" s="4"/>
      <c r="L972" s="53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76"/>
      <c r="F973" s="53"/>
      <c r="G973" s="4"/>
      <c r="H973" s="4"/>
      <c r="I973" s="4"/>
      <c r="J973" s="4"/>
      <c r="K973" s="4"/>
      <c r="L973" s="53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76"/>
      <c r="F974" s="53"/>
      <c r="G974" s="4"/>
      <c r="H974" s="4"/>
      <c r="I974" s="4"/>
      <c r="J974" s="4"/>
      <c r="K974" s="4"/>
      <c r="L974" s="53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76"/>
      <c r="F975" s="53"/>
      <c r="G975" s="4"/>
      <c r="H975" s="4"/>
      <c r="I975" s="4"/>
      <c r="J975" s="4"/>
      <c r="K975" s="4"/>
      <c r="L975" s="53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76"/>
      <c r="F976" s="53"/>
      <c r="G976" s="4"/>
      <c r="H976" s="4"/>
      <c r="I976" s="4"/>
      <c r="J976" s="4"/>
      <c r="K976" s="4"/>
      <c r="L976" s="53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76"/>
      <c r="F977" s="53"/>
      <c r="G977" s="4"/>
      <c r="H977" s="4"/>
      <c r="I977" s="4"/>
      <c r="J977" s="4"/>
      <c r="K977" s="4"/>
      <c r="L977" s="53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76"/>
      <c r="F978" s="53"/>
      <c r="G978" s="4"/>
      <c r="H978" s="4"/>
      <c r="I978" s="4"/>
      <c r="J978" s="4"/>
      <c r="K978" s="4"/>
      <c r="L978" s="53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76"/>
      <c r="F979" s="53"/>
      <c r="G979" s="4"/>
      <c r="H979" s="4"/>
      <c r="I979" s="4"/>
      <c r="J979" s="4"/>
      <c r="K979" s="4"/>
      <c r="L979" s="53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76"/>
      <c r="F980" s="53"/>
      <c r="G980" s="4"/>
      <c r="H980" s="4"/>
      <c r="I980" s="4"/>
      <c r="J980" s="4"/>
      <c r="K980" s="4"/>
      <c r="L980" s="53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76"/>
      <c r="F981" s="53"/>
      <c r="G981" s="4"/>
      <c r="H981" s="4"/>
      <c r="I981" s="4"/>
      <c r="J981" s="4"/>
      <c r="K981" s="4"/>
      <c r="L981" s="53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76"/>
      <c r="F982" s="53"/>
      <c r="G982" s="4"/>
      <c r="H982" s="4"/>
      <c r="I982" s="4"/>
      <c r="J982" s="4"/>
      <c r="K982" s="4"/>
      <c r="L982" s="53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76"/>
      <c r="F983" s="53"/>
      <c r="G983" s="4"/>
      <c r="H983" s="4"/>
      <c r="I983" s="4"/>
      <c r="J983" s="4"/>
      <c r="K983" s="4"/>
      <c r="L983" s="53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76"/>
      <c r="F984" s="53"/>
      <c r="G984" s="4"/>
      <c r="H984" s="4"/>
      <c r="I984" s="4"/>
      <c r="J984" s="4"/>
      <c r="K984" s="4"/>
      <c r="L984" s="53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76"/>
      <c r="F985" s="53"/>
      <c r="G985" s="4"/>
      <c r="H985" s="4"/>
      <c r="I985" s="4"/>
      <c r="J985" s="4"/>
      <c r="K985" s="4"/>
      <c r="L985" s="53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76"/>
      <c r="F986" s="53"/>
      <c r="G986" s="4"/>
      <c r="H986" s="4"/>
      <c r="I986" s="4"/>
      <c r="J986" s="4"/>
      <c r="K986" s="4"/>
      <c r="L986" s="53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76"/>
      <c r="F987" s="53"/>
      <c r="G987" s="4"/>
      <c r="H987" s="4"/>
      <c r="I987" s="4"/>
      <c r="J987" s="4"/>
      <c r="K987" s="4"/>
      <c r="L987" s="53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76"/>
      <c r="F988" s="53"/>
      <c r="G988" s="4"/>
      <c r="H988" s="4"/>
      <c r="I988" s="4"/>
      <c r="J988" s="4"/>
      <c r="K988" s="4"/>
      <c r="L988" s="53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76"/>
      <c r="F989" s="53"/>
      <c r="G989" s="4"/>
      <c r="H989" s="4"/>
      <c r="I989" s="4"/>
      <c r="J989" s="4"/>
      <c r="K989" s="4"/>
      <c r="L989" s="53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76"/>
      <c r="F990" s="53"/>
      <c r="G990" s="4"/>
      <c r="H990" s="4"/>
      <c r="I990" s="4"/>
      <c r="J990" s="4"/>
      <c r="K990" s="4"/>
      <c r="L990" s="53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76"/>
      <c r="F991" s="53"/>
      <c r="G991" s="4"/>
      <c r="H991" s="4"/>
      <c r="I991" s="4"/>
      <c r="J991" s="4"/>
      <c r="K991" s="4"/>
      <c r="L991" s="53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76"/>
      <c r="F992" s="53"/>
      <c r="G992" s="4"/>
      <c r="H992" s="4"/>
      <c r="I992" s="4"/>
      <c r="J992" s="4"/>
      <c r="K992" s="4"/>
      <c r="L992" s="53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76"/>
      <c r="F993" s="53"/>
      <c r="G993" s="4"/>
      <c r="H993" s="4"/>
      <c r="I993" s="4"/>
      <c r="J993" s="4"/>
      <c r="K993" s="4"/>
      <c r="L993" s="53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76"/>
      <c r="F994" s="53"/>
      <c r="G994" s="4"/>
      <c r="H994" s="4"/>
      <c r="I994" s="4"/>
      <c r="J994" s="4"/>
      <c r="K994" s="4"/>
      <c r="L994" s="53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76"/>
      <c r="F995" s="53"/>
      <c r="G995" s="4"/>
      <c r="H995" s="4"/>
      <c r="I995" s="4"/>
      <c r="J995" s="4"/>
      <c r="K995" s="4"/>
      <c r="L995" s="53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76"/>
      <c r="F996" s="53"/>
      <c r="G996" s="4"/>
      <c r="H996" s="4"/>
      <c r="I996" s="4"/>
      <c r="J996" s="4"/>
      <c r="K996" s="4"/>
      <c r="L996" s="53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76"/>
      <c r="F997" s="53"/>
      <c r="G997" s="4"/>
      <c r="H997" s="4"/>
      <c r="I997" s="4"/>
      <c r="J997" s="4"/>
      <c r="K997" s="4"/>
      <c r="L997" s="53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76"/>
      <c r="F998" s="53"/>
      <c r="G998" s="4"/>
      <c r="H998" s="4"/>
      <c r="I998" s="4"/>
      <c r="J998" s="4"/>
      <c r="K998" s="4"/>
      <c r="L998" s="53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76"/>
      <c r="F999" s="53"/>
      <c r="G999" s="4"/>
      <c r="H999" s="4"/>
      <c r="I999" s="4"/>
      <c r="J999" s="4"/>
      <c r="K999" s="4"/>
      <c r="L999" s="53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76"/>
      <c r="F1000" s="53"/>
      <c r="G1000" s="4"/>
      <c r="H1000" s="4"/>
      <c r="I1000" s="4"/>
      <c r="J1000" s="4"/>
      <c r="K1000" s="4"/>
      <c r="L1000" s="53"/>
      <c r="P1000" s="4"/>
      <c r="Q1000" s="4"/>
      <c r="R1000" s="4"/>
      <c r="S1000" s="4"/>
      <c r="T1000" s="4"/>
      <c r="U1000" s="4"/>
      <c r="V1000" s="4"/>
    </row>
  </sheetData>
  <mergeCells count="2">
    <mergeCell ref="A1:H1"/>
    <mergeCell ref="A2:H2"/>
  </mergeCells>
  <conditionalFormatting sqref="D5:D25 D28:D39">
    <cfRule type="containsBlanks" dxfId="0" priority="1">
      <formula>LEN(TRIM(D5))=0</formula>
    </cfRule>
  </conditionalFormatting>
  <conditionalFormatting sqref="F5:F25 F28:F39">
    <cfRule type="cellIs" dxfId="1" priority="2" operator="equal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11.13"/>
    <col customWidth="1" min="3" max="3" width="14.25"/>
    <col customWidth="1" min="4" max="4" width="8.63"/>
    <col customWidth="1" min="5" max="5" width="14.63"/>
    <col customWidth="1" min="6" max="6" width="7.5"/>
    <col customWidth="1" min="7" max="7" width="5.13"/>
    <col customWidth="1" min="8" max="8" width="13.25"/>
    <col customWidth="1" min="9" max="9" width="14.13"/>
    <col customWidth="1" min="10" max="10" width="8.63"/>
    <col customWidth="1" min="11" max="11" width="14.63"/>
    <col customWidth="1" min="12" max="12" width="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P1" s="4"/>
      <c r="Q1" s="4"/>
      <c r="R1" s="4"/>
      <c r="S1" s="4"/>
      <c r="T1" s="4"/>
      <c r="U1" s="4"/>
      <c r="V1" s="4"/>
    </row>
    <row r="2">
      <c r="A2" s="5" t="s">
        <v>68</v>
      </c>
      <c r="P2" s="4"/>
      <c r="Q2" s="4"/>
      <c r="R2" s="4"/>
      <c r="S2" s="4"/>
      <c r="T2" s="4"/>
      <c r="U2" s="4"/>
      <c r="V2" s="4"/>
    </row>
    <row r="3">
      <c r="A3" s="8" t="s">
        <v>4</v>
      </c>
      <c r="B3" s="10"/>
      <c r="C3" s="10"/>
      <c r="D3" s="10"/>
      <c r="E3" s="10"/>
      <c r="F3" s="10"/>
      <c r="G3" s="10"/>
      <c r="H3" s="13"/>
      <c r="P3" s="4"/>
      <c r="Q3" s="4"/>
      <c r="R3" s="4"/>
      <c r="S3" s="4"/>
      <c r="T3" s="4"/>
      <c r="U3" s="4"/>
      <c r="V3" s="4"/>
    </row>
    <row r="4">
      <c r="A4" s="15" t="s">
        <v>6</v>
      </c>
      <c r="B4" s="17" t="s">
        <v>7</v>
      </c>
      <c r="C4" s="19" t="s">
        <v>8</v>
      </c>
      <c r="D4" s="21" t="s">
        <v>9</v>
      </c>
      <c r="E4" s="23" t="s">
        <v>10</v>
      </c>
      <c r="F4" s="24" t="s">
        <v>11</v>
      </c>
      <c r="H4" s="26" t="s">
        <v>12</v>
      </c>
      <c r="P4" s="4"/>
      <c r="Q4" s="4"/>
      <c r="R4" s="4"/>
      <c r="S4" s="4"/>
      <c r="T4" s="4"/>
      <c r="U4" s="4"/>
      <c r="V4" s="4"/>
    </row>
    <row r="5">
      <c r="A5" s="29" t="s">
        <v>13</v>
      </c>
      <c r="B5" s="30" t="s">
        <v>14</v>
      </c>
      <c r="C5" s="32">
        <v>46355.99930555555</v>
      </c>
      <c r="D5" s="33"/>
      <c r="E5" s="75" t="str">
        <f t="shared" ref="E5:E25" si="1">IF(D5&lt;&gt;"",IF(E5="",NOW(),E5),"")</f>
        <v/>
      </c>
      <c r="F5" s="37">
        <f t="shared" ref="F5:F25" si="2">if(D5 = "", 0,IF(E5&lt;C5,0.5,0))</f>
        <v>0</v>
      </c>
      <c r="H5" s="38" t="str">
        <f t="shared" ref="H5:H25" si="3">if(D5 &lt;&gt; "", ABS(E5-C5), "0")</f>
        <v>0</v>
      </c>
      <c r="P5" s="4"/>
      <c r="Q5" s="4"/>
      <c r="R5" s="4"/>
      <c r="S5" s="4"/>
      <c r="T5" s="4"/>
      <c r="U5" s="4"/>
      <c r="V5" s="4"/>
    </row>
    <row r="6">
      <c r="A6" s="39" t="s">
        <v>16</v>
      </c>
      <c r="B6" s="30" t="s">
        <v>14</v>
      </c>
      <c r="C6" s="32">
        <v>46355.99930555555</v>
      </c>
      <c r="D6" s="33"/>
      <c r="E6" s="75" t="str">
        <f t="shared" si="1"/>
        <v/>
      </c>
      <c r="F6" s="37">
        <f t="shared" si="2"/>
        <v>0</v>
      </c>
      <c r="H6" s="38" t="str">
        <f t="shared" si="3"/>
        <v>0</v>
      </c>
      <c r="P6" s="4"/>
      <c r="Q6" s="4"/>
      <c r="R6" s="4"/>
      <c r="S6" s="4"/>
      <c r="T6" s="4"/>
      <c r="U6" s="4"/>
      <c r="V6" s="4"/>
    </row>
    <row r="7">
      <c r="A7" s="39" t="s">
        <v>17</v>
      </c>
      <c r="B7" s="30" t="s">
        <v>18</v>
      </c>
      <c r="C7" s="32">
        <v>46328.99930555555</v>
      </c>
      <c r="D7" s="33"/>
      <c r="E7" s="75" t="str">
        <f t="shared" si="1"/>
        <v/>
      </c>
      <c r="F7" s="37">
        <f t="shared" si="2"/>
        <v>0</v>
      </c>
      <c r="H7" s="38" t="str">
        <f t="shared" si="3"/>
        <v>0</v>
      </c>
      <c r="J7" s="86">
        <v>100.0</v>
      </c>
      <c r="P7" s="4"/>
      <c r="Q7" s="4"/>
      <c r="R7" s="4"/>
      <c r="S7" s="4"/>
      <c r="T7" s="4"/>
      <c r="U7" s="4"/>
      <c r="V7" s="4"/>
    </row>
    <row r="8">
      <c r="A8" s="39" t="s">
        <v>19</v>
      </c>
      <c r="B8" s="30" t="s">
        <v>20</v>
      </c>
      <c r="C8" s="32">
        <v>46328.99930555555</v>
      </c>
      <c r="D8" s="33"/>
      <c r="E8" s="75" t="str">
        <f t="shared" si="1"/>
        <v/>
      </c>
      <c r="F8" s="37">
        <f t="shared" si="2"/>
        <v>0</v>
      </c>
      <c r="H8" s="38" t="str">
        <f t="shared" si="3"/>
        <v>0</v>
      </c>
      <c r="J8" s="86">
        <v>100.0</v>
      </c>
      <c r="P8" s="4"/>
      <c r="Q8" s="4"/>
      <c r="R8" s="4"/>
      <c r="S8" s="4"/>
      <c r="T8" s="4"/>
      <c r="U8" s="4"/>
      <c r="V8" s="4"/>
    </row>
    <row r="9">
      <c r="A9" s="39" t="s">
        <v>22</v>
      </c>
      <c r="B9" s="89" t="s">
        <v>65</v>
      </c>
      <c r="C9" s="32">
        <v>46329.99930555555</v>
      </c>
      <c r="D9" s="33"/>
      <c r="E9" s="75" t="str">
        <f t="shared" si="1"/>
        <v/>
      </c>
      <c r="F9" s="37">
        <f t="shared" si="2"/>
        <v>0</v>
      </c>
      <c r="H9" s="38" t="str">
        <f t="shared" si="3"/>
        <v>0</v>
      </c>
      <c r="J9" s="86">
        <v>0.0</v>
      </c>
      <c r="P9" s="4"/>
      <c r="Q9" s="4"/>
      <c r="R9" s="4"/>
      <c r="S9" s="4"/>
      <c r="T9" s="4"/>
      <c r="U9" s="4"/>
      <c r="V9" s="4"/>
    </row>
    <row r="10">
      <c r="A10" s="39" t="s">
        <v>24</v>
      </c>
      <c r="B10" s="89" t="s">
        <v>65</v>
      </c>
      <c r="C10" s="32">
        <v>46329.99930555555</v>
      </c>
      <c r="D10" s="33"/>
      <c r="E10" s="75" t="str">
        <f t="shared" si="1"/>
        <v/>
      </c>
      <c r="F10" s="37">
        <f t="shared" si="2"/>
        <v>0</v>
      </c>
      <c r="H10" s="38" t="str">
        <f t="shared" si="3"/>
        <v>0</v>
      </c>
      <c r="P10" s="4"/>
      <c r="Q10" s="4"/>
      <c r="R10" s="4"/>
      <c r="S10" s="4"/>
      <c r="T10" s="4"/>
      <c r="U10" s="4"/>
      <c r="V10" s="4"/>
    </row>
    <row r="11">
      <c r="A11" s="39" t="s">
        <v>25</v>
      </c>
      <c r="B11" s="30" t="s">
        <v>14</v>
      </c>
      <c r="C11" s="32">
        <v>46334.99930555555</v>
      </c>
      <c r="D11" s="33"/>
      <c r="E11" s="75" t="str">
        <f t="shared" si="1"/>
        <v/>
      </c>
      <c r="F11" s="37">
        <f t="shared" si="2"/>
        <v>0</v>
      </c>
      <c r="H11" s="38" t="str">
        <f t="shared" si="3"/>
        <v>0</v>
      </c>
      <c r="P11" s="4"/>
      <c r="Q11" s="4"/>
      <c r="R11" s="4"/>
      <c r="S11" s="4"/>
      <c r="T11" s="4"/>
      <c r="U11" s="4"/>
      <c r="V11" s="4"/>
    </row>
    <row r="12">
      <c r="A12" s="49" t="s">
        <v>26</v>
      </c>
      <c r="B12" s="30" t="s">
        <v>14</v>
      </c>
      <c r="C12" s="32">
        <v>46334.99930555555</v>
      </c>
      <c r="D12" s="33"/>
      <c r="E12" s="75" t="str">
        <f t="shared" si="1"/>
        <v/>
      </c>
      <c r="F12" s="37">
        <f t="shared" si="2"/>
        <v>0</v>
      </c>
      <c r="H12" s="38" t="str">
        <f t="shared" si="3"/>
        <v>0</v>
      </c>
      <c r="P12" s="4"/>
      <c r="Q12" s="4"/>
      <c r="R12" s="4"/>
      <c r="S12" s="4"/>
      <c r="T12" s="4"/>
      <c r="U12" s="4"/>
      <c r="V12" s="4"/>
    </row>
    <row r="13">
      <c r="A13" s="49" t="s">
        <v>27</v>
      </c>
      <c r="B13" s="89" t="s">
        <v>63</v>
      </c>
      <c r="C13" s="32">
        <v>46336.99930555555</v>
      </c>
      <c r="D13" s="33"/>
      <c r="E13" s="75" t="str">
        <f t="shared" si="1"/>
        <v/>
      </c>
      <c r="F13" s="37">
        <f t="shared" si="2"/>
        <v>0</v>
      </c>
      <c r="H13" s="38" t="str">
        <f t="shared" si="3"/>
        <v>0</v>
      </c>
      <c r="P13" s="4"/>
      <c r="Q13" s="4"/>
      <c r="R13" s="4"/>
      <c r="S13" s="4"/>
      <c r="T13" s="4"/>
      <c r="U13" s="4"/>
      <c r="V13" s="4"/>
    </row>
    <row r="14">
      <c r="A14" s="49" t="s">
        <v>29</v>
      </c>
      <c r="B14" s="30" t="s">
        <v>30</v>
      </c>
      <c r="C14" s="32">
        <v>46336.99930555555</v>
      </c>
      <c r="D14" s="33"/>
      <c r="E14" s="75" t="str">
        <f t="shared" si="1"/>
        <v/>
      </c>
      <c r="F14" s="37">
        <f t="shared" si="2"/>
        <v>0</v>
      </c>
      <c r="H14" s="38" t="str">
        <f t="shared" si="3"/>
        <v>0</v>
      </c>
      <c r="P14" s="4"/>
      <c r="Q14" s="4"/>
      <c r="R14" s="4"/>
      <c r="S14" s="4"/>
      <c r="T14" s="4"/>
      <c r="U14" s="4"/>
      <c r="V14" s="4"/>
    </row>
    <row r="15">
      <c r="A15" s="49" t="s">
        <v>32</v>
      </c>
      <c r="B15" s="30" t="s">
        <v>20</v>
      </c>
      <c r="C15" s="32">
        <v>46336.99930555555</v>
      </c>
      <c r="D15" s="33"/>
      <c r="E15" s="75" t="str">
        <f t="shared" si="1"/>
        <v/>
      </c>
      <c r="F15" s="37">
        <f t="shared" si="2"/>
        <v>0</v>
      </c>
      <c r="H15" s="38" t="str">
        <f t="shared" si="3"/>
        <v>0</v>
      </c>
      <c r="P15" s="4"/>
      <c r="Q15" s="4"/>
      <c r="R15" s="4"/>
      <c r="S15" s="4"/>
      <c r="T15" s="4"/>
      <c r="U15" s="4"/>
      <c r="V15" s="4"/>
    </row>
    <row r="16">
      <c r="A16" s="49" t="s">
        <v>33</v>
      </c>
      <c r="B16" s="30" t="s">
        <v>20</v>
      </c>
      <c r="C16" s="32">
        <v>46341.99930555555</v>
      </c>
      <c r="D16" s="33"/>
      <c r="E16" s="75" t="str">
        <f t="shared" si="1"/>
        <v/>
      </c>
      <c r="F16" s="37">
        <f t="shared" si="2"/>
        <v>0</v>
      </c>
      <c r="H16" s="38" t="str">
        <f t="shared" si="3"/>
        <v>0</v>
      </c>
      <c r="P16" s="4"/>
      <c r="Q16" s="4"/>
      <c r="R16" s="4"/>
      <c r="S16" s="4"/>
      <c r="T16" s="4"/>
      <c r="U16" s="4"/>
      <c r="V16" s="4"/>
    </row>
    <row r="17">
      <c r="A17" s="49" t="s">
        <v>34</v>
      </c>
      <c r="B17" s="30" t="s">
        <v>30</v>
      </c>
      <c r="C17" s="32">
        <v>46341.99930555555</v>
      </c>
      <c r="D17" s="33"/>
      <c r="E17" s="75" t="str">
        <f t="shared" si="1"/>
        <v/>
      </c>
      <c r="F17" s="37">
        <f t="shared" si="2"/>
        <v>0</v>
      </c>
      <c r="G17" s="4"/>
      <c r="H17" s="38" t="str">
        <f t="shared" si="3"/>
        <v>0</v>
      </c>
      <c r="I17" s="4"/>
      <c r="J17" s="4"/>
      <c r="K17" s="4"/>
      <c r="L17" s="53"/>
      <c r="P17" s="4"/>
      <c r="Q17" s="4"/>
      <c r="R17" s="4"/>
      <c r="S17" s="4"/>
      <c r="T17" s="4"/>
      <c r="U17" s="4"/>
      <c r="V17" s="4"/>
    </row>
    <row r="18">
      <c r="A18" s="49" t="s">
        <v>35</v>
      </c>
      <c r="B18" s="30" t="s">
        <v>14</v>
      </c>
      <c r="C18" s="32">
        <v>46343.99930555555</v>
      </c>
      <c r="D18" s="33"/>
      <c r="E18" s="75" t="str">
        <f t="shared" si="1"/>
        <v/>
      </c>
      <c r="F18" s="37">
        <f t="shared" si="2"/>
        <v>0</v>
      </c>
      <c r="G18" s="4"/>
      <c r="H18" s="38" t="str">
        <f t="shared" si="3"/>
        <v>0</v>
      </c>
      <c r="I18" s="4"/>
      <c r="J18" s="4"/>
      <c r="K18" s="4"/>
      <c r="L18" s="53"/>
      <c r="P18" s="4"/>
      <c r="Q18" s="4"/>
      <c r="R18" s="4"/>
      <c r="S18" s="4"/>
      <c r="T18" s="4"/>
      <c r="U18" s="4"/>
      <c r="V18" s="4"/>
    </row>
    <row r="19">
      <c r="A19" s="49" t="s">
        <v>36</v>
      </c>
      <c r="B19" s="89" t="s">
        <v>18</v>
      </c>
      <c r="C19" s="32">
        <v>46343.99930555555</v>
      </c>
      <c r="D19" s="33"/>
      <c r="E19" s="75" t="str">
        <f t="shared" si="1"/>
        <v/>
      </c>
      <c r="F19" s="37">
        <f t="shared" si="2"/>
        <v>0</v>
      </c>
      <c r="G19" s="4"/>
      <c r="H19" s="38" t="str">
        <f t="shared" si="3"/>
        <v>0</v>
      </c>
      <c r="I19" s="4"/>
      <c r="J19" s="4"/>
      <c r="K19" s="4"/>
      <c r="L19" s="53"/>
      <c r="P19" s="4"/>
      <c r="Q19" s="4"/>
      <c r="R19" s="4"/>
      <c r="S19" s="4"/>
      <c r="T19" s="4"/>
      <c r="U19" s="4"/>
      <c r="V19" s="4"/>
    </row>
    <row r="20">
      <c r="A20" s="49" t="s">
        <v>38</v>
      </c>
      <c r="B20" s="30" t="s">
        <v>30</v>
      </c>
      <c r="C20" s="32">
        <v>46347.99930555555</v>
      </c>
      <c r="D20" s="33"/>
      <c r="E20" s="75" t="str">
        <f t="shared" si="1"/>
        <v/>
      </c>
      <c r="F20" s="37">
        <f t="shared" si="2"/>
        <v>0</v>
      </c>
      <c r="G20" s="4"/>
      <c r="H20" s="38" t="str">
        <f t="shared" si="3"/>
        <v>0</v>
      </c>
      <c r="I20" s="4"/>
      <c r="J20" s="4"/>
      <c r="K20" s="4"/>
      <c r="L20" s="53"/>
      <c r="P20" s="4"/>
      <c r="Q20" s="4"/>
      <c r="R20" s="4"/>
      <c r="S20" s="4"/>
      <c r="T20" s="4"/>
      <c r="U20" s="4"/>
      <c r="V20" s="4"/>
    </row>
    <row r="21">
      <c r="A21" s="49" t="s">
        <v>39</v>
      </c>
      <c r="B21" s="30" t="s">
        <v>18</v>
      </c>
      <c r="C21" s="32">
        <v>46347.99930555555</v>
      </c>
      <c r="D21" s="33"/>
      <c r="E21" s="75" t="str">
        <f t="shared" si="1"/>
        <v/>
      </c>
      <c r="F21" s="37">
        <f t="shared" si="2"/>
        <v>0</v>
      </c>
      <c r="G21" s="4"/>
      <c r="H21" s="38" t="str">
        <f t="shared" si="3"/>
        <v>0</v>
      </c>
      <c r="I21" s="4"/>
      <c r="J21" s="4"/>
      <c r="K21" s="4"/>
      <c r="L21" s="53"/>
      <c r="P21" s="4"/>
      <c r="Q21" s="4"/>
      <c r="R21" s="4"/>
      <c r="S21" s="4"/>
      <c r="T21" s="4"/>
      <c r="U21" s="4"/>
      <c r="V21" s="4"/>
    </row>
    <row r="22">
      <c r="A22" s="49" t="s">
        <v>40</v>
      </c>
      <c r="B22" s="89" t="s">
        <v>63</v>
      </c>
      <c r="C22" s="32">
        <v>46349.99930555555</v>
      </c>
      <c r="D22" s="33"/>
      <c r="E22" s="75" t="str">
        <f t="shared" si="1"/>
        <v/>
      </c>
      <c r="F22" s="37">
        <f t="shared" si="2"/>
        <v>0</v>
      </c>
      <c r="G22" s="4"/>
      <c r="H22" s="38" t="str">
        <f t="shared" si="3"/>
        <v>0</v>
      </c>
      <c r="I22" s="4"/>
      <c r="J22" s="4"/>
      <c r="K22" s="4"/>
      <c r="L22" s="53"/>
      <c r="P22" s="4"/>
      <c r="Q22" s="4"/>
      <c r="R22" s="4"/>
      <c r="S22" s="4"/>
      <c r="T22" s="4"/>
      <c r="U22" s="4"/>
      <c r="V22" s="4"/>
    </row>
    <row r="23">
      <c r="A23" s="49" t="s">
        <v>41</v>
      </c>
      <c r="B23" s="30" t="s">
        <v>18</v>
      </c>
      <c r="C23" s="32">
        <v>46349.99930555555</v>
      </c>
      <c r="D23" s="33"/>
      <c r="E23" s="75" t="str">
        <f t="shared" si="1"/>
        <v/>
      </c>
      <c r="F23" s="37">
        <f t="shared" si="2"/>
        <v>0</v>
      </c>
      <c r="G23" s="4"/>
      <c r="H23" s="38" t="str">
        <f t="shared" si="3"/>
        <v>0</v>
      </c>
      <c r="I23" s="4"/>
      <c r="J23" s="4"/>
      <c r="K23" s="4"/>
      <c r="L23" s="53"/>
      <c r="P23" s="4"/>
      <c r="Q23" s="4"/>
      <c r="R23" s="4"/>
      <c r="S23" s="4"/>
      <c r="T23" s="4"/>
      <c r="U23" s="4"/>
      <c r="V23" s="4"/>
    </row>
    <row r="24">
      <c r="A24" s="49" t="s">
        <v>42</v>
      </c>
      <c r="B24" s="89" t="s">
        <v>63</v>
      </c>
      <c r="C24" s="32">
        <v>46350.99930555555</v>
      </c>
      <c r="D24" s="33"/>
      <c r="E24" s="75" t="str">
        <f t="shared" si="1"/>
        <v/>
      </c>
      <c r="F24" s="37">
        <f t="shared" si="2"/>
        <v>0</v>
      </c>
      <c r="G24" s="4"/>
      <c r="H24" s="38" t="str">
        <f t="shared" si="3"/>
        <v>0</v>
      </c>
      <c r="I24" s="4"/>
      <c r="J24" s="4"/>
      <c r="K24" s="4"/>
      <c r="L24" s="53"/>
      <c r="P24" s="4"/>
      <c r="Q24" s="4"/>
      <c r="R24" s="4"/>
      <c r="S24" s="4"/>
      <c r="T24" s="4"/>
      <c r="U24" s="4"/>
      <c r="V24" s="4"/>
    </row>
    <row r="25">
      <c r="A25" s="55" t="s">
        <v>43</v>
      </c>
      <c r="B25" s="89" t="s">
        <v>18</v>
      </c>
      <c r="C25" s="84">
        <v>46350.99930555555</v>
      </c>
      <c r="D25" s="56"/>
      <c r="E25" s="75" t="str">
        <f t="shared" si="1"/>
        <v/>
      </c>
      <c r="F25" s="57">
        <f t="shared" si="2"/>
        <v>0</v>
      </c>
      <c r="G25" s="4"/>
      <c r="H25" s="38" t="str">
        <f t="shared" si="3"/>
        <v>0</v>
      </c>
      <c r="I25" s="4"/>
      <c r="J25" s="4"/>
      <c r="K25" s="4"/>
      <c r="L25" s="53"/>
      <c r="P25" s="4"/>
      <c r="Q25" s="4"/>
      <c r="R25" s="4"/>
      <c r="S25" s="4"/>
      <c r="T25" s="4"/>
      <c r="U25" s="4"/>
      <c r="V25" s="4"/>
    </row>
    <row r="26">
      <c r="A26" s="87" t="s">
        <v>44</v>
      </c>
      <c r="B26" s="60"/>
      <c r="C26" s="87"/>
      <c r="D26" s="87"/>
      <c r="E26" s="87"/>
      <c r="F26" s="87"/>
      <c r="G26" s="87"/>
      <c r="H26" s="87"/>
      <c r="I26" s="4"/>
      <c r="J26" s="4"/>
      <c r="K26" s="4"/>
      <c r="L26" s="53"/>
      <c r="P26" s="4"/>
      <c r="Q26" s="4"/>
      <c r="R26" s="4"/>
      <c r="S26" s="4"/>
      <c r="T26" s="4"/>
      <c r="U26" s="4"/>
      <c r="V26" s="4"/>
    </row>
    <row r="27">
      <c r="A27" s="63" t="s">
        <v>6</v>
      </c>
      <c r="B27" s="17" t="s">
        <v>7</v>
      </c>
      <c r="C27" s="64" t="s">
        <v>8</v>
      </c>
      <c r="D27" s="65" t="s">
        <v>9</v>
      </c>
      <c r="E27" s="27" t="s">
        <v>10</v>
      </c>
      <c r="F27" s="28" t="s">
        <v>11</v>
      </c>
      <c r="G27" s="4"/>
      <c r="H27" s="26" t="s">
        <v>12</v>
      </c>
      <c r="K27" s="4"/>
      <c r="L27" s="53"/>
      <c r="P27" s="4"/>
      <c r="Q27" s="4"/>
      <c r="R27" s="4"/>
      <c r="S27" s="4"/>
      <c r="T27" s="4"/>
      <c r="U27" s="4"/>
      <c r="V27" s="4"/>
    </row>
    <row r="28">
      <c r="A28" s="29" t="s">
        <v>45</v>
      </c>
      <c r="B28" s="30" t="s">
        <v>20</v>
      </c>
      <c r="C28" s="32">
        <v>46355.99930555555</v>
      </c>
      <c r="D28" s="33"/>
      <c r="E28" s="75" t="str">
        <f t="shared" ref="E28:E48" si="4">IF(D28&lt;&gt;"",IF(E28="",NOW(),E28),"")</f>
        <v/>
      </c>
      <c r="F28" s="37">
        <f t="shared" ref="F28:F39" si="5">if(D28 = "", 0,IF(E28&lt;C28,0.5,0))</f>
        <v>0</v>
      </c>
      <c r="G28" s="4"/>
      <c r="H28" s="38" t="str">
        <f t="shared" ref="H28:H39" si="6">if(D28 &lt;&gt; "", ABS(E28-C28), "0")</f>
        <v>0</v>
      </c>
      <c r="K28" s="4"/>
      <c r="L28" s="53"/>
      <c r="P28" s="4"/>
      <c r="Q28" s="4"/>
      <c r="R28" s="4"/>
      <c r="S28" s="4"/>
      <c r="T28" s="4"/>
      <c r="U28" s="4"/>
      <c r="V28" s="4"/>
    </row>
    <row r="29">
      <c r="A29" s="68" t="s">
        <v>46</v>
      </c>
      <c r="B29" s="30" t="s">
        <v>20</v>
      </c>
      <c r="C29" s="32">
        <v>46355.99930555555</v>
      </c>
      <c r="D29" s="33"/>
      <c r="E29" s="75" t="str">
        <f t="shared" si="4"/>
        <v/>
      </c>
      <c r="F29" s="37">
        <f t="shared" si="5"/>
        <v>0</v>
      </c>
      <c r="G29" s="4"/>
      <c r="H29" s="38" t="str">
        <f t="shared" si="6"/>
        <v>0</v>
      </c>
      <c r="K29" s="4"/>
      <c r="L29" s="53"/>
      <c r="P29" s="4"/>
      <c r="Q29" s="4"/>
      <c r="R29" s="4"/>
      <c r="S29" s="4"/>
      <c r="T29" s="4"/>
      <c r="U29" s="4"/>
      <c r="V29" s="4"/>
    </row>
    <row r="30">
      <c r="A30" s="68" t="s">
        <v>47</v>
      </c>
      <c r="B30" s="30" t="s">
        <v>14</v>
      </c>
      <c r="C30" s="32">
        <v>46328.99930555555</v>
      </c>
      <c r="D30" s="33"/>
      <c r="E30" s="75" t="str">
        <f t="shared" si="4"/>
        <v/>
      </c>
      <c r="F30" s="37">
        <f t="shared" si="5"/>
        <v>0</v>
      </c>
      <c r="G30" s="4"/>
      <c r="H30" s="38" t="str">
        <f t="shared" si="6"/>
        <v>0</v>
      </c>
      <c r="K30" s="4"/>
      <c r="L30" s="53"/>
      <c r="P30" s="4"/>
      <c r="Q30" s="4"/>
      <c r="R30" s="4"/>
      <c r="S30" s="4"/>
      <c r="T30" s="4"/>
      <c r="U30" s="4"/>
      <c r="V30" s="4"/>
    </row>
    <row r="31">
      <c r="A31" s="68" t="s">
        <v>48</v>
      </c>
      <c r="B31" s="30" t="s">
        <v>14</v>
      </c>
      <c r="C31" s="32">
        <v>46329.99930555555</v>
      </c>
      <c r="D31" s="33"/>
      <c r="E31" s="75" t="str">
        <f t="shared" si="4"/>
        <v/>
      </c>
      <c r="F31" s="37">
        <f t="shared" si="5"/>
        <v>0</v>
      </c>
      <c r="G31" s="4"/>
      <c r="H31" s="38" t="str">
        <f t="shared" si="6"/>
        <v>0</v>
      </c>
      <c r="K31" s="4"/>
      <c r="L31" s="53"/>
      <c r="P31" s="4"/>
      <c r="Q31" s="4"/>
      <c r="R31" s="4"/>
      <c r="S31" s="4"/>
      <c r="T31" s="4"/>
      <c r="U31" s="4"/>
      <c r="V31" s="4"/>
    </row>
    <row r="32">
      <c r="A32" s="69" t="s">
        <v>50</v>
      </c>
      <c r="B32" s="89" t="s">
        <v>18</v>
      </c>
      <c r="C32" s="32">
        <v>46334.99930555555</v>
      </c>
      <c r="D32" s="33"/>
      <c r="E32" s="75" t="str">
        <f t="shared" si="4"/>
        <v/>
      </c>
      <c r="F32" s="37">
        <f t="shared" si="5"/>
        <v>0</v>
      </c>
      <c r="G32" s="4"/>
      <c r="H32" s="38" t="str">
        <f t="shared" si="6"/>
        <v>0</v>
      </c>
      <c r="K32" s="4"/>
      <c r="L32" s="53"/>
      <c r="P32" s="4"/>
      <c r="Q32" s="4"/>
      <c r="R32" s="4"/>
      <c r="S32" s="4"/>
      <c r="T32" s="4"/>
      <c r="U32" s="4"/>
      <c r="V32" s="4"/>
    </row>
    <row r="33">
      <c r="A33" s="69" t="s">
        <v>51</v>
      </c>
      <c r="B33" s="30" t="s">
        <v>20</v>
      </c>
      <c r="C33" s="32">
        <v>46336.99930555555</v>
      </c>
      <c r="D33" s="33"/>
      <c r="E33" s="75" t="str">
        <f t="shared" si="4"/>
        <v/>
      </c>
      <c r="F33" s="37">
        <f t="shared" si="5"/>
        <v>0</v>
      </c>
      <c r="G33" s="4"/>
      <c r="H33" s="38" t="str">
        <f t="shared" si="6"/>
        <v>0</v>
      </c>
      <c r="K33" s="4"/>
      <c r="L33" s="53"/>
      <c r="P33" s="4"/>
      <c r="Q33" s="4"/>
      <c r="R33" s="4"/>
      <c r="S33" s="4"/>
      <c r="T33" s="4"/>
      <c r="U33" s="4"/>
      <c r="V33" s="4"/>
    </row>
    <row r="34">
      <c r="A34" s="69" t="s">
        <v>52</v>
      </c>
      <c r="B34" s="30" t="s">
        <v>14</v>
      </c>
      <c r="C34" s="32">
        <v>46341.99930555555</v>
      </c>
      <c r="D34" s="33"/>
      <c r="E34" s="75" t="str">
        <f t="shared" si="4"/>
        <v/>
      </c>
      <c r="F34" s="37">
        <f t="shared" si="5"/>
        <v>0</v>
      </c>
      <c r="G34" s="4"/>
      <c r="H34" s="38" t="str">
        <f t="shared" si="6"/>
        <v>0</v>
      </c>
      <c r="I34" s="4"/>
      <c r="J34" s="4"/>
      <c r="K34" s="4"/>
      <c r="L34" s="53"/>
      <c r="P34" s="4"/>
      <c r="Q34" s="4"/>
      <c r="R34" s="4"/>
      <c r="S34" s="4"/>
      <c r="T34" s="4"/>
      <c r="U34" s="4"/>
      <c r="V34" s="4"/>
    </row>
    <row r="35">
      <c r="A35" s="69" t="s">
        <v>53</v>
      </c>
      <c r="B35" s="30" t="s">
        <v>20</v>
      </c>
      <c r="C35" s="32">
        <v>46343.99930555555</v>
      </c>
      <c r="D35" s="33"/>
      <c r="E35" s="75" t="str">
        <f t="shared" si="4"/>
        <v/>
      </c>
      <c r="F35" s="37">
        <f t="shared" si="5"/>
        <v>0</v>
      </c>
      <c r="G35" s="4"/>
      <c r="H35" s="38" t="str">
        <f t="shared" si="6"/>
        <v>0</v>
      </c>
      <c r="I35" s="70"/>
      <c r="J35" s="70"/>
      <c r="K35" s="4"/>
      <c r="L35" s="71"/>
      <c r="P35" s="4"/>
      <c r="Q35" s="4"/>
      <c r="R35" s="4"/>
      <c r="S35" s="4"/>
      <c r="T35" s="4"/>
      <c r="U35" s="4"/>
      <c r="V35" s="4"/>
    </row>
    <row r="36">
      <c r="A36" s="69" t="s">
        <v>54</v>
      </c>
      <c r="B36" s="30" t="s">
        <v>55</v>
      </c>
      <c r="C36" s="32">
        <v>46347.99930555555</v>
      </c>
      <c r="D36" s="33"/>
      <c r="E36" s="75" t="str">
        <f t="shared" si="4"/>
        <v/>
      </c>
      <c r="F36" s="37">
        <f t="shared" si="5"/>
        <v>0</v>
      </c>
      <c r="G36" s="4"/>
      <c r="H36" s="38" t="str">
        <f t="shared" si="6"/>
        <v>0</v>
      </c>
      <c r="J36" s="70"/>
      <c r="K36" s="70"/>
      <c r="L36" s="72"/>
      <c r="P36" s="4"/>
      <c r="Q36" s="4"/>
      <c r="R36" s="4"/>
      <c r="S36" s="4"/>
      <c r="T36" s="4"/>
      <c r="U36" s="4"/>
      <c r="V36" s="4"/>
    </row>
    <row r="37">
      <c r="A37" s="69" t="s">
        <v>56</v>
      </c>
      <c r="B37" s="30" t="s">
        <v>55</v>
      </c>
      <c r="C37" s="32">
        <v>46349.99930555555</v>
      </c>
      <c r="D37" s="33"/>
      <c r="E37" s="75" t="str">
        <f t="shared" si="4"/>
        <v/>
      </c>
      <c r="F37" s="37">
        <f t="shared" si="5"/>
        <v>0</v>
      </c>
      <c r="G37" s="4"/>
      <c r="H37" s="38" t="str">
        <f t="shared" si="6"/>
        <v>0</v>
      </c>
      <c r="J37" s="70"/>
      <c r="K37" s="70"/>
      <c r="L37" s="72"/>
      <c r="P37" s="4"/>
      <c r="Q37" s="4"/>
      <c r="R37" s="4"/>
      <c r="S37" s="4"/>
      <c r="T37" s="4"/>
      <c r="U37" s="4"/>
      <c r="V37" s="4"/>
    </row>
    <row r="38">
      <c r="A38" s="69" t="s">
        <v>57</v>
      </c>
      <c r="B38" s="30" t="s">
        <v>55</v>
      </c>
      <c r="C38" s="32">
        <v>46350.99930555555</v>
      </c>
      <c r="D38" s="33"/>
      <c r="E38" s="75" t="str">
        <f t="shared" si="4"/>
        <v/>
      </c>
      <c r="F38" s="37">
        <f t="shared" si="5"/>
        <v>0</v>
      </c>
      <c r="G38" s="4"/>
      <c r="H38" s="38" t="str">
        <f t="shared" si="6"/>
        <v>0</v>
      </c>
      <c r="J38" s="70"/>
      <c r="K38" s="70"/>
      <c r="L38" s="72"/>
      <c r="P38" s="4"/>
      <c r="Q38" s="4"/>
      <c r="R38" s="4"/>
      <c r="S38" s="4"/>
      <c r="T38" s="4"/>
      <c r="U38" s="4"/>
      <c r="V38" s="4"/>
    </row>
    <row r="39">
      <c r="A39" s="69" t="s">
        <v>58</v>
      </c>
      <c r="B39" s="89" t="s">
        <v>65</v>
      </c>
      <c r="C39" s="32">
        <v>46350.99930555555</v>
      </c>
      <c r="D39" s="33"/>
      <c r="E39" s="75" t="str">
        <f t="shared" si="4"/>
        <v/>
      </c>
      <c r="F39" s="37">
        <f t="shared" si="5"/>
        <v>0</v>
      </c>
      <c r="G39" s="4"/>
      <c r="H39" s="38" t="str">
        <f t="shared" si="6"/>
        <v>0</v>
      </c>
      <c r="J39" s="70"/>
      <c r="K39" s="70"/>
      <c r="L39" s="72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76" t="str">
        <f t="shared" si="4"/>
        <v/>
      </c>
      <c r="F40" s="53"/>
      <c r="G40" s="4"/>
      <c r="H40" s="4"/>
      <c r="J40" s="70"/>
      <c r="K40" s="70"/>
      <c r="L40" s="72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76" t="str">
        <f t="shared" si="4"/>
        <v/>
      </c>
      <c r="F41" s="53"/>
      <c r="G41" s="4"/>
      <c r="H41" s="4"/>
      <c r="J41" s="70"/>
      <c r="K41" s="70"/>
      <c r="L41" s="72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76" t="str">
        <f t="shared" si="4"/>
        <v/>
      </c>
      <c r="F42" s="53"/>
      <c r="G42" s="4"/>
      <c r="H42" s="4"/>
      <c r="I42" s="4"/>
      <c r="J42" s="4"/>
      <c r="K42" s="4"/>
      <c r="L42" s="53"/>
      <c r="P42" s="4"/>
      <c r="Q42" s="4"/>
      <c r="R42" s="4"/>
      <c r="S42" s="4"/>
      <c r="T42" s="4"/>
      <c r="U42" s="4"/>
      <c r="V42" s="4"/>
    </row>
    <row r="43">
      <c r="C43" s="4"/>
      <c r="D43" s="4"/>
      <c r="E43" s="76" t="str">
        <f t="shared" si="4"/>
        <v/>
      </c>
      <c r="F43" s="53"/>
      <c r="G43" s="4"/>
      <c r="H43" s="4"/>
      <c r="I43" s="4"/>
      <c r="J43" s="4"/>
      <c r="K43" s="4"/>
      <c r="L43" s="53"/>
      <c r="P43" s="4"/>
      <c r="Q43" s="4"/>
      <c r="R43" s="4"/>
      <c r="S43" s="4"/>
      <c r="T43" s="4"/>
      <c r="U43" s="4"/>
      <c r="V43" s="4"/>
    </row>
    <row r="44">
      <c r="C44" s="4"/>
      <c r="D44" s="4"/>
      <c r="E44" s="76" t="str">
        <f t="shared" si="4"/>
        <v/>
      </c>
      <c r="F44" s="53"/>
      <c r="G44" s="4"/>
      <c r="H44" s="4"/>
      <c r="I44" s="4"/>
      <c r="J44" s="4"/>
      <c r="K44" s="4"/>
      <c r="L44" s="53"/>
      <c r="P44" s="4"/>
      <c r="Q44" s="4"/>
      <c r="R44" s="4"/>
      <c r="S44" s="4"/>
      <c r="T44" s="4"/>
      <c r="U44" s="4"/>
      <c r="V44" s="4"/>
    </row>
    <row r="45">
      <c r="C45" s="4"/>
      <c r="D45" s="4"/>
      <c r="E45" s="76" t="str">
        <f t="shared" si="4"/>
        <v/>
      </c>
      <c r="F45" s="53"/>
      <c r="G45" s="4"/>
      <c r="H45" s="4"/>
      <c r="I45" s="4"/>
      <c r="J45" s="4"/>
      <c r="K45" s="4"/>
      <c r="L45" s="53"/>
      <c r="P45" s="4"/>
      <c r="Q45" s="4"/>
      <c r="R45" s="4"/>
      <c r="S45" s="4"/>
      <c r="T45" s="4"/>
      <c r="U45" s="4"/>
      <c r="V45" s="4"/>
    </row>
    <row r="46">
      <c r="C46" s="4"/>
      <c r="D46" s="4"/>
      <c r="E46" s="76" t="str">
        <f t="shared" si="4"/>
        <v/>
      </c>
      <c r="F46" s="53"/>
      <c r="G46" s="4"/>
      <c r="H46" s="4"/>
      <c r="I46" s="4"/>
      <c r="J46" s="4"/>
      <c r="K46" s="4"/>
      <c r="L46" s="53"/>
      <c r="P46" s="4"/>
      <c r="Q46" s="4"/>
      <c r="R46" s="4"/>
      <c r="S46" s="4"/>
      <c r="T46" s="4"/>
      <c r="U46" s="4"/>
      <c r="V46" s="4"/>
    </row>
    <row r="47">
      <c r="C47" s="4"/>
      <c r="D47" s="4"/>
      <c r="E47" s="76" t="str">
        <f t="shared" si="4"/>
        <v/>
      </c>
      <c r="F47" s="53"/>
      <c r="G47" s="4"/>
      <c r="H47" s="4"/>
      <c r="I47" s="4"/>
      <c r="J47" s="4"/>
      <c r="K47" s="4"/>
      <c r="L47" s="53"/>
      <c r="P47" s="4"/>
      <c r="Q47" s="4"/>
      <c r="R47" s="4"/>
      <c r="S47" s="4"/>
      <c r="T47" s="4"/>
      <c r="U47" s="4"/>
      <c r="V47" s="4"/>
    </row>
    <row r="48">
      <c r="C48" s="4"/>
      <c r="D48" s="4"/>
      <c r="E48" s="76" t="str">
        <f t="shared" si="4"/>
        <v/>
      </c>
      <c r="F48" s="53"/>
      <c r="G48" s="4"/>
      <c r="H48" s="4"/>
      <c r="I48" s="4"/>
      <c r="J48" s="4"/>
      <c r="K48" s="4"/>
      <c r="L48" s="53"/>
      <c r="P48" s="4"/>
      <c r="Q48" s="4"/>
      <c r="R48" s="4"/>
      <c r="S48" s="4"/>
      <c r="T48" s="4"/>
      <c r="U48" s="4"/>
      <c r="V48" s="4"/>
    </row>
    <row r="49">
      <c r="C49" s="4"/>
      <c r="D49" s="4"/>
      <c r="E49" s="76"/>
      <c r="F49" s="53"/>
      <c r="G49" s="4"/>
      <c r="H49" s="4"/>
      <c r="I49" s="4"/>
      <c r="J49" s="4"/>
      <c r="K49" s="4"/>
      <c r="L49" s="53"/>
      <c r="P49" s="4"/>
      <c r="Q49" s="4"/>
      <c r="R49" s="4"/>
      <c r="S49" s="4"/>
      <c r="T49" s="4"/>
      <c r="U49" s="4"/>
      <c r="V49" s="4"/>
    </row>
    <row r="50">
      <c r="C50" s="4"/>
      <c r="D50" s="4"/>
      <c r="E50" s="76"/>
      <c r="F50" s="53"/>
      <c r="G50" s="4"/>
      <c r="H50" s="4"/>
      <c r="I50" s="4"/>
      <c r="J50" s="4"/>
      <c r="K50" s="4"/>
      <c r="L50" s="53"/>
      <c r="P50" s="4"/>
      <c r="Q50" s="4"/>
      <c r="R50" s="4"/>
      <c r="S50" s="4"/>
      <c r="T50" s="4"/>
      <c r="U50" s="4"/>
      <c r="V50" s="4"/>
    </row>
    <row r="51">
      <c r="C51" s="4"/>
      <c r="D51" s="4"/>
      <c r="E51" s="76"/>
      <c r="F51" s="53"/>
      <c r="G51" s="4"/>
      <c r="H51" s="4"/>
      <c r="I51" s="4"/>
      <c r="J51" s="4"/>
      <c r="K51" s="4"/>
      <c r="L51" s="53"/>
      <c r="P51" s="4"/>
      <c r="Q51" s="4"/>
      <c r="R51" s="4"/>
      <c r="S51" s="4"/>
      <c r="T51" s="4"/>
      <c r="U51" s="4"/>
      <c r="V51" s="4"/>
    </row>
    <row r="52">
      <c r="C52" s="4"/>
      <c r="D52" s="4"/>
      <c r="E52" s="76"/>
      <c r="F52" s="53"/>
      <c r="G52" s="4"/>
      <c r="H52" s="4"/>
      <c r="I52" s="4"/>
      <c r="J52" s="4"/>
      <c r="K52" s="4"/>
      <c r="L52" s="53"/>
      <c r="P52" s="4"/>
      <c r="Q52" s="4"/>
      <c r="R52" s="4"/>
      <c r="S52" s="4"/>
      <c r="T52" s="4"/>
      <c r="U52" s="4"/>
      <c r="V52" s="4"/>
    </row>
    <row r="53">
      <c r="C53" s="4"/>
      <c r="D53" s="4"/>
      <c r="E53" s="76"/>
      <c r="F53" s="53"/>
      <c r="G53" s="4"/>
      <c r="H53" s="4"/>
      <c r="I53" s="4"/>
      <c r="J53" s="4"/>
      <c r="K53" s="4"/>
      <c r="L53" s="53"/>
      <c r="P53" s="4"/>
      <c r="Q53" s="4"/>
      <c r="R53" s="4"/>
      <c r="S53" s="4"/>
      <c r="T53" s="4"/>
      <c r="U53" s="4"/>
      <c r="V53" s="4"/>
    </row>
    <row r="54">
      <c r="C54" s="4"/>
      <c r="D54" s="4"/>
      <c r="E54" s="76"/>
      <c r="F54" s="53"/>
      <c r="G54" s="4"/>
      <c r="H54" s="4"/>
      <c r="I54" s="4"/>
      <c r="J54" s="4"/>
      <c r="K54" s="4"/>
      <c r="L54" s="53"/>
      <c r="P54" s="4"/>
      <c r="Q54" s="4"/>
      <c r="R54" s="4"/>
      <c r="S54" s="4"/>
      <c r="T54" s="4"/>
      <c r="U54" s="4"/>
      <c r="V54" s="4"/>
    </row>
    <row r="55">
      <c r="C55" s="4"/>
      <c r="D55" s="4"/>
      <c r="E55" s="76"/>
      <c r="F55" s="53"/>
      <c r="G55" s="4"/>
      <c r="H55" s="4"/>
      <c r="I55" s="4"/>
      <c r="J55" s="4"/>
      <c r="K55" s="4"/>
      <c r="L55" s="53"/>
      <c r="P55" s="4"/>
      <c r="Q55" s="4"/>
      <c r="R55" s="4"/>
      <c r="S55" s="4"/>
      <c r="T55" s="4"/>
      <c r="U55" s="4"/>
      <c r="V55" s="4"/>
    </row>
    <row r="56">
      <c r="C56" s="4"/>
      <c r="D56" s="4"/>
      <c r="E56" s="76"/>
      <c r="F56" s="53"/>
      <c r="G56" s="4"/>
      <c r="H56" s="4"/>
      <c r="I56" s="4"/>
      <c r="J56" s="4"/>
      <c r="K56" s="4"/>
      <c r="L56" s="53"/>
      <c r="P56" s="4"/>
      <c r="Q56" s="4"/>
      <c r="R56" s="4"/>
      <c r="S56" s="4"/>
      <c r="T56" s="4"/>
      <c r="U56" s="4"/>
      <c r="V56" s="4"/>
    </row>
    <row r="57">
      <c r="C57" s="4"/>
      <c r="D57" s="4"/>
      <c r="E57" s="76"/>
      <c r="F57" s="53"/>
      <c r="G57" s="4"/>
      <c r="H57" s="4"/>
      <c r="I57" s="4"/>
      <c r="J57" s="4"/>
      <c r="K57" s="4"/>
      <c r="L57" s="53"/>
      <c r="P57" s="4"/>
      <c r="Q57" s="4"/>
      <c r="R57" s="4"/>
      <c r="S57" s="4"/>
      <c r="T57" s="4"/>
      <c r="U57" s="4"/>
      <c r="V57" s="4"/>
    </row>
    <row r="58">
      <c r="C58" s="4"/>
      <c r="D58" s="4"/>
      <c r="E58" s="76"/>
      <c r="F58" s="53"/>
      <c r="G58" s="4"/>
      <c r="H58" s="4"/>
      <c r="I58" s="4"/>
      <c r="J58" s="4"/>
      <c r="K58" s="4"/>
      <c r="L58" s="53"/>
      <c r="P58" s="4"/>
      <c r="Q58" s="4"/>
      <c r="R58" s="4"/>
      <c r="S58" s="4"/>
      <c r="T58" s="4"/>
      <c r="U58" s="4"/>
      <c r="V58" s="4"/>
    </row>
    <row r="59">
      <c r="C59" s="4"/>
      <c r="D59" s="4"/>
      <c r="E59" s="76"/>
      <c r="F59" s="53"/>
      <c r="G59" s="4"/>
      <c r="H59" s="4"/>
      <c r="I59" s="4"/>
      <c r="J59" s="4"/>
      <c r="K59" s="4"/>
      <c r="L59" s="53"/>
      <c r="P59" s="4"/>
      <c r="Q59" s="4"/>
      <c r="R59" s="4"/>
      <c r="S59" s="4"/>
      <c r="T59" s="4"/>
      <c r="U59" s="4"/>
      <c r="V59" s="4"/>
    </row>
    <row r="60">
      <c r="C60" s="4"/>
      <c r="D60" s="4"/>
      <c r="E60" s="76"/>
      <c r="F60" s="53"/>
      <c r="G60" s="4"/>
      <c r="H60" s="4"/>
      <c r="I60" s="4"/>
      <c r="J60" s="4"/>
      <c r="K60" s="4"/>
      <c r="L60" s="53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76"/>
      <c r="F61" s="53"/>
      <c r="G61" s="4"/>
      <c r="H61" s="4"/>
      <c r="I61" s="4"/>
      <c r="J61" s="4"/>
      <c r="K61" s="4"/>
      <c r="L61" s="53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76"/>
      <c r="F62" s="53"/>
      <c r="G62" s="4"/>
      <c r="H62" s="4"/>
      <c r="I62" s="4"/>
      <c r="J62" s="4"/>
      <c r="K62" s="4"/>
      <c r="L62" s="53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76"/>
      <c r="F63" s="53"/>
      <c r="G63" s="4"/>
      <c r="H63" s="4"/>
      <c r="I63" s="4"/>
      <c r="J63" s="4"/>
      <c r="K63" s="4"/>
      <c r="L63" s="53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76"/>
      <c r="F64" s="53"/>
      <c r="G64" s="4"/>
      <c r="H64" s="4"/>
      <c r="I64" s="4"/>
      <c r="J64" s="4"/>
      <c r="K64" s="4"/>
      <c r="L64" s="53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76"/>
      <c r="F65" s="53"/>
      <c r="G65" s="4"/>
      <c r="H65" s="4"/>
      <c r="I65" s="4"/>
      <c r="J65" s="4"/>
      <c r="K65" s="4"/>
      <c r="L65" s="53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76"/>
      <c r="F66" s="53"/>
      <c r="G66" s="4"/>
      <c r="H66" s="4"/>
      <c r="I66" s="4"/>
      <c r="J66" s="4"/>
      <c r="K66" s="4"/>
      <c r="L66" s="53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76"/>
      <c r="F67" s="53"/>
      <c r="G67" s="4"/>
      <c r="H67" s="4"/>
      <c r="I67" s="4"/>
      <c r="J67" s="4"/>
      <c r="K67" s="4"/>
      <c r="L67" s="53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76"/>
      <c r="F68" s="53"/>
      <c r="G68" s="4"/>
      <c r="H68" s="4"/>
      <c r="I68" s="4"/>
      <c r="J68" s="4"/>
      <c r="K68" s="4"/>
      <c r="L68" s="53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76"/>
      <c r="F69" s="53"/>
      <c r="G69" s="4"/>
      <c r="H69" s="4"/>
      <c r="I69" s="4"/>
      <c r="J69" s="4"/>
      <c r="K69" s="4"/>
      <c r="L69" s="53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76"/>
      <c r="F70" s="53"/>
      <c r="G70" s="4"/>
      <c r="H70" s="4"/>
      <c r="I70" s="4"/>
      <c r="J70" s="4"/>
      <c r="K70" s="4"/>
      <c r="L70" s="53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76"/>
      <c r="F71" s="53"/>
      <c r="G71" s="4"/>
      <c r="H71" s="4"/>
      <c r="I71" s="4"/>
      <c r="J71" s="4"/>
      <c r="K71" s="4"/>
      <c r="L71" s="53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76"/>
      <c r="F72" s="53"/>
      <c r="G72" s="4"/>
      <c r="H72" s="4"/>
      <c r="I72" s="4"/>
      <c r="J72" s="4"/>
      <c r="K72" s="4"/>
      <c r="L72" s="53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76"/>
      <c r="F73" s="53"/>
      <c r="G73" s="4"/>
      <c r="H73" s="4"/>
      <c r="I73" s="4"/>
      <c r="J73" s="4"/>
      <c r="K73" s="4"/>
      <c r="L73" s="53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76"/>
      <c r="F74" s="53"/>
      <c r="G74" s="4"/>
      <c r="H74" s="4"/>
      <c r="I74" s="4"/>
      <c r="J74" s="4"/>
      <c r="K74" s="4"/>
      <c r="L74" s="53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76"/>
      <c r="F75" s="53"/>
      <c r="G75" s="4"/>
      <c r="H75" s="4"/>
      <c r="I75" s="4"/>
      <c r="J75" s="4"/>
      <c r="K75" s="4"/>
      <c r="L75" s="53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76"/>
      <c r="F76" s="53"/>
      <c r="G76" s="4"/>
      <c r="H76" s="4"/>
      <c r="I76" s="4"/>
      <c r="J76" s="4"/>
      <c r="K76" s="4"/>
      <c r="L76" s="53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76"/>
      <c r="F77" s="53"/>
      <c r="G77" s="4"/>
      <c r="H77" s="4"/>
      <c r="I77" s="4"/>
      <c r="J77" s="4"/>
      <c r="K77" s="4"/>
      <c r="L77" s="53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76"/>
      <c r="F78" s="53"/>
      <c r="G78" s="4"/>
      <c r="H78" s="4"/>
      <c r="I78" s="4"/>
      <c r="J78" s="4"/>
      <c r="K78" s="4"/>
      <c r="L78" s="53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76"/>
      <c r="F79" s="53"/>
      <c r="G79" s="4"/>
      <c r="H79" s="4"/>
      <c r="I79" s="4"/>
      <c r="J79" s="4"/>
      <c r="K79" s="4"/>
      <c r="L79" s="53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76"/>
      <c r="F80" s="53"/>
      <c r="G80" s="4"/>
      <c r="H80" s="4"/>
      <c r="I80" s="4"/>
      <c r="J80" s="4"/>
      <c r="K80" s="4"/>
      <c r="L80" s="53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76"/>
      <c r="F81" s="53"/>
      <c r="G81" s="4"/>
      <c r="H81" s="4"/>
      <c r="I81" s="4"/>
      <c r="J81" s="4"/>
      <c r="K81" s="4"/>
      <c r="L81" s="53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76"/>
      <c r="F82" s="53"/>
      <c r="G82" s="4"/>
      <c r="H82" s="4"/>
      <c r="I82" s="4"/>
      <c r="J82" s="4"/>
      <c r="K82" s="4"/>
      <c r="L82" s="53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76"/>
      <c r="F83" s="53"/>
      <c r="G83" s="4"/>
      <c r="H83" s="4"/>
      <c r="I83" s="4"/>
      <c r="J83" s="4"/>
      <c r="K83" s="4"/>
      <c r="L83" s="53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76"/>
      <c r="F84" s="53"/>
      <c r="G84" s="4"/>
      <c r="H84" s="4"/>
      <c r="I84" s="4"/>
      <c r="J84" s="4"/>
      <c r="K84" s="4"/>
      <c r="L84" s="53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76"/>
      <c r="F85" s="53"/>
      <c r="G85" s="4"/>
      <c r="H85" s="4"/>
      <c r="I85" s="4"/>
      <c r="J85" s="4"/>
      <c r="K85" s="4"/>
      <c r="L85" s="53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76"/>
      <c r="F86" s="53"/>
      <c r="G86" s="4"/>
      <c r="H86" s="4"/>
      <c r="I86" s="4"/>
      <c r="J86" s="4"/>
      <c r="K86" s="4"/>
      <c r="L86" s="53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76"/>
      <c r="F87" s="53"/>
      <c r="G87" s="4"/>
      <c r="H87" s="4"/>
      <c r="I87" s="4"/>
      <c r="J87" s="4"/>
      <c r="K87" s="4"/>
      <c r="L87" s="53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76"/>
      <c r="F88" s="53"/>
      <c r="G88" s="4"/>
      <c r="H88" s="4"/>
      <c r="I88" s="4"/>
      <c r="J88" s="4"/>
      <c r="K88" s="4"/>
      <c r="L88" s="53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76"/>
      <c r="F89" s="53"/>
      <c r="G89" s="4"/>
      <c r="H89" s="4"/>
      <c r="I89" s="4"/>
      <c r="J89" s="4"/>
      <c r="K89" s="4"/>
      <c r="L89" s="53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76"/>
      <c r="F90" s="53"/>
      <c r="G90" s="4"/>
      <c r="H90" s="4"/>
      <c r="I90" s="4"/>
      <c r="J90" s="4"/>
      <c r="K90" s="4"/>
      <c r="L90" s="53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76"/>
      <c r="F91" s="53"/>
      <c r="G91" s="4"/>
      <c r="H91" s="4"/>
      <c r="I91" s="4"/>
      <c r="J91" s="4"/>
      <c r="K91" s="4"/>
      <c r="L91" s="53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76"/>
      <c r="F92" s="53"/>
      <c r="G92" s="4"/>
      <c r="H92" s="4"/>
      <c r="I92" s="4"/>
      <c r="J92" s="4"/>
      <c r="K92" s="4"/>
      <c r="L92" s="53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76"/>
      <c r="F93" s="53"/>
      <c r="G93" s="4"/>
      <c r="H93" s="4"/>
      <c r="I93" s="4"/>
      <c r="J93" s="4"/>
      <c r="K93" s="4"/>
      <c r="L93" s="53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76"/>
      <c r="F94" s="53"/>
      <c r="G94" s="4"/>
      <c r="H94" s="4"/>
      <c r="I94" s="4"/>
      <c r="J94" s="4"/>
      <c r="K94" s="4"/>
      <c r="L94" s="53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76"/>
      <c r="F95" s="53"/>
      <c r="G95" s="4"/>
      <c r="H95" s="4"/>
      <c r="I95" s="4"/>
      <c r="J95" s="4"/>
      <c r="K95" s="4"/>
      <c r="L95" s="53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76"/>
      <c r="F96" s="53"/>
      <c r="G96" s="4"/>
      <c r="H96" s="4"/>
      <c r="I96" s="4"/>
      <c r="J96" s="4"/>
      <c r="K96" s="4"/>
      <c r="L96" s="53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76"/>
      <c r="F97" s="53"/>
      <c r="G97" s="4"/>
      <c r="H97" s="4"/>
      <c r="I97" s="4"/>
      <c r="J97" s="4"/>
      <c r="K97" s="4"/>
      <c r="L97" s="53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76"/>
      <c r="F98" s="53"/>
      <c r="G98" s="4"/>
      <c r="H98" s="4"/>
      <c r="I98" s="4"/>
      <c r="J98" s="4"/>
      <c r="K98" s="4"/>
      <c r="L98" s="53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76"/>
      <c r="F99" s="53"/>
      <c r="G99" s="4"/>
      <c r="H99" s="4"/>
      <c r="I99" s="4"/>
      <c r="J99" s="4"/>
      <c r="K99" s="4"/>
      <c r="L99" s="53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76"/>
      <c r="F100" s="53"/>
      <c r="G100" s="4"/>
      <c r="H100" s="4"/>
      <c r="I100" s="4"/>
      <c r="J100" s="4"/>
      <c r="K100" s="4"/>
      <c r="L100" s="53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76"/>
      <c r="F101" s="53"/>
      <c r="G101" s="4"/>
      <c r="H101" s="4"/>
      <c r="I101" s="4"/>
      <c r="J101" s="4"/>
      <c r="K101" s="4"/>
      <c r="L101" s="53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76"/>
      <c r="F102" s="53"/>
      <c r="G102" s="4"/>
      <c r="H102" s="4"/>
      <c r="I102" s="4"/>
      <c r="J102" s="4"/>
      <c r="K102" s="4"/>
      <c r="L102" s="53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76"/>
      <c r="F103" s="53"/>
      <c r="G103" s="4"/>
      <c r="H103" s="4"/>
      <c r="I103" s="4"/>
      <c r="J103" s="4"/>
      <c r="K103" s="4"/>
      <c r="L103" s="53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76"/>
      <c r="F104" s="53"/>
      <c r="G104" s="4"/>
      <c r="H104" s="4"/>
      <c r="I104" s="4"/>
      <c r="J104" s="4"/>
      <c r="K104" s="4"/>
      <c r="L104" s="53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76"/>
      <c r="F105" s="53"/>
      <c r="G105" s="4"/>
      <c r="H105" s="4"/>
      <c r="I105" s="4"/>
      <c r="J105" s="4"/>
      <c r="K105" s="4"/>
      <c r="L105" s="53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76"/>
      <c r="F106" s="53"/>
      <c r="G106" s="4"/>
      <c r="H106" s="4"/>
      <c r="I106" s="4"/>
      <c r="J106" s="4"/>
      <c r="K106" s="4"/>
      <c r="L106" s="53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76"/>
      <c r="F107" s="53"/>
      <c r="G107" s="4"/>
      <c r="H107" s="4"/>
      <c r="I107" s="4"/>
      <c r="J107" s="4"/>
      <c r="K107" s="4"/>
      <c r="L107" s="53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76"/>
      <c r="F108" s="53"/>
      <c r="G108" s="4"/>
      <c r="H108" s="4"/>
      <c r="I108" s="4"/>
      <c r="J108" s="4"/>
      <c r="K108" s="4"/>
      <c r="L108" s="53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76"/>
      <c r="F109" s="53"/>
      <c r="G109" s="4"/>
      <c r="H109" s="4"/>
      <c r="I109" s="4"/>
      <c r="J109" s="4"/>
      <c r="K109" s="4"/>
      <c r="L109" s="53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76"/>
      <c r="F110" s="53"/>
      <c r="G110" s="4"/>
      <c r="H110" s="4"/>
      <c r="I110" s="4"/>
      <c r="J110" s="4"/>
      <c r="K110" s="4"/>
      <c r="L110" s="53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76"/>
      <c r="F111" s="53"/>
      <c r="G111" s="4"/>
      <c r="H111" s="4"/>
      <c r="I111" s="4"/>
      <c r="J111" s="4"/>
      <c r="K111" s="4"/>
      <c r="L111" s="53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76"/>
      <c r="F112" s="53"/>
      <c r="G112" s="4"/>
      <c r="H112" s="4"/>
      <c r="I112" s="4"/>
      <c r="J112" s="4"/>
      <c r="K112" s="4"/>
      <c r="L112" s="53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76"/>
      <c r="F113" s="53"/>
      <c r="G113" s="4"/>
      <c r="H113" s="4"/>
      <c r="I113" s="4"/>
      <c r="J113" s="4"/>
      <c r="K113" s="4"/>
      <c r="L113" s="53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76"/>
      <c r="F114" s="53"/>
      <c r="G114" s="4"/>
      <c r="H114" s="4"/>
      <c r="I114" s="4"/>
      <c r="J114" s="4"/>
      <c r="K114" s="4"/>
      <c r="L114" s="53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76"/>
      <c r="F115" s="53"/>
      <c r="G115" s="4"/>
      <c r="H115" s="4"/>
      <c r="I115" s="4"/>
      <c r="J115" s="4"/>
      <c r="K115" s="4"/>
      <c r="L115" s="53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76"/>
      <c r="F116" s="53"/>
      <c r="G116" s="4"/>
      <c r="H116" s="4"/>
      <c r="I116" s="4"/>
      <c r="J116" s="4"/>
      <c r="K116" s="4"/>
      <c r="L116" s="53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76"/>
      <c r="F117" s="53"/>
      <c r="G117" s="4"/>
      <c r="H117" s="4"/>
      <c r="I117" s="4"/>
      <c r="J117" s="4"/>
      <c r="K117" s="4"/>
      <c r="L117" s="53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76"/>
      <c r="F118" s="53"/>
      <c r="G118" s="4"/>
      <c r="H118" s="4"/>
      <c r="I118" s="4"/>
      <c r="J118" s="4"/>
      <c r="K118" s="4"/>
      <c r="L118" s="53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76"/>
      <c r="F119" s="53"/>
      <c r="G119" s="4"/>
      <c r="H119" s="4"/>
      <c r="I119" s="4"/>
      <c r="J119" s="4"/>
      <c r="K119" s="4"/>
      <c r="L119" s="53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76"/>
      <c r="F120" s="53"/>
      <c r="G120" s="4"/>
      <c r="H120" s="4"/>
      <c r="I120" s="4"/>
      <c r="J120" s="4"/>
      <c r="K120" s="4"/>
      <c r="L120" s="53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76"/>
      <c r="F121" s="53"/>
      <c r="G121" s="4"/>
      <c r="H121" s="4"/>
      <c r="I121" s="4"/>
      <c r="J121" s="4"/>
      <c r="K121" s="4"/>
      <c r="L121" s="53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76"/>
      <c r="F122" s="53"/>
      <c r="G122" s="4"/>
      <c r="H122" s="4"/>
      <c r="I122" s="4"/>
      <c r="J122" s="4"/>
      <c r="K122" s="4"/>
      <c r="L122" s="53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76"/>
      <c r="F123" s="53"/>
      <c r="G123" s="4"/>
      <c r="H123" s="4"/>
      <c r="I123" s="4"/>
      <c r="J123" s="4"/>
      <c r="K123" s="4"/>
      <c r="L123" s="53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76"/>
      <c r="F124" s="53"/>
      <c r="G124" s="4"/>
      <c r="H124" s="4"/>
      <c r="I124" s="4"/>
      <c r="J124" s="4"/>
      <c r="K124" s="4"/>
      <c r="L124" s="53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76"/>
      <c r="F125" s="53"/>
      <c r="G125" s="4"/>
      <c r="H125" s="4"/>
      <c r="I125" s="4"/>
      <c r="J125" s="4"/>
      <c r="K125" s="4"/>
      <c r="L125" s="53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76"/>
      <c r="F126" s="53"/>
      <c r="G126" s="4"/>
      <c r="H126" s="4"/>
      <c r="I126" s="4"/>
      <c r="J126" s="4"/>
      <c r="K126" s="4"/>
      <c r="L126" s="53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76"/>
      <c r="F127" s="53"/>
      <c r="G127" s="4"/>
      <c r="H127" s="4"/>
      <c r="I127" s="4"/>
      <c r="J127" s="4"/>
      <c r="K127" s="4"/>
      <c r="L127" s="53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76"/>
      <c r="F128" s="53"/>
      <c r="G128" s="4"/>
      <c r="H128" s="4"/>
      <c r="I128" s="4"/>
      <c r="J128" s="4"/>
      <c r="K128" s="4"/>
      <c r="L128" s="53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76"/>
      <c r="F129" s="53"/>
      <c r="G129" s="4"/>
      <c r="H129" s="4"/>
      <c r="I129" s="4"/>
      <c r="J129" s="4"/>
      <c r="K129" s="4"/>
      <c r="L129" s="53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76"/>
      <c r="F130" s="53"/>
      <c r="G130" s="4"/>
      <c r="H130" s="4"/>
      <c r="I130" s="4"/>
      <c r="J130" s="4"/>
      <c r="K130" s="4"/>
      <c r="L130" s="53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76"/>
      <c r="F131" s="53"/>
      <c r="G131" s="4"/>
      <c r="H131" s="4"/>
      <c r="I131" s="4"/>
      <c r="J131" s="4"/>
      <c r="K131" s="4"/>
      <c r="L131" s="53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76"/>
      <c r="F132" s="53"/>
      <c r="G132" s="4"/>
      <c r="H132" s="4"/>
      <c r="I132" s="4"/>
      <c r="J132" s="4"/>
      <c r="K132" s="4"/>
      <c r="L132" s="53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76"/>
      <c r="F133" s="53"/>
      <c r="G133" s="4"/>
      <c r="H133" s="4"/>
      <c r="I133" s="4"/>
      <c r="J133" s="4"/>
      <c r="K133" s="4"/>
      <c r="L133" s="53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76"/>
      <c r="F134" s="53"/>
      <c r="G134" s="4"/>
      <c r="H134" s="4"/>
      <c r="I134" s="4"/>
      <c r="J134" s="4"/>
      <c r="K134" s="4"/>
      <c r="L134" s="53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76"/>
      <c r="F135" s="53"/>
      <c r="G135" s="4"/>
      <c r="H135" s="4"/>
      <c r="I135" s="4"/>
      <c r="J135" s="4"/>
      <c r="K135" s="4"/>
      <c r="L135" s="53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76"/>
      <c r="F136" s="53"/>
      <c r="G136" s="4"/>
      <c r="H136" s="4"/>
      <c r="I136" s="4"/>
      <c r="J136" s="4"/>
      <c r="K136" s="4"/>
      <c r="L136" s="53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76"/>
      <c r="F137" s="53"/>
      <c r="G137" s="4"/>
      <c r="H137" s="4"/>
      <c r="I137" s="4"/>
      <c r="J137" s="4"/>
      <c r="K137" s="4"/>
      <c r="L137" s="53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76"/>
      <c r="F138" s="53"/>
      <c r="G138" s="4"/>
      <c r="H138" s="4"/>
      <c r="I138" s="4"/>
      <c r="J138" s="4"/>
      <c r="K138" s="4"/>
      <c r="L138" s="53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76"/>
      <c r="F139" s="53"/>
      <c r="G139" s="4"/>
      <c r="H139" s="4"/>
      <c r="I139" s="4"/>
      <c r="J139" s="4"/>
      <c r="K139" s="4"/>
      <c r="L139" s="53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76"/>
      <c r="F140" s="53"/>
      <c r="G140" s="4"/>
      <c r="H140" s="4"/>
      <c r="I140" s="4"/>
      <c r="J140" s="4"/>
      <c r="K140" s="4"/>
      <c r="L140" s="53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76"/>
      <c r="F141" s="53"/>
      <c r="G141" s="4"/>
      <c r="H141" s="4"/>
      <c r="I141" s="4"/>
      <c r="J141" s="4"/>
      <c r="K141" s="4"/>
      <c r="L141" s="53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76"/>
      <c r="F142" s="53"/>
      <c r="G142" s="4"/>
      <c r="H142" s="4"/>
      <c r="I142" s="4"/>
      <c r="J142" s="4"/>
      <c r="K142" s="4"/>
      <c r="L142" s="53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76"/>
      <c r="F143" s="53"/>
      <c r="G143" s="4"/>
      <c r="H143" s="4"/>
      <c r="I143" s="4"/>
      <c r="J143" s="4"/>
      <c r="K143" s="4"/>
      <c r="L143" s="53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76"/>
      <c r="F144" s="53"/>
      <c r="G144" s="4"/>
      <c r="H144" s="4"/>
      <c r="I144" s="4"/>
      <c r="J144" s="4"/>
      <c r="K144" s="4"/>
      <c r="L144" s="53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76"/>
      <c r="F145" s="53"/>
      <c r="G145" s="4"/>
      <c r="H145" s="4"/>
      <c r="I145" s="4"/>
      <c r="J145" s="4"/>
      <c r="K145" s="4"/>
      <c r="L145" s="53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76"/>
      <c r="F146" s="53"/>
      <c r="G146" s="4"/>
      <c r="H146" s="4"/>
      <c r="I146" s="4"/>
      <c r="J146" s="4"/>
      <c r="K146" s="4"/>
      <c r="L146" s="53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76"/>
      <c r="F147" s="53"/>
      <c r="G147" s="4"/>
      <c r="H147" s="4"/>
      <c r="I147" s="4"/>
      <c r="J147" s="4"/>
      <c r="K147" s="4"/>
      <c r="L147" s="53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76"/>
      <c r="F148" s="53"/>
      <c r="G148" s="4"/>
      <c r="H148" s="4"/>
      <c r="I148" s="4"/>
      <c r="J148" s="4"/>
      <c r="K148" s="4"/>
      <c r="L148" s="53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76"/>
      <c r="F149" s="53"/>
      <c r="G149" s="4"/>
      <c r="H149" s="4"/>
      <c r="I149" s="4"/>
      <c r="J149" s="4"/>
      <c r="K149" s="4"/>
      <c r="L149" s="53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76"/>
      <c r="F150" s="53"/>
      <c r="G150" s="4"/>
      <c r="H150" s="4"/>
      <c r="I150" s="4"/>
      <c r="J150" s="4"/>
      <c r="K150" s="4"/>
      <c r="L150" s="53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76"/>
      <c r="F151" s="53"/>
      <c r="G151" s="4"/>
      <c r="H151" s="4"/>
      <c r="I151" s="4"/>
      <c r="J151" s="4"/>
      <c r="K151" s="4"/>
      <c r="L151" s="53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76"/>
      <c r="F152" s="53"/>
      <c r="G152" s="4"/>
      <c r="H152" s="4"/>
      <c r="I152" s="4"/>
      <c r="J152" s="4"/>
      <c r="K152" s="4"/>
      <c r="L152" s="53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76"/>
      <c r="F153" s="53"/>
      <c r="G153" s="4"/>
      <c r="H153" s="4"/>
      <c r="I153" s="4"/>
      <c r="J153" s="4"/>
      <c r="K153" s="4"/>
      <c r="L153" s="53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76"/>
      <c r="F154" s="53"/>
      <c r="G154" s="4"/>
      <c r="H154" s="4"/>
      <c r="I154" s="4"/>
      <c r="J154" s="4"/>
      <c r="K154" s="4"/>
      <c r="L154" s="53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76"/>
      <c r="F155" s="53"/>
      <c r="G155" s="4"/>
      <c r="H155" s="4"/>
      <c r="I155" s="4"/>
      <c r="J155" s="4"/>
      <c r="K155" s="4"/>
      <c r="L155" s="53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76"/>
      <c r="F156" s="53"/>
      <c r="G156" s="4"/>
      <c r="H156" s="4"/>
      <c r="I156" s="4"/>
      <c r="J156" s="4"/>
      <c r="K156" s="4"/>
      <c r="L156" s="53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76"/>
      <c r="F157" s="53"/>
      <c r="G157" s="4"/>
      <c r="H157" s="4"/>
      <c r="I157" s="4"/>
      <c r="J157" s="4"/>
      <c r="K157" s="4"/>
      <c r="L157" s="53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76"/>
      <c r="F158" s="53"/>
      <c r="G158" s="4"/>
      <c r="H158" s="4"/>
      <c r="I158" s="4"/>
      <c r="J158" s="4"/>
      <c r="K158" s="4"/>
      <c r="L158" s="53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76"/>
      <c r="F159" s="53"/>
      <c r="G159" s="4"/>
      <c r="H159" s="4"/>
      <c r="I159" s="4"/>
      <c r="J159" s="4"/>
      <c r="K159" s="4"/>
      <c r="L159" s="53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76"/>
      <c r="F160" s="53"/>
      <c r="G160" s="4"/>
      <c r="H160" s="4"/>
      <c r="I160" s="4"/>
      <c r="J160" s="4"/>
      <c r="K160" s="4"/>
      <c r="L160" s="53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76"/>
      <c r="F161" s="53"/>
      <c r="G161" s="4"/>
      <c r="H161" s="4"/>
      <c r="I161" s="4"/>
      <c r="J161" s="4"/>
      <c r="K161" s="4"/>
      <c r="L161" s="53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76"/>
      <c r="F162" s="53"/>
      <c r="G162" s="4"/>
      <c r="H162" s="4"/>
      <c r="I162" s="4"/>
      <c r="J162" s="4"/>
      <c r="K162" s="4"/>
      <c r="L162" s="53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76"/>
      <c r="F163" s="53"/>
      <c r="G163" s="4"/>
      <c r="H163" s="4"/>
      <c r="I163" s="4"/>
      <c r="J163" s="4"/>
      <c r="K163" s="4"/>
      <c r="L163" s="53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76"/>
      <c r="F164" s="53"/>
      <c r="G164" s="4"/>
      <c r="H164" s="4"/>
      <c r="I164" s="4"/>
      <c r="J164" s="4"/>
      <c r="K164" s="4"/>
      <c r="L164" s="53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76"/>
      <c r="F165" s="53"/>
      <c r="G165" s="4"/>
      <c r="H165" s="4"/>
      <c r="I165" s="4"/>
      <c r="J165" s="4"/>
      <c r="K165" s="4"/>
      <c r="L165" s="53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76"/>
      <c r="F166" s="53"/>
      <c r="G166" s="4"/>
      <c r="H166" s="4"/>
      <c r="I166" s="4"/>
      <c r="J166" s="4"/>
      <c r="K166" s="4"/>
      <c r="L166" s="53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76"/>
      <c r="F167" s="53"/>
      <c r="G167" s="4"/>
      <c r="H167" s="4"/>
      <c r="I167" s="4"/>
      <c r="J167" s="4"/>
      <c r="K167" s="4"/>
      <c r="L167" s="53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76"/>
      <c r="F168" s="53"/>
      <c r="G168" s="4"/>
      <c r="H168" s="4"/>
      <c r="I168" s="4"/>
      <c r="J168" s="4"/>
      <c r="K168" s="4"/>
      <c r="L168" s="53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76"/>
      <c r="F169" s="53"/>
      <c r="G169" s="4"/>
      <c r="H169" s="4"/>
      <c r="I169" s="4"/>
      <c r="J169" s="4"/>
      <c r="K169" s="4"/>
      <c r="L169" s="53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76"/>
      <c r="F170" s="53"/>
      <c r="G170" s="4"/>
      <c r="H170" s="4"/>
      <c r="I170" s="4"/>
      <c r="J170" s="4"/>
      <c r="K170" s="4"/>
      <c r="L170" s="53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76"/>
      <c r="F171" s="53"/>
      <c r="G171" s="4"/>
      <c r="H171" s="4"/>
      <c r="I171" s="4"/>
      <c r="J171" s="4"/>
      <c r="K171" s="4"/>
      <c r="L171" s="53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76"/>
      <c r="F172" s="53"/>
      <c r="G172" s="4"/>
      <c r="H172" s="4"/>
      <c r="I172" s="4"/>
      <c r="J172" s="4"/>
      <c r="K172" s="4"/>
      <c r="L172" s="53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76"/>
      <c r="F173" s="53"/>
      <c r="G173" s="4"/>
      <c r="H173" s="4"/>
      <c r="I173" s="4"/>
      <c r="J173" s="4"/>
      <c r="K173" s="4"/>
      <c r="L173" s="53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76"/>
      <c r="F174" s="53"/>
      <c r="G174" s="4"/>
      <c r="H174" s="4"/>
      <c r="I174" s="4"/>
      <c r="J174" s="4"/>
      <c r="K174" s="4"/>
      <c r="L174" s="53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76"/>
      <c r="F175" s="53"/>
      <c r="G175" s="4"/>
      <c r="H175" s="4"/>
      <c r="I175" s="4"/>
      <c r="J175" s="4"/>
      <c r="K175" s="4"/>
      <c r="L175" s="53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76"/>
      <c r="F176" s="53"/>
      <c r="G176" s="4"/>
      <c r="H176" s="4"/>
      <c r="I176" s="4"/>
      <c r="J176" s="4"/>
      <c r="K176" s="4"/>
      <c r="L176" s="53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76"/>
      <c r="F177" s="53"/>
      <c r="G177" s="4"/>
      <c r="H177" s="4"/>
      <c r="I177" s="4"/>
      <c r="J177" s="4"/>
      <c r="K177" s="4"/>
      <c r="L177" s="53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76"/>
      <c r="F178" s="53"/>
      <c r="G178" s="4"/>
      <c r="H178" s="4"/>
      <c r="I178" s="4"/>
      <c r="J178" s="4"/>
      <c r="K178" s="4"/>
      <c r="L178" s="53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76"/>
      <c r="F179" s="53"/>
      <c r="G179" s="4"/>
      <c r="H179" s="4"/>
      <c r="I179" s="4"/>
      <c r="J179" s="4"/>
      <c r="K179" s="4"/>
      <c r="L179" s="53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76"/>
      <c r="F180" s="53"/>
      <c r="G180" s="4"/>
      <c r="H180" s="4"/>
      <c r="I180" s="4"/>
      <c r="J180" s="4"/>
      <c r="K180" s="4"/>
      <c r="L180" s="53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76"/>
      <c r="F181" s="53"/>
      <c r="G181" s="4"/>
      <c r="H181" s="4"/>
      <c r="I181" s="4"/>
      <c r="J181" s="4"/>
      <c r="K181" s="4"/>
      <c r="L181" s="53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76"/>
      <c r="F182" s="53"/>
      <c r="G182" s="4"/>
      <c r="H182" s="4"/>
      <c r="I182" s="4"/>
      <c r="J182" s="4"/>
      <c r="K182" s="4"/>
      <c r="L182" s="53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76"/>
      <c r="F183" s="53"/>
      <c r="G183" s="4"/>
      <c r="H183" s="4"/>
      <c r="I183" s="4"/>
      <c r="J183" s="4"/>
      <c r="K183" s="4"/>
      <c r="L183" s="53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76"/>
      <c r="F184" s="53"/>
      <c r="G184" s="4"/>
      <c r="H184" s="4"/>
      <c r="I184" s="4"/>
      <c r="J184" s="4"/>
      <c r="K184" s="4"/>
      <c r="L184" s="53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76"/>
      <c r="F185" s="53"/>
      <c r="G185" s="4"/>
      <c r="H185" s="4"/>
      <c r="I185" s="4"/>
      <c r="J185" s="4"/>
      <c r="K185" s="4"/>
      <c r="L185" s="53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76"/>
      <c r="F186" s="53"/>
      <c r="G186" s="4"/>
      <c r="H186" s="4"/>
      <c r="I186" s="4"/>
      <c r="J186" s="4"/>
      <c r="K186" s="4"/>
      <c r="L186" s="53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76"/>
      <c r="F187" s="53"/>
      <c r="G187" s="4"/>
      <c r="H187" s="4"/>
      <c r="I187" s="4"/>
      <c r="J187" s="4"/>
      <c r="K187" s="4"/>
      <c r="L187" s="53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76"/>
      <c r="F188" s="53"/>
      <c r="G188" s="4"/>
      <c r="H188" s="4"/>
      <c r="I188" s="4"/>
      <c r="J188" s="4"/>
      <c r="K188" s="4"/>
      <c r="L188" s="53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76"/>
      <c r="F189" s="53"/>
      <c r="G189" s="4"/>
      <c r="H189" s="4"/>
      <c r="I189" s="4"/>
      <c r="J189" s="4"/>
      <c r="K189" s="4"/>
      <c r="L189" s="53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76"/>
      <c r="F190" s="53"/>
      <c r="G190" s="4"/>
      <c r="H190" s="4"/>
      <c r="I190" s="4"/>
      <c r="J190" s="4"/>
      <c r="K190" s="4"/>
      <c r="L190" s="53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76"/>
      <c r="F191" s="53"/>
      <c r="G191" s="4"/>
      <c r="H191" s="4"/>
      <c r="I191" s="4"/>
      <c r="J191" s="4"/>
      <c r="K191" s="4"/>
      <c r="L191" s="53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76"/>
      <c r="F192" s="53"/>
      <c r="G192" s="4"/>
      <c r="H192" s="4"/>
      <c r="I192" s="4"/>
      <c r="J192" s="4"/>
      <c r="K192" s="4"/>
      <c r="L192" s="53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76"/>
      <c r="F193" s="53"/>
      <c r="G193" s="4"/>
      <c r="H193" s="4"/>
      <c r="I193" s="4"/>
      <c r="J193" s="4"/>
      <c r="K193" s="4"/>
      <c r="L193" s="53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76"/>
      <c r="F194" s="53"/>
      <c r="G194" s="4"/>
      <c r="H194" s="4"/>
      <c r="I194" s="4"/>
      <c r="J194" s="4"/>
      <c r="K194" s="4"/>
      <c r="L194" s="53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76"/>
      <c r="F195" s="53"/>
      <c r="G195" s="4"/>
      <c r="H195" s="4"/>
      <c r="I195" s="4"/>
      <c r="J195" s="4"/>
      <c r="K195" s="4"/>
      <c r="L195" s="53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76"/>
      <c r="F196" s="53"/>
      <c r="G196" s="4"/>
      <c r="H196" s="4"/>
      <c r="I196" s="4"/>
      <c r="J196" s="4"/>
      <c r="K196" s="4"/>
      <c r="L196" s="53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76"/>
      <c r="F197" s="53"/>
      <c r="G197" s="4"/>
      <c r="H197" s="4"/>
      <c r="I197" s="4"/>
      <c r="J197" s="4"/>
      <c r="K197" s="4"/>
      <c r="L197" s="53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76"/>
      <c r="F198" s="53"/>
      <c r="G198" s="4"/>
      <c r="H198" s="4"/>
      <c r="I198" s="4"/>
      <c r="J198" s="4"/>
      <c r="K198" s="4"/>
      <c r="L198" s="53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76"/>
      <c r="F199" s="53"/>
      <c r="G199" s="4"/>
      <c r="H199" s="4"/>
      <c r="I199" s="4"/>
      <c r="J199" s="4"/>
      <c r="K199" s="4"/>
      <c r="L199" s="53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76"/>
      <c r="F200" s="53"/>
      <c r="G200" s="4"/>
      <c r="H200" s="4"/>
      <c r="I200" s="4"/>
      <c r="J200" s="4"/>
      <c r="K200" s="4"/>
      <c r="L200" s="53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76"/>
      <c r="F201" s="53"/>
      <c r="G201" s="4"/>
      <c r="H201" s="4"/>
      <c r="I201" s="4"/>
      <c r="J201" s="4"/>
      <c r="K201" s="4"/>
      <c r="L201" s="53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76"/>
      <c r="F202" s="53"/>
      <c r="G202" s="4"/>
      <c r="H202" s="4"/>
      <c r="I202" s="4"/>
      <c r="J202" s="4"/>
      <c r="K202" s="4"/>
      <c r="L202" s="53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76"/>
      <c r="F203" s="53"/>
      <c r="G203" s="4"/>
      <c r="H203" s="4"/>
      <c r="I203" s="4"/>
      <c r="J203" s="4"/>
      <c r="K203" s="4"/>
      <c r="L203" s="53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76"/>
      <c r="F204" s="53"/>
      <c r="G204" s="4"/>
      <c r="H204" s="4"/>
      <c r="I204" s="4"/>
      <c r="J204" s="4"/>
      <c r="K204" s="4"/>
      <c r="L204" s="53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76"/>
      <c r="F205" s="53"/>
      <c r="G205" s="4"/>
      <c r="H205" s="4"/>
      <c r="I205" s="4"/>
      <c r="J205" s="4"/>
      <c r="K205" s="4"/>
      <c r="L205" s="53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76"/>
      <c r="F206" s="53"/>
      <c r="G206" s="4"/>
      <c r="H206" s="4"/>
      <c r="I206" s="4"/>
      <c r="J206" s="4"/>
      <c r="K206" s="4"/>
      <c r="L206" s="53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76"/>
      <c r="F207" s="53"/>
      <c r="G207" s="4"/>
      <c r="H207" s="4"/>
      <c r="I207" s="4"/>
      <c r="J207" s="4"/>
      <c r="K207" s="4"/>
      <c r="L207" s="53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76"/>
      <c r="F208" s="53"/>
      <c r="G208" s="4"/>
      <c r="H208" s="4"/>
      <c r="I208" s="4"/>
      <c r="J208" s="4"/>
      <c r="K208" s="4"/>
      <c r="L208" s="53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76"/>
      <c r="F209" s="53"/>
      <c r="G209" s="4"/>
      <c r="H209" s="4"/>
      <c r="I209" s="4"/>
      <c r="J209" s="4"/>
      <c r="K209" s="4"/>
      <c r="L209" s="53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76"/>
      <c r="F210" s="53"/>
      <c r="G210" s="4"/>
      <c r="H210" s="4"/>
      <c r="I210" s="4"/>
      <c r="J210" s="4"/>
      <c r="K210" s="4"/>
      <c r="L210" s="53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76"/>
      <c r="F211" s="53"/>
      <c r="G211" s="4"/>
      <c r="H211" s="4"/>
      <c r="I211" s="4"/>
      <c r="J211" s="4"/>
      <c r="K211" s="4"/>
      <c r="L211" s="53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76"/>
      <c r="F212" s="53"/>
      <c r="G212" s="4"/>
      <c r="H212" s="4"/>
      <c r="I212" s="4"/>
      <c r="J212" s="4"/>
      <c r="K212" s="4"/>
      <c r="L212" s="53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76"/>
      <c r="F213" s="53"/>
      <c r="G213" s="4"/>
      <c r="H213" s="4"/>
      <c r="I213" s="4"/>
      <c r="J213" s="4"/>
      <c r="K213" s="4"/>
      <c r="L213" s="53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76"/>
      <c r="F214" s="53"/>
      <c r="G214" s="4"/>
      <c r="H214" s="4"/>
      <c r="I214" s="4"/>
      <c r="J214" s="4"/>
      <c r="K214" s="4"/>
      <c r="L214" s="53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76"/>
      <c r="F215" s="53"/>
      <c r="G215" s="4"/>
      <c r="H215" s="4"/>
      <c r="I215" s="4"/>
      <c r="J215" s="4"/>
      <c r="K215" s="4"/>
      <c r="L215" s="53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76"/>
      <c r="F216" s="53"/>
      <c r="G216" s="4"/>
      <c r="H216" s="4"/>
      <c r="I216" s="4"/>
      <c r="J216" s="4"/>
      <c r="K216" s="4"/>
      <c r="L216" s="53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76"/>
      <c r="F217" s="53"/>
      <c r="G217" s="4"/>
      <c r="H217" s="4"/>
      <c r="I217" s="4"/>
      <c r="J217" s="4"/>
      <c r="K217" s="4"/>
      <c r="L217" s="53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76"/>
      <c r="F218" s="53"/>
      <c r="G218" s="4"/>
      <c r="H218" s="4"/>
      <c r="I218" s="4"/>
      <c r="J218" s="4"/>
      <c r="K218" s="4"/>
      <c r="L218" s="53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76"/>
      <c r="F219" s="53"/>
      <c r="G219" s="4"/>
      <c r="H219" s="4"/>
      <c r="I219" s="4"/>
      <c r="J219" s="4"/>
      <c r="K219" s="4"/>
      <c r="L219" s="53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76"/>
      <c r="F220" s="53"/>
      <c r="G220" s="4"/>
      <c r="H220" s="4"/>
      <c r="I220" s="4"/>
      <c r="J220" s="4"/>
      <c r="K220" s="4"/>
      <c r="L220" s="53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76"/>
      <c r="F221" s="53"/>
      <c r="G221" s="4"/>
      <c r="H221" s="4"/>
      <c r="I221" s="4"/>
      <c r="J221" s="4"/>
      <c r="K221" s="4"/>
      <c r="L221" s="53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76"/>
      <c r="F222" s="53"/>
      <c r="G222" s="4"/>
      <c r="H222" s="4"/>
      <c r="I222" s="4"/>
      <c r="J222" s="4"/>
      <c r="K222" s="4"/>
      <c r="L222" s="53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76"/>
      <c r="F223" s="53"/>
      <c r="G223" s="4"/>
      <c r="H223" s="4"/>
      <c r="I223" s="4"/>
      <c r="J223" s="4"/>
      <c r="K223" s="4"/>
      <c r="L223" s="53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76"/>
      <c r="F224" s="53"/>
      <c r="G224" s="4"/>
      <c r="H224" s="4"/>
      <c r="I224" s="4"/>
      <c r="J224" s="4"/>
      <c r="K224" s="4"/>
      <c r="L224" s="53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76"/>
      <c r="F225" s="53"/>
      <c r="G225" s="4"/>
      <c r="H225" s="4"/>
      <c r="I225" s="4"/>
      <c r="J225" s="4"/>
      <c r="K225" s="4"/>
      <c r="L225" s="53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76"/>
      <c r="F226" s="53"/>
      <c r="G226" s="4"/>
      <c r="H226" s="4"/>
      <c r="I226" s="4"/>
      <c r="J226" s="4"/>
      <c r="K226" s="4"/>
      <c r="L226" s="53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76"/>
      <c r="F227" s="53"/>
      <c r="G227" s="4"/>
      <c r="H227" s="4"/>
      <c r="I227" s="4"/>
      <c r="J227" s="4"/>
      <c r="K227" s="4"/>
      <c r="L227" s="53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76"/>
      <c r="F228" s="53"/>
      <c r="G228" s="4"/>
      <c r="H228" s="4"/>
      <c r="I228" s="4"/>
      <c r="J228" s="4"/>
      <c r="K228" s="4"/>
      <c r="L228" s="53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76"/>
      <c r="F229" s="53"/>
      <c r="G229" s="4"/>
      <c r="H229" s="4"/>
      <c r="I229" s="4"/>
      <c r="J229" s="4"/>
      <c r="K229" s="4"/>
      <c r="L229" s="53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76"/>
      <c r="F230" s="53"/>
      <c r="G230" s="4"/>
      <c r="H230" s="4"/>
      <c r="I230" s="4"/>
      <c r="J230" s="4"/>
      <c r="K230" s="4"/>
      <c r="L230" s="53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76"/>
      <c r="F231" s="53"/>
      <c r="G231" s="4"/>
      <c r="H231" s="4"/>
      <c r="I231" s="4"/>
      <c r="J231" s="4"/>
      <c r="K231" s="4"/>
      <c r="L231" s="53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76"/>
      <c r="F232" s="53"/>
      <c r="G232" s="4"/>
      <c r="H232" s="4"/>
      <c r="I232" s="4"/>
      <c r="J232" s="4"/>
      <c r="K232" s="4"/>
      <c r="L232" s="53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76"/>
      <c r="F233" s="53"/>
      <c r="G233" s="4"/>
      <c r="H233" s="4"/>
      <c r="I233" s="4"/>
      <c r="J233" s="4"/>
      <c r="K233" s="4"/>
      <c r="L233" s="53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76"/>
      <c r="F234" s="53"/>
      <c r="G234" s="4"/>
      <c r="H234" s="4"/>
      <c r="I234" s="4"/>
      <c r="J234" s="4"/>
      <c r="K234" s="4"/>
      <c r="L234" s="53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76"/>
      <c r="F235" s="53"/>
      <c r="G235" s="4"/>
      <c r="H235" s="4"/>
      <c r="I235" s="4"/>
      <c r="J235" s="4"/>
      <c r="K235" s="4"/>
      <c r="L235" s="53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76"/>
      <c r="F236" s="53"/>
      <c r="G236" s="4"/>
      <c r="H236" s="4"/>
      <c r="I236" s="4"/>
      <c r="J236" s="4"/>
      <c r="K236" s="4"/>
      <c r="L236" s="53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76"/>
      <c r="F237" s="53"/>
      <c r="G237" s="4"/>
      <c r="H237" s="4"/>
      <c r="I237" s="4"/>
      <c r="J237" s="4"/>
      <c r="K237" s="4"/>
      <c r="L237" s="53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76"/>
      <c r="F238" s="53"/>
      <c r="G238" s="4"/>
      <c r="H238" s="4"/>
      <c r="I238" s="4"/>
      <c r="J238" s="4"/>
      <c r="K238" s="4"/>
      <c r="L238" s="53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76"/>
      <c r="F239" s="53"/>
      <c r="G239" s="4"/>
      <c r="H239" s="4"/>
      <c r="I239" s="4"/>
      <c r="J239" s="4"/>
      <c r="K239" s="4"/>
      <c r="L239" s="53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76"/>
      <c r="F240" s="53"/>
      <c r="G240" s="4"/>
      <c r="H240" s="4"/>
      <c r="I240" s="4"/>
      <c r="J240" s="4"/>
      <c r="K240" s="4"/>
      <c r="L240" s="53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76"/>
      <c r="F241" s="53"/>
      <c r="G241" s="4"/>
      <c r="H241" s="4"/>
      <c r="I241" s="4"/>
      <c r="J241" s="4"/>
      <c r="K241" s="4"/>
      <c r="L241" s="53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76"/>
      <c r="F242" s="53"/>
      <c r="G242" s="4"/>
      <c r="H242" s="4"/>
      <c r="I242" s="4"/>
      <c r="J242" s="4"/>
      <c r="K242" s="4"/>
      <c r="L242" s="53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76"/>
      <c r="F243" s="53"/>
      <c r="G243" s="4"/>
      <c r="H243" s="4"/>
      <c r="I243" s="4"/>
      <c r="J243" s="4"/>
      <c r="K243" s="4"/>
      <c r="L243" s="53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76"/>
      <c r="F244" s="53"/>
      <c r="G244" s="4"/>
      <c r="H244" s="4"/>
      <c r="I244" s="4"/>
      <c r="J244" s="4"/>
      <c r="K244" s="4"/>
      <c r="L244" s="53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76"/>
      <c r="F245" s="53"/>
      <c r="G245" s="4"/>
      <c r="H245" s="4"/>
      <c r="I245" s="4"/>
      <c r="J245" s="4"/>
      <c r="K245" s="4"/>
      <c r="L245" s="53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76"/>
      <c r="F246" s="53"/>
      <c r="G246" s="4"/>
      <c r="H246" s="4"/>
      <c r="I246" s="4"/>
      <c r="J246" s="4"/>
      <c r="K246" s="4"/>
      <c r="L246" s="53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76"/>
      <c r="F247" s="53"/>
      <c r="G247" s="4"/>
      <c r="H247" s="4"/>
      <c r="I247" s="4"/>
      <c r="J247" s="4"/>
      <c r="K247" s="4"/>
      <c r="L247" s="53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76"/>
      <c r="F248" s="53"/>
      <c r="G248" s="4"/>
      <c r="H248" s="4"/>
      <c r="I248" s="4"/>
      <c r="J248" s="4"/>
      <c r="K248" s="4"/>
      <c r="L248" s="53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76"/>
      <c r="F249" s="53"/>
      <c r="G249" s="4"/>
      <c r="H249" s="4"/>
      <c r="I249" s="4"/>
      <c r="J249" s="4"/>
      <c r="K249" s="4"/>
      <c r="L249" s="53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76"/>
      <c r="F250" s="53"/>
      <c r="G250" s="4"/>
      <c r="H250" s="4"/>
      <c r="I250" s="4"/>
      <c r="J250" s="4"/>
      <c r="K250" s="4"/>
      <c r="L250" s="53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76"/>
      <c r="F251" s="53"/>
      <c r="G251" s="4"/>
      <c r="H251" s="4"/>
      <c r="I251" s="4"/>
      <c r="J251" s="4"/>
      <c r="K251" s="4"/>
      <c r="L251" s="53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76"/>
      <c r="F252" s="53"/>
      <c r="G252" s="4"/>
      <c r="H252" s="4"/>
      <c r="I252" s="4"/>
      <c r="J252" s="4"/>
      <c r="K252" s="4"/>
      <c r="L252" s="53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76"/>
      <c r="F253" s="53"/>
      <c r="G253" s="4"/>
      <c r="H253" s="4"/>
      <c r="I253" s="4"/>
      <c r="J253" s="4"/>
      <c r="K253" s="4"/>
      <c r="L253" s="53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76"/>
      <c r="F254" s="53"/>
      <c r="G254" s="4"/>
      <c r="H254" s="4"/>
      <c r="I254" s="4"/>
      <c r="J254" s="4"/>
      <c r="K254" s="4"/>
      <c r="L254" s="53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76"/>
      <c r="F255" s="53"/>
      <c r="G255" s="4"/>
      <c r="H255" s="4"/>
      <c r="I255" s="4"/>
      <c r="J255" s="4"/>
      <c r="K255" s="4"/>
      <c r="L255" s="53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76"/>
      <c r="F256" s="53"/>
      <c r="G256" s="4"/>
      <c r="H256" s="4"/>
      <c r="I256" s="4"/>
      <c r="J256" s="4"/>
      <c r="K256" s="4"/>
      <c r="L256" s="53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76"/>
      <c r="F257" s="53"/>
      <c r="G257" s="4"/>
      <c r="H257" s="4"/>
      <c r="I257" s="4"/>
      <c r="J257" s="4"/>
      <c r="K257" s="4"/>
      <c r="L257" s="53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76"/>
      <c r="F258" s="53"/>
      <c r="G258" s="4"/>
      <c r="H258" s="4"/>
      <c r="I258" s="4"/>
      <c r="J258" s="4"/>
      <c r="K258" s="4"/>
      <c r="L258" s="53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76"/>
      <c r="F259" s="53"/>
      <c r="G259" s="4"/>
      <c r="H259" s="4"/>
      <c r="I259" s="4"/>
      <c r="J259" s="4"/>
      <c r="K259" s="4"/>
      <c r="L259" s="53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76"/>
      <c r="F260" s="53"/>
      <c r="G260" s="4"/>
      <c r="H260" s="4"/>
      <c r="I260" s="4"/>
      <c r="J260" s="4"/>
      <c r="K260" s="4"/>
      <c r="L260" s="53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76"/>
      <c r="F261" s="53"/>
      <c r="G261" s="4"/>
      <c r="H261" s="4"/>
      <c r="I261" s="4"/>
      <c r="J261" s="4"/>
      <c r="K261" s="4"/>
      <c r="L261" s="53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76"/>
      <c r="F262" s="53"/>
      <c r="G262" s="4"/>
      <c r="H262" s="4"/>
      <c r="I262" s="4"/>
      <c r="J262" s="4"/>
      <c r="K262" s="4"/>
      <c r="L262" s="53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76"/>
      <c r="F263" s="53"/>
      <c r="G263" s="4"/>
      <c r="H263" s="4"/>
      <c r="I263" s="4"/>
      <c r="J263" s="4"/>
      <c r="K263" s="4"/>
      <c r="L263" s="53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76"/>
      <c r="F264" s="53"/>
      <c r="G264" s="4"/>
      <c r="H264" s="4"/>
      <c r="I264" s="4"/>
      <c r="J264" s="4"/>
      <c r="K264" s="4"/>
      <c r="L264" s="53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76"/>
      <c r="F265" s="53"/>
      <c r="G265" s="4"/>
      <c r="H265" s="4"/>
      <c r="I265" s="4"/>
      <c r="J265" s="4"/>
      <c r="K265" s="4"/>
      <c r="L265" s="53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76"/>
      <c r="F266" s="53"/>
      <c r="G266" s="4"/>
      <c r="H266" s="4"/>
      <c r="I266" s="4"/>
      <c r="J266" s="4"/>
      <c r="K266" s="4"/>
      <c r="L266" s="53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76"/>
      <c r="F267" s="53"/>
      <c r="G267" s="4"/>
      <c r="H267" s="4"/>
      <c r="I267" s="4"/>
      <c r="J267" s="4"/>
      <c r="K267" s="4"/>
      <c r="L267" s="53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76"/>
      <c r="F268" s="53"/>
      <c r="G268" s="4"/>
      <c r="H268" s="4"/>
      <c r="I268" s="4"/>
      <c r="J268" s="4"/>
      <c r="K268" s="4"/>
      <c r="L268" s="53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76"/>
      <c r="F269" s="53"/>
      <c r="G269" s="4"/>
      <c r="H269" s="4"/>
      <c r="I269" s="4"/>
      <c r="J269" s="4"/>
      <c r="K269" s="4"/>
      <c r="L269" s="53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76"/>
      <c r="F270" s="53"/>
      <c r="G270" s="4"/>
      <c r="H270" s="4"/>
      <c r="I270" s="4"/>
      <c r="J270" s="4"/>
      <c r="K270" s="4"/>
      <c r="L270" s="53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76"/>
      <c r="F271" s="53"/>
      <c r="G271" s="4"/>
      <c r="H271" s="4"/>
      <c r="I271" s="4"/>
      <c r="J271" s="4"/>
      <c r="K271" s="4"/>
      <c r="L271" s="53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76"/>
      <c r="F272" s="53"/>
      <c r="G272" s="4"/>
      <c r="H272" s="4"/>
      <c r="I272" s="4"/>
      <c r="J272" s="4"/>
      <c r="K272" s="4"/>
      <c r="L272" s="53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76"/>
      <c r="F273" s="53"/>
      <c r="G273" s="4"/>
      <c r="H273" s="4"/>
      <c r="I273" s="4"/>
      <c r="J273" s="4"/>
      <c r="K273" s="4"/>
      <c r="L273" s="53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76"/>
      <c r="F274" s="53"/>
      <c r="G274" s="4"/>
      <c r="H274" s="4"/>
      <c r="I274" s="4"/>
      <c r="J274" s="4"/>
      <c r="K274" s="4"/>
      <c r="L274" s="53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76"/>
      <c r="F275" s="53"/>
      <c r="G275" s="4"/>
      <c r="H275" s="4"/>
      <c r="I275" s="4"/>
      <c r="J275" s="4"/>
      <c r="K275" s="4"/>
      <c r="L275" s="53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76"/>
      <c r="F276" s="53"/>
      <c r="G276" s="4"/>
      <c r="H276" s="4"/>
      <c r="I276" s="4"/>
      <c r="J276" s="4"/>
      <c r="K276" s="4"/>
      <c r="L276" s="53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76"/>
      <c r="F277" s="53"/>
      <c r="G277" s="4"/>
      <c r="H277" s="4"/>
      <c r="I277" s="4"/>
      <c r="J277" s="4"/>
      <c r="K277" s="4"/>
      <c r="L277" s="53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76"/>
      <c r="F278" s="53"/>
      <c r="G278" s="4"/>
      <c r="H278" s="4"/>
      <c r="I278" s="4"/>
      <c r="J278" s="4"/>
      <c r="K278" s="4"/>
      <c r="L278" s="53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76"/>
      <c r="F279" s="53"/>
      <c r="G279" s="4"/>
      <c r="H279" s="4"/>
      <c r="I279" s="4"/>
      <c r="J279" s="4"/>
      <c r="K279" s="4"/>
      <c r="L279" s="53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76"/>
      <c r="F280" s="53"/>
      <c r="G280" s="4"/>
      <c r="H280" s="4"/>
      <c r="I280" s="4"/>
      <c r="J280" s="4"/>
      <c r="K280" s="4"/>
      <c r="L280" s="53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76"/>
      <c r="F281" s="53"/>
      <c r="G281" s="4"/>
      <c r="H281" s="4"/>
      <c r="I281" s="4"/>
      <c r="J281" s="4"/>
      <c r="K281" s="4"/>
      <c r="L281" s="53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76"/>
      <c r="F282" s="53"/>
      <c r="G282" s="4"/>
      <c r="H282" s="4"/>
      <c r="I282" s="4"/>
      <c r="J282" s="4"/>
      <c r="K282" s="4"/>
      <c r="L282" s="53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76"/>
      <c r="F283" s="53"/>
      <c r="G283" s="4"/>
      <c r="H283" s="4"/>
      <c r="I283" s="4"/>
      <c r="J283" s="4"/>
      <c r="K283" s="4"/>
      <c r="L283" s="53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76"/>
      <c r="F284" s="53"/>
      <c r="G284" s="4"/>
      <c r="H284" s="4"/>
      <c r="I284" s="4"/>
      <c r="J284" s="4"/>
      <c r="K284" s="4"/>
      <c r="L284" s="53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76"/>
      <c r="F285" s="53"/>
      <c r="G285" s="4"/>
      <c r="H285" s="4"/>
      <c r="I285" s="4"/>
      <c r="J285" s="4"/>
      <c r="K285" s="4"/>
      <c r="L285" s="53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76"/>
      <c r="F286" s="53"/>
      <c r="G286" s="4"/>
      <c r="H286" s="4"/>
      <c r="I286" s="4"/>
      <c r="J286" s="4"/>
      <c r="K286" s="4"/>
      <c r="L286" s="53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76"/>
      <c r="F287" s="53"/>
      <c r="G287" s="4"/>
      <c r="H287" s="4"/>
      <c r="I287" s="4"/>
      <c r="J287" s="4"/>
      <c r="K287" s="4"/>
      <c r="L287" s="53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76"/>
      <c r="F288" s="53"/>
      <c r="G288" s="4"/>
      <c r="H288" s="4"/>
      <c r="I288" s="4"/>
      <c r="J288" s="4"/>
      <c r="K288" s="4"/>
      <c r="L288" s="53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76"/>
      <c r="F289" s="53"/>
      <c r="G289" s="4"/>
      <c r="H289" s="4"/>
      <c r="I289" s="4"/>
      <c r="J289" s="4"/>
      <c r="K289" s="4"/>
      <c r="L289" s="53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76"/>
      <c r="F290" s="53"/>
      <c r="G290" s="4"/>
      <c r="H290" s="4"/>
      <c r="I290" s="4"/>
      <c r="J290" s="4"/>
      <c r="K290" s="4"/>
      <c r="L290" s="53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76"/>
      <c r="F291" s="53"/>
      <c r="G291" s="4"/>
      <c r="H291" s="4"/>
      <c r="I291" s="4"/>
      <c r="J291" s="4"/>
      <c r="K291" s="4"/>
      <c r="L291" s="53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76"/>
      <c r="F292" s="53"/>
      <c r="G292" s="4"/>
      <c r="H292" s="4"/>
      <c r="I292" s="4"/>
      <c r="J292" s="4"/>
      <c r="K292" s="4"/>
      <c r="L292" s="53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76"/>
      <c r="F293" s="53"/>
      <c r="G293" s="4"/>
      <c r="H293" s="4"/>
      <c r="I293" s="4"/>
      <c r="J293" s="4"/>
      <c r="K293" s="4"/>
      <c r="L293" s="53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76"/>
      <c r="F294" s="53"/>
      <c r="G294" s="4"/>
      <c r="H294" s="4"/>
      <c r="I294" s="4"/>
      <c r="J294" s="4"/>
      <c r="K294" s="4"/>
      <c r="L294" s="53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76"/>
      <c r="F295" s="53"/>
      <c r="G295" s="4"/>
      <c r="H295" s="4"/>
      <c r="I295" s="4"/>
      <c r="J295" s="4"/>
      <c r="K295" s="4"/>
      <c r="L295" s="53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76"/>
      <c r="F296" s="53"/>
      <c r="G296" s="4"/>
      <c r="H296" s="4"/>
      <c r="I296" s="4"/>
      <c r="J296" s="4"/>
      <c r="K296" s="4"/>
      <c r="L296" s="53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76"/>
      <c r="F297" s="53"/>
      <c r="G297" s="4"/>
      <c r="H297" s="4"/>
      <c r="I297" s="4"/>
      <c r="J297" s="4"/>
      <c r="K297" s="4"/>
      <c r="L297" s="53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76"/>
      <c r="F298" s="53"/>
      <c r="G298" s="4"/>
      <c r="H298" s="4"/>
      <c r="I298" s="4"/>
      <c r="J298" s="4"/>
      <c r="K298" s="4"/>
      <c r="L298" s="53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76"/>
      <c r="F299" s="53"/>
      <c r="G299" s="4"/>
      <c r="H299" s="4"/>
      <c r="I299" s="4"/>
      <c r="J299" s="4"/>
      <c r="K299" s="4"/>
      <c r="L299" s="53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76"/>
      <c r="F300" s="53"/>
      <c r="G300" s="4"/>
      <c r="H300" s="4"/>
      <c r="I300" s="4"/>
      <c r="J300" s="4"/>
      <c r="K300" s="4"/>
      <c r="L300" s="53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76"/>
      <c r="F301" s="53"/>
      <c r="G301" s="4"/>
      <c r="H301" s="4"/>
      <c r="I301" s="4"/>
      <c r="J301" s="4"/>
      <c r="K301" s="4"/>
      <c r="L301" s="53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76"/>
      <c r="F302" s="53"/>
      <c r="G302" s="4"/>
      <c r="H302" s="4"/>
      <c r="I302" s="4"/>
      <c r="J302" s="4"/>
      <c r="K302" s="4"/>
      <c r="L302" s="53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76"/>
      <c r="F303" s="53"/>
      <c r="G303" s="4"/>
      <c r="H303" s="4"/>
      <c r="I303" s="4"/>
      <c r="J303" s="4"/>
      <c r="K303" s="4"/>
      <c r="L303" s="53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76"/>
      <c r="F304" s="53"/>
      <c r="G304" s="4"/>
      <c r="H304" s="4"/>
      <c r="I304" s="4"/>
      <c r="J304" s="4"/>
      <c r="K304" s="4"/>
      <c r="L304" s="53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76"/>
      <c r="F305" s="53"/>
      <c r="G305" s="4"/>
      <c r="H305" s="4"/>
      <c r="I305" s="4"/>
      <c r="J305" s="4"/>
      <c r="K305" s="4"/>
      <c r="L305" s="53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76"/>
      <c r="F306" s="53"/>
      <c r="G306" s="4"/>
      <c r="H306" s="4"/>
      <c r="I306" s="4"/>
      <c r="J306" s="4"/>
      <c r="K306" s="4"/>
      <c r="L306" s="53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76"/>
      <c r="F307" s="53"/>
      <c r="G307" s="4"/>
      <c r="H307" s="4"/>
      <c r="I307" s="4"/>
      <c r="J307" s="4"/>
      <c r="K307" s="4"/>
      <c r="L307" s="53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76"/>
      <c r="F308" s="53"/>
      <c r="G308" s="4"/>
      <c r="H308" s="4"/>
      <c r="I308" s="4"/>
      <c r="J308" s="4"/>
      <c r="K308" s="4"/>
      <c r="L308" s="53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76"/>
      <c r="F309" s="53"/>
      <c r="G309" s="4"/>
      <c r="H309" s="4"/>
      <c r="I309" s="4"/>
      <c r="J309" s="4"/>
      <c r="K309" s="4"/>
      <c r="L309" s="53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76"/>
      <c r="F310" s="53"/>
      <c r="G310" s="4"/>
      <c r="H310" s="4"/>
      <c r="I310" s="4"/>
      <c r="J310" s="4"/>
      <c r="K310" s="4"/>
      <c r="L310" s="53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76"/>
      <c r="F311" s="53"/>
      <c r="G311" s="4"/>
      <c r="H311" s="4"/>
      <c r="I311" s="4"/>
      <c r="J311" s="4"/>
      <c r="K311" s="4"/>
      <c r="L311" s="53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76"/>
      <c r="F312" s="53"/>
      <c r="G312" s="4"/>
      <c r="H312" s="4"/>
      <c r="I312" s="4"/>
      <c r="J312" s="4"/>
      <c r="K312" s="4"/>
      <c r="L312" s="53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76"/>
      <c r="F313" s="53"/>
      <c r="G313" s="4"/>
      <c r="H313" s="4"/>
      <c r="I313" s="4"/>
      <c r="J313" s="4"/>
      <c r="K313" s="4"/>
      <c r="L313" s="53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76"/>
      <c r="F314" s="53"/>
      <c r="G314" s="4"/>
      <c r="H314" s="4"/>
      <c r="I314" s="4"/>
      <c r="J314" s="4"/>
      <c r="K314" s="4"/>
      <c r="L314" s="53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76"/>
      <c r="F315" s="53"/>
      <c r="G315" s="4"/>
      <c r="H315" s="4"/>
      <c r="I315" s="4"/>
      <c r="J315" s="4"/>
      <c r="K315" s="4"/>
      <c r="L315" s="53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76"/>
      <c r="F316" s="53"/>
      <c r="G316" s="4"/>
      <c r="H316" s="4"/>
      <c r="I316" s="4"/>
      <c r="J316" s="4"/>
      <c r="K316" s="4"/>
      <c r="L316" s="53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76"/>
      <c r="F317" s="53"/>
      <c r="G317" s="4"/>
      <c r="H317" s="4"/>
      <c r="I317" s="4"/>
      <c r="J317" s="4"/>
      <c r="K317" s="4"/>
      <c r="L317" s="53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76"/>
      <c r="F318" s="53"/>
      <c r="G318" s="4"/>
      <c r="H318" s="4"/>
      <c r="I318" s="4"/>
      <c r="J318" s="4"/>
      <c r="K318" s="4"/>
      <c r="L318" s="53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76"/>
      <c r="F319" s="53"/>
      <c r="G319" s="4"/>
      <c r="H319" s="4"/>
      <c r="I319" s="4"/>
      <c r="J319" s="4"/>
      <c r="K319" s="4"/>
      <c r="L319" s="53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76"/>
      <c r="F320" s="53"/>
      <c r="G320" s="4"/>
      <c r="H320" s="4"/>
      <c r="I320" s="4"/>
      <c r="J320" s="4"/>
      <c r="K320" s="4"/>
      <c r="L320" s="53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76"/>
      <c r="F321" s="53"/>
      <c r="G321" s="4"/>
      <c r="H321" s="4"/>
      <c r="I321" s="4"/>
      <c r="J321" s="4"/>
      <c r="K321" s="4"/>
      <c r="L321" s="53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76"/>
      <c r="F322" s="53"/>
      <c r="G322" s="4"/>
      <c r="H322" s="4"/>
      <c r="I322" s="4"/>
      <c r="J322" s="4"/>
      <c r="K322" s="4"/>
      <c r="L322" s="53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76"/>
      <c r="F323" s="53"/>
      <c r="G323" s="4"/>
      <c r="H323" s="4"/>
      <c r="I323" s="4"/>
      <c r="J323" s="4"/>
      <c r="K323" s="4"/>
      <c r="L323" s="53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76"/>
      <c r="F324" s="53"/>
      <c r="G324" s="4"/>
      <c r="H324" s="4"/>
      <c r="I324" s="4"/>
      <c r="J324" s="4"/>
      <c r="K324" s="4"/>
      <c r="L324" s="53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76"/>
      <c r="F325" s="53"/>
      <c r="G325" s="4"/>
      <c r="H325" s="4"/>
      <c r="I325" s="4"/>
      <c r="J325" s="4"/>
      <c r="K325" s="4"/>
      <c r="L325" s="53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76"/>
      <c r="F326" s="53"/>
      <c r="G326" s="4"/>
      <c r="H326" s="4"/>
      <c r="I326" s="4"/>
      <c r="J326" s="4"/>
      <c r="K326" s="4"/>
      <c r="L326" s="53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76"/>
      <c r="F327" s="53"/>
      <c r="G327" s="4"/>
      <c r="H327" s="4"/>
      <c r="I327" s="4"/>
      <c r="J327" s="4"/>
      <c r="K327" s="4"/>
      <c r="L327" s="53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76"/>
      <c r="F328" s="53"/>
      <c r="G328" s="4"/>
      <c r="H328" s="4"/>
      <c r="I328" s="4"/>
      <c r="J328" s="4"/>
      <c r="K328" s="4"/>
      <c r="L328" s="53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76"/>
      <c r="F329" s="53"/>
      <c r="G329" s="4"/>
      <c r="H329" s="4"/>
      <c r="I329" s="4"/>
      <c r="J329" s="4"/>
      <c r="K329" s="4"/>
      <c r="L329" s="53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76"/>
      <c r="F330" s="53"/>
      <c r="G330" s="4"/>
      <c r="H330" s="4"/>
      <c r="I330" s="4"/>
      <c r="J330" s="4"/>
      <c r="K330" s="4"/>
      <c r="L330" s="53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76"/>
      <c r="F331" s="53"/>
      <c r="G331" s="4"/>
      <c r="H331" s="4"/>
      <c r="I331" s="4"/>
      <c r="J331" s="4"/>
      <c r="K331" s="4"/>
      <c r="L331" s="53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76"/>
      <c r="F332" s="53"/>
      <c r="G332" s="4"/>
      <c r="H332" s="4"/>
      <c r="I332" s="4"/>
      <c r="J332" s="4"/>
      <c r="K332" s="4"/>
      <c r="L332" s="53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76"/>
      <c r="F333" s="53"/>
      <c r="G333" s="4"/>
      <c r="H333" s="4"/>
      <c r="I333" s="4"/>
      <c r="J333" s="4"/>
      <c r="K333" s="4"/>
      <c r="L333" s="53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76"/>
      <c r="F334" s="53"/>
      <c r="G334" s="4"/>
      <c r="H334" s="4"/>
      <c r="I334" s="4"/>
      <c r="J334" s="4"/>
      <c r="K334" s="4"/>
      <c r="L334" s="53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76"/>
      <c r="F335" s="53"/>
      <c r="G335" s="4"/>
      <c r="H335" s="4"/>
      <c r="I335" s="4"/>
      <c r="J335" s="4"/>
      <c r="K335" s="4"/>
      <c r="L335" s="53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76"/>
      <c r="F336" s="53"/>
      <c r="G336" s="4"/>
      <c r="H336" s="4"/>
      <c r="I336" s="4"/>
      <c r="J336" s="4"/>
      <c r="K336" s="4"/>
      <c r="L336" s="53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76"/>
      <c r="F337" s="53"/>
      <c r="G337" s="4"/>
      <c r="H337" s="4"/>
      <c r="I337" s="4"/>
      <c r="J337" s="4"/>
      <c r="K337" s="4"/>
      <c r="L337" s="53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76"/>
      <c r="F338" s="53"/>
      <c r="G338" s="4"/>
      <c r="H338" s="4"/>
      <c r="I338" s="4"/>
      <c r="J338" s="4"/>
      <c r="K338" s="4"/>
      <c r="L338" s="53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76"/>
      <c r="F339" s="53"/>
      <c r="G339" s="4"/>
      <c r="H339" s="4"/>
      <c r="I339" s="4"/>
      <c r="J339" s="4"/>
      <c r="K339" s="4"/>
      <c r="L339" s="53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76"/>
      <c r="F340" s="53"/>
      <c r="G340" s="4"/>
      <c r="H340" s="4"/>
      <c r="I340" s="4"/>
      <c r="J340" s="4"/>
      <c r="K340" s="4"/>
      <c r="L340" s="53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76"/>
      <c r="F341" s="53"/>
      <c r="G341" s="4"/>
      <c r="H341" s="4"/>
      <c r="I341" s="4"/>
      <c r="J341" s="4"/>
      <c r="K341" s="4"/>
      <c r="L341" s="53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76"/>
      <c r="F342" s="53"/>
      <c r="G342" s="4"/>
      <c r="H342" s="4"/>
      <c r="I342" s="4"/>
      <c r="J342" s="4"/>
      <c r="K342" s="4"/>
      <c r="L342" s="53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76"/>
      <c r="F343" s="53"/>
      <c r="G343" s="4"/>
      <c r="H343" s="4"/>
      <c r="I343" s="4"/>
      <c r="J343" s="4"/>
      <c r="K343" s="4"/>
      <c r="L343" s="53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76"/>
      <c r="F344" s="53"/>
      <c r="G344" s="4"/>
      <c r="H344" s="4"/>
      <c r="I344" s="4"/>
      <c r="J344" s="4"/>
      <c r="K344" s="4"/>
      <c r="L344" s="53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76"/>
      <c r="F345" s="53"/>
      <c r="G345" s="4"/>
      <c r="H345" s="4"/>
      <c r="I345" s="4"/>
      <c r="J345" s="4"/>
      <c r="K345" s="4"/>
      <c r="L345" s="53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76"/>
      <c r="F346" s="53"/>
      <c r="G346" s="4"/>
      <c r="H346" s="4"/>
      <c r="I346" s="4"/>
      <c r="J346" s="4"/>
      <c r="K346" s="4"/>
      <c r="L346" s="53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76"/>
      <c r="F347" s="53"/>
      <c r="G347" s="4"/>
      <c r="H347" s="4"/>
      <c r="I347" s="4"/>
      <c r="J347" s="4"/>
      <c r="K347" s="4"/>
      <c r="L347" s="53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76"/>
      <c r="F348" s="53"/>
      <c r="G348" s="4"/>
      <c r="H348" s="4"/>
      <c r="I348" s="4"/>
      <c r="J348" s="4"/>
      <c r="K348" s="4"/>
      <c r="L348" s="53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76"/>
      <c r="F349" s="53"/>
      <c r="G349" s="4"/>
      <c r="H349" s="4"/>
      <c r="I349" s="4"/>
      <c r="J349" s="4"/>
      <c r="K349" s="4"/>
      <c r="L349" s="53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76"/>
      <c r="F350" s="53"/>
      <c r="G350" s="4"/>
      <c r="H350" s="4"/>
      <c r="I350" s="4"/>
      <c r="J350" s="4"/>
      <c r="K350" s="4"/>
      <c r="L350" s="53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76"/>
      <c r="F351" s="53"/>
      <c r="G351" s="4"/>
      <c r="H351" s="4"/>
      <c r="I351" s="4"/>
      <c r="J351" s="4"/>
      <c r="K351" s="4"/>
      <c r="L351" s="53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76"/>
      <c r="F352" s="53"/>
      <c r="G352" s="4"/>
      <c r="H352" s="4"/>
      <c r="I352" s="4"/>
      <c r="J352" s="4"/>
      <c r="K352" s="4"/>
      <c r="L352" s="53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76"/>
      <c r="F353" s="53"/>
      <c r="G353" s="4"/>
      <c r="H353" s="4"/>
      <c r="I353" s="4"/>
      <c r="J353" s="4"/>
      <c r="K353" s="4"/>
      <c r="L353" s="53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76"/>
      <c r="F354" s="53"/>
      <c r="G354" s="4"/>
      <c r="H354" s="4"/>
      <c r="I354" s="4"/>
      <c r="J354" s="4"/>
      <c r="K354" s="4"/>
      <c r="L354" s="53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76"/>
      <c r="F355" s="53"/>
      <c r="G355" s="4"/>
      <c r="H355" s="4"/>
      <c r="I355" s="4"/>
      <c r="J355" s="4"/>
      <c r="K355" s="4"/>
      <c r="L355" s="53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76"/>
      <c r="F356" s="53"/>
      <c r="G356" s="4"/>
      <c r="H356" s="4"/>
      <c r="I356" s="4"/>
      <c r="J356" s="4"/>
      <c r="K356" s="4"/>
      <c r="L356" s="53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76"/>
      <c r="F357" s="53"/>
      <c r="G357" s="4"/>
      <c r="H357" s="4"/>
      <c r="I357" s="4"/>
      <c r="J357" s="4"/>
      <c r="K357" s="4"/>
      <c r="L357" s="53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76"/>
      <c r="F358" s="53"/>
      <c r="G358" s="4"/>
      <c r="H358" s="4"/>
      <c r="I358" s="4"/>
      <c r="J358" s="4"/>
      <c r="K358" s="4"/>
      <c r="L358" s="53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76"/>
      <c r="F359" s="53"/>
      <c r="G359" s="4"/>
      <c r="H359" s="4"/>
      <c r="I359" s="4"/>
      <c r="J359" s="4"/>
      <c r="K359" s="4"/>
      <c r="L359" s="53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76"/>
      <c r="F360" s="53"/>
      <c r="G360" s="4"/>
      <c r="H360" s="4"/>
      <c r="I360" s="4"/>
      <c r="J360" s="4"/>
      <c r="K360" s="4"/>
      <c r="L360" s="53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76"/>
      <c r="F361" s="53"/>
      <c r="G361" s="4"/>
      <c r="H361" s="4"/>
      <c r="I361" s="4"/>
      <c r="J361" s="4"/>
      <c r="K361" s="4"/>
      <c r="L361" s="53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76"/>
      <c r="F362" s="53"/>
      <c r="G362" s="4"/>
      <c r="H362" s="4"/>
      <c r="I362" s="4"/>
      <c r="J362" s="4"/>
      <c r="K362" s="4"/>
      <c r="L362" s="53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76"/>
      <c r="F363" s="53"/>
      <c r="G363" s="4"/>
      <c r="H363" s="4"/>
      <c r="I363" s="4"/>
      <c r="J363" s="4"/>
      <c r="K363" s="4"/>
      <c r="L363" s="53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76"/>
      <c r="F364" s="53"/>
      <c r="G364" s="4"/>
      <c r="H364" s="4"/>
      <c r="I364" s="4"/>
      <c r="J364" s="4"/>
      <c r="K364" s="4"/>
      <c r="L364" s="53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76"/>
      <c r="F365" s="53"/>
      <c r="G365" s="4"/>
      <c r="H365" s="4"/>
      <c r="I365" s="4"/>
      <c r="J365" s="4"/>
      <c r="K365" s="4"/>
      <c r="L365" s="53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76"/>
      <c r="F366" s="53"/>
      <c r="G366" s="4"/>
      <c r="H366" s="4"/>
      <c r="I366" s="4"/>
      <c r="J366" s="4"/>
      <c r="K366" s="4"/>
      <c r="L366" s="53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76"/>
      <c r="F367" s="53"/>
      <c r="G367" s="4"/>
      <c r="H367" s="4"/>
      <c r="I367" s="4"/>
      <c r="J367" s="4"/>
      <c r="K367" s="4"/>
      <c r="L367" s="53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76"/>
      <c r="F368" s="53"/>
      <c r="G368" s="4"/>
      <c r="H368" s="4"/>
      <c r="I368" s="4"/>
      <c r="J368" s="4"/>
      <c r="K368" s="4"/>
      <c r="L368" s="53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76"/>
      <c r="F369" s="53"/>
      <c r="G369" s="4"/>
      <c r="H369" s="4"/>
      <c r="I369" s="4"/>
      <c r="J369" s="4"/>
      <c r="K369" s="4"/>
      <c r="L369" s="53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76"/>
      <c r="F370" s="53"/>
      <c r="G370" s="4"/>
      <c r="H370" s="4"/>
      <c r="I370" s="4"/>
      <c r="J370" s="4"/>
      <c r="K370" s="4"/>
      <c r="L370" s="53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76"/>
      <c r="F371" s="53"/>
      <c r="G371" s="4"/>
      <c r="H371" s="4"/>
      <c r="I371" s="4"/>
      <c r="J371" s="4"/>
      <c r="K371" s="4"/>
      <c r="L371" s="53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76"/>
      <c r="F372" s="53"/>
      <c r="G372" s="4"/>
      <c r="H372" s="4"/>
      <c r="I372" s="4"/>
      <c r="J372" s="4"/>
      <c r="K372" s="4"/>
      <c r="L372" s="53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76"/>
      <c r="F373" s="53"/>
      <c r="G373" s="4"/>
      <c r="H373" s="4"/>
      <c r="I373" s="4"/>
      <c r="J373" s="4"/>
      <c r="K373" s="4"/>
      <c r="L373" s="53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76"/>
      <c r="F374" s="53"/>
      <c r="G374" s="4"/>
      <c r="H374" s="4"/>
      <c r="I374" s="4"/>
      <c r="J374" s="4"/>
      <c r="K374" s="4"/>
      <c r="L374" s="53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76"/>
      <c r="F375" s="53"/>
      <c r="G375" s="4"/>
      <c r="H375" s="4"/>
      <c r="I375" s="4"/>
      <c r="J375" s="4"/>
      <c r="K375" s="4"/>
      <c r="L375" s="53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76"/>
      <c r="F376" s="53"/>
      <c r="G376" s="4"/>
      <c r="H376" s="4"/>
      <c r="I376" s="4"/>
      <c r="J376" s="4"/>
      <c r="K376" s="4"/>
      <c r="L376" s="53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76"/>
      <c r="F377" s="53"/>
      <c r="G377" s="4"/>
      <c r="H377" s="4"/>
      <c r="I377" s="4"/>
      <c r="J377" s="4"/>
      <c r="K377" s="4"/>
      <c r="L377" s="53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76"/>
      <c r="F378" s="53"/>
      <c r="G378" s="4"/>
      <c r="H378" s="4"/>
      <c r="I378" s="4"/>
      <c r="J378" s="4"/>
      <c r="K378" s="4"/>
      <c r="L378" s="53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76"/>
      <c r="F379" s="53"/>
      <c r="G379" s="4"/>
      <c r="H379" s="4"/>
      <c r="I379" s="4"/>
      <c r="J379" s="4"/>
      <c r="K379" s="4"/>
      <c r="L379" s="53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76"/>
      <c r="F380" s="53"/>
      <c r="G380" s="4"/>
      <c r="H380" s="4"/>
      <c r="I380" s="4"/>
      <c r="J380" s="4"/>
      <c r="K380" s="4"/>
      <c r="L380" s="53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76"/>
      <c r="F381" s="53"/>
      <c r="G381" s="4"/>
      <c r="H381" s="4"/>
      <c r="I381" s="4"/>
      <c r="J381" s="4"/>
      <c r="K381" s="4"/>
      <c r="L381" s="53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76"/>
      <c r="F382" s="53"/>
      <c r="G382" s="4"/>
      <c r="H382" s="4"/>
      <c r="I382" s="4"/>
      <c r="J382" s="4"/>
      <c r="K382" s="4"/>
      <c r="L382" s="53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76"/>
      <c r="F383" s="53"/>
      <c r="G383" s="4"/>
      <c r="H383" s="4"/>
      <c r="I383" s="4"/>
      <c r="J383" s="4"/>
      <c r="K383" s="4"/>
      <c r="L383" s="53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76"/>
      <c r="F384" s="53"/>
      <c r="G384" s="4"/>
      <c r="H384" s="4"/>
      <c r="I384" s="4"/>
      <c r="J384" s="4"/>
      <c r="K384" s="4"/>
      <c r="L384" s="53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76"/>
      <c r="F385" s="53"/>
      <c r="G385" s="4"/>
      <c r="H385" s="4"/>
      <c r="I385" s="4"/>
      <c r="J385" s="4"/>
      <c r="K385" s="4"/>
      <c r="L385" s="53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76"/>
      <c r="F386" s="53"/>
      <c r="G386" s="4"/>
      <c r="H386" s="4"/>
      <c r="I386" s="4"/>
      <c r="J386" s="4"/>
      <c r="K386" s="4"/>
      <c r="L386" s="53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76"/>
      <c r="F387" s="53"/>
      <c r="G387" s="4"/>
      <c r="H387" s="4"/>
      <c r="I387" s="4"/>
      <c r="J387" s="4"/>
      <c r="K387" s="4"/>
      <c r="L387" s="53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76"/>
      <c r="F388" s="53"/>
      <c r="G388" s="4"/>
      <c r="H388" s="4"/>
      <c r="I388" s="4"/>
      <c r="J388" s="4"/>
      <c r="K388" s="4"/>
      <c r="L388" s="53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76"/>
      <c r="F389" s="53"/>
      <c r="G389" s="4"/>
      <c r="H389" s="4"/>
      <c r="I389" s="4"/>
      <c r="J389" s="4"/>
      <c r="K389" s="4"/>
      <c r="L389" s="53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76"/>
      <c r="F390" s="53"/>
      <c r="G390" s="4"/>
      <c r="H390" s="4"/>
      <c r="I390" s="4"/>
      <c r="J390" s="4"/>
      <c r="K390" s="4"/>
      <c r="L390" s="53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76"/>
      <c r="F391" s="53"/>
      <c r="G391" s="4"/>
      <c r="H391" s="4"/>
      <c r="I391" s="4"/>
      <c r="J391" s="4"/>
      <c r="K391" s="4"/>
      <c r="L391" s="53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76"/>
      <c r="F392" s="53"/>
      <c r="G392" s="4"/>
      <c r="H392" s="4"/>
      <c r="I392" s="4"/>
      <c r="J392" s="4"/>
      <c r="K392" s="4"/>
      <c r="L392" s="53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76"/>
      <c r="F393" s="53"/>
      <c r="G393" s="4"/>
      <c r="H393" s="4"/>
      <c r="I393" s="4"/>
      <c r="J393" s="4"/>
      <c r="K393" s="4"/>
      <c r="L393" s="53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76"/>
      <c r="F394" s="53"/>
      <c r="G394" s="4"/>
      <c r="H394" s="4"/>
      <c r="I394" s="4"/>
      <c r="J394" s="4"/>
      <c r="K394" s="4"/>
      <c r="L394" s="53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76"/>
      <c r="F395" s="53"/>
      <c r="G395" s="4"/>
      <c r="H395" s="4"/>
      <c r="I395" s="4"/>
      <c r="J395" s="4"/>
      <c r="K395" s="4"/>
      <c r="L395" s="53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76"/>
      <c r="F396" s="53"/>
      <c r="G396" s="4"/>
      <c r="H396" s="4"/>
      <c r="I396" s="4"/>
      <c r="J396" s="4"/>
      <c r="K396" s="4"/>
      <c r="L396" s="53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76"/>
      <c r="F397" s="53"/>
      <c r="G397" s="4"/>
      <c r="H397" s="4"/>
      <c r="I397" s="4"/>
      <c r="J397" s="4"/>
      <c r="K397" s="4"/>
      <c r="L397" s="53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76"/>
      <c r="F398" s="53"/>
      <c r="G398" s="4"/>
      <c r="H398" s="4"/>
      <c r="I398" s="4"/>
      <c r="J398" s="4"/>
      <c r="K398" s="4"/>
      <c r="L398" s="53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76"/>
      <c r="F399" s="53"/>
      <c r="G399" s="4"/>
      <c r="H399" s="4"/>
      <c r="I399" s="4"/>
      <c r="J399" s="4"/>
      <c r="K399" s="4"/>
      <c r="L399" s="53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76"/>
      <c r="F400" s="53"/>
      <c r="G400" s="4"/>
      <c r="H400" s="4"/>
      <c r="I400" s="4"/>
      <c r="J400" s="4"/>
      <c r="K400" s="4"/>
      <c r="L400" s="53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76"/>
      <c r="F401" s="53"/>
      <c r="G401" s="4"/>
      <c r="H401" s="4"/>
      <c r="I401" s="4"/>
      <c r="J401" s="4"/>
      <c r="K401" s="4"/>
      <c r="L401" s="53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76"/>
      <c r="F402" s="53"/>
      <c r="G402" s="4"/>
      <c r="H402" s="4"/>
      <c r="I402" s="4"/>
      <c r="J402" s="4"/>
      <c r="K402" s="4"/>
      <c r="L402" s="53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76"/>
      <c r="F403" s="53"/>
      <c r="G403" s="4"/>
      <c r="H403" s="4"/>
      <c r="I403" s="4"/>
      <c r="J403" s="4"/>
      <c r="K403" s="4"/>
      <c r="L403" s="53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76"/>
      <c r="F404" s="53"/>
      <c r="G404" s="4"/>
      <c r="H404" s="4"/>
      <c r="I404" s="4"/>
      <c r="J404" s="4"/>
      <c r="K404" s="4"/>
      <c r="L404" s="53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76"/>
      <c r="F405" s="53"/>
      <c r="G405" s="4"/>
      <c r="H405" s="4"/>
      <c r="I405" s="4"/>
      <c r="J405" s="4"/>
      <c r="K405" s="4"/>
      <c r="L405" s="53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76"/>
      <c r="F406" s="53"/>
      <c r="G406" s="4"/>
      <c r="H406" s="4"/>
      <c r="I406" s="4"/>
      <c r="J406" s="4"/>
      <c r="K406" s="4"/>
      <c r="L406" s="53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76"/>
      <c r="F407" s="53"/>
      <c r="G407" s="4"/>
      <c r="H407" s="4"/>
      <c r="I407" s="4"/>
      <c r="J407" s="4"/>
      <c r="K407" s="4"/>
      <c r="L407" s="53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76"/>
      <c r="F408" s="53"/>
      <c r="G408" s="4"/>
      <c r="H408" s="4"/>
      <c r="I408" s="4"/>
      <c r="J408" s="4"/>
      <c r="K408" s="4"/>
      <c r="L408" s="53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76"/>
      <c r="F409" s="53"/>
      <c r="G409" s="4"/>
      <c r="H409" s="4"/>
      <c r="I409" s="4"/>
      <c r="J409" s="4"/>
      <c r="K409" s="4"/>
      <c r="L409" s="53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76"/>
      <c r="F410" s="53"/>
      <c r="G410" s="4"/>
      <c r="H410" s="4"/>
      <c r="I410" s="4"/>
      <c r="J410" s="4"/>
      <c r="K410" s="4"/>
      <c r="L410" s="53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76"/>
      <c r="F411" s="53"/>
      <c r="G411" s="4"/>
      <c r="H411" s="4"/>
      <c r="I411" s="4"/>
      <c r="J411" s="4"/>
      <c r="K411" s="4"/>
      <c r="L411" s="53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76"/>
      <c r="F412" s="53"/>
      <c r="G412" s="4"/>
      <c r="H412" s="4"/>
      <c r="I412" s="4"/>
      <c r="J412" s="4"/>
      <c r="K412" s="4"/>
      <c r="L412" s="53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76"/>
      <c r="F413" s="53"/>
      <c r="G413" s="4"/>
      <c r="H413" s="4"/>
      <c r="I413" s="4"/>
      <c r="J413" s="4"/>
      <c r="K413" s="4"/>
      <c r="L413" s="53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76"/>
      <c r="F414" s="53"/>
      <c r="G414" s="4"/>
      <c r="H414" s="4"/>
      <c r="I414" s="4"/>
      <c r="J414" s="4"/>
      <c r="K414" s="4"/>
      <c r="L414" s="53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76"/>
      <c r="F415" s="53"/>
      <c r="G415" s="4"/>
      <c r="H415" s="4"/>
      <c r="I415" s="4"/>
      <c r="J415" s="4"/>
      <c r="K415" s="4"/>
      <c r="L415" s="53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76"/>
      <c r="F416" s="53"/>
      <c r="G416" s="4"/>
      <c r="H416" s="4"/>
      <c r="I416" s="4"/>
      <c r="J416" s="4"/>
      <c r="K416" s="4"/>
      <c r="L416" s="53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76"/>
      <c r="F417" s="53"/>
      <c r="G417" s="4"/>
      <c r="H417" s="4"/>
      <c r="I417" s="4"/>
      <c r="J417" s="4"/>
      <c r="K417" s="4"/>
      <c r="L417" s="53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76"/>
      <c r="F418" s="53"/>
      <c r="G418" s="4"/>
      <c r="H418" s="4"/>
      <c r="I418" s="4"/>
      <c r="J418" s="4"/>
      <c r="K418" s="4"/>
      <c r="L418" s="53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76"/>
      <c r="F419" s="53"/>
      <c r="G419" s="4"/>
      <c r="H419" s="4"/>
      <c r="I419" s="4"/>
      <c r="J419" s="4"/>
      <c r="K419" s="4"/>
      <c r="L419" s="53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76"/>
      <c r="F420" s="53"/>
      <c r="G420" s="4"/>
      <c r="H420" s="4"/>
      <c r="I420" s="4"/>
      <c r="J420" s="4"/>
      <c r="K420" s="4"/>
      <c r="L420" s="53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76"/>
      <c r="F421" s="53"/>
      <c r="G421" s="4"/>
      <c r="H421" s="4"/>
      <c r="I421" s="4"/>
      <c r="J421" s="4"/>
      <c r="K421" s="4"/>
      <c r="L421" s="53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76"/>
      <c r="F422" s="53"/>
      <c r="G422" s="4"/>
      <c r="H422" s="4"/>
      <c r="I422" s="4"/>
      <c r="J422" s="4"/>
      <c r="K422" s="4"/>
      <c r="L422" s="53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76"/>
      <c r="F423" s="53"/>
      <c r="G423" s="4"/>
      <c r="H423" s="4"/>
      <c r="I423" s="4"/>
      <c r="J423" s="4"/>
      <c r="K423" s="4"/>
      <c r="L423" s="53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76"/>
      <c r="F424" s="53"/>
      <c r="G424" s="4"/>
      <c r="H424" s="4"/>
      <c r="I424" s="4"/>
      <c r="J424" s="4"/>
      <c r="K424" s="4"/>
      <c r="L424" s="53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76"/>
      <c r="F425" s="53"/>
      <c r="G425" s="4"/>
      <c r="H425" s="4"/>
      <c r="I425" s="4"/>
      <c r="J425" s="4"/>
      <c r="K425" s="4"/>
      <c r="L425" s="53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76"/>
      <c r="F426" s="53"/>
      <c r="G426" s="4"/>
      <c r="H426" s="4"/>
      <c r="I426" s="4"/>
      <c r="J426" s="4"/>
      <c r="K426" s="4"/>
      <c r="L426" s="53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76"/>
      <c r="F427" s="53"/>
      <c r="G427" s="4"/>
      <c r="H427" s="4"/>
      <c r="I427" s="4"/>
      <c r="J427" s="4"/>
      <c r="K427" s="4"/>
      <c r="L427" s="53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76"/>
      <c r="F428" s="53"/>
      <c r="G428" s="4"/>
      <c r="H428" s="4"/>
      <c r="I428" s="4"/>
      <c r="J428" s="4"/>
      <c r="K428" s="4"/>
      <c r="L428" s="53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76"/>
      <c r="F429" s="53"/>
      <c r="G429" s="4"/>
      <c r="H429" s="4"/>
      <c r="I429" s="4"/>
      <c r="J429" s="4"/>
      <c r="K429" s="4"/>
      <c r="L429" s="53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76"/>
      <c r="F430" s="53"/>
      <c r="G430" s="4"/>
      <c r="H430" s="4"/>
      <c r="I430" s="4"/>
      <c r="J430" s="4"/>
      <c r="K430" s="4"/>
      <c r="L430" s="53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76"/>
      <c r="F431" s="53"/>
      <c r="G431" s="4"/>
      <c r="H431" s="4"/>
      <c r="I431" s="4"/>
      <c r="J431" s="4"/>
      <c r="K431" s="4"/>
      <c r="L431" s="53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76"/>
      <c r="F432" s="53"/>
      <c r="G432" s="4"/>
      <c r="H432" s="4"/>
      <c r="I432" s="4"/>
      <c r="J432" s="4"/>
      <c r="K432" s="4"/>
      <c r="L432" s="53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76"/>
      <c r="F433" s="53"/>
      <c r="G433" s="4"/>
      <c r="H433" s="4"/>
      <c r="I433" s="4"/>
      <c r="J433" s="4"/>
      <c r="K433" s="4"/>
      <c r="L433" s="53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76"/>
      <c r="F434" s="53"/>
      <c r="G434" s="4"/>
      <c r="H434" s="4"/>
      <c r="I434" s="4"/>
      <c r="J434" s="4"/>
      <c r="K434" s="4"/>
      <c r="L434" s="53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76"/>
      <c r="F435" s="53"/>
      <c r="G435" s="4"/>
      <c r="H435" s="4"/>
      <c r="I435" s="4"/>
      <c r="J435" s="4"/>
      <c r="K435" s="4"/>
      <c r="L435" s="53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76"/>
      <c r="F436" s="53"/>
      <c r="G436" s="4"/>
      <c r="H436" s="4"/>
      <c r="I436" s="4"/>
      <c r="J436" s="4"/>
      <c r="K436" s="4"/>
      <c r="L436" s="53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76"/>
      <c r="F437" s="53"/>
      <c r="G437" s="4"/>
      <c r="H437" s="4"/>
      <c r="I437" s="4"/>
      <c r="J437" s="4"/>
      <c r="K437" s="4"/>
      <c r="L437" s="53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76"/>
      <c r="F438" s="53"/>
      <c r="G438" s="4"/>
      <c r="H438" s="4"/>
      <c r="I438" s="4"/>
      <c r="J438" s="4"/>
      <c r="K438" s="4"/>
      <c r="L438" s="53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76"/>
      <c r="F439" s="53"/>
      <c r="G439" s="4"/>
      <c r="H439" s="4"/>
      <c r="I439" s="4"/>
      <c r="J439" s="4"/>
      <c r="K439" s="4"/>
      <c r="L439" s="53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76"/>
      <c r="F440" s="53"/>
      <c r="G440" s="4"/>
      <c r="H440" s="4"/>
      <c r="I440" s="4"/>
      <c r="J440" s="4"/>
      <c r="K440" s="4"/>
      <c r="L440" s="53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76"/>
      <c r="F441" s="53"/>
      <c r="G441" s="4"/>
      <c r="H441" s="4"/>
      <c r="I441" s="4"/>
      <c r="J441" s="4"/>
      <c r="K441" s="4"/>
      <c r="L441" s="53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76"/>
      <c r="F442" s="53"/>
      <c r="G442" s="4"/>
      <c r="H442" s="4"/>
      <c r="I442" s="4"/>
      <c r="J442" s="4"/>
      <c r="K442" s="4"/>
      <c r="L442" s="53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76"/>
      <c r="F443" s="53"/>
      <c r="G443" s="4"/>
      <c r="H443" s="4"/>
      <c r="I443" s="4"/>
      <c r="J443" s="4"/>
      <c r="K443" s="4"/>
      <c r="L443" s="53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76"/>
      <c r="F444" s="53"/>
      <c r="G444" s="4"/>
      <c r="H444" s="4"/>
      <c r="I444" s="4"/>
      <c r="J444" s="4"/>
      <c r="K444" s="4"/>
      <c r="L444" s="53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76"/>
      <c r="F445" s="53"/>
      <c r="G445" s="4"/>
      <c r="H445" s="4"/>
      <c r="I445" s="4"/>
      <c r="J445" s="4"/>
      <c r="K445" s="4"/>
      <c r="L445" s="53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76"/>
      <c r="F446" s="53"/>
      <c r="G446" s="4"/>
      <c r="H446" s="4"/>
      <c r="I446" s="4"/>
      <c r="J446" s="4"/>
      <c r="K446" s="4"/>
      <c r="L446" s="53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76"/>
      <c r="F447" s="53"/>
      <c r="G447" s="4"/>
      <c r="H447" s="4"/>
      <c r="I447" s="4"/>
      <c r="J447" s="4"/>
      <c r="K447" s="4"/>
      <c r="L447" s="53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76"/>
      <c r="F448" s="53"/>
      <c r="G448" s="4"/>
      <c r="H448" s="4"/>
      <c r="I448" s="4"/>
      <c r="J448" s="4"/>
      <c r="K448" s="4"/>
      <c r="L448" s="53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76"/>
      <c r="F449" s="53"/>
      <c r="G449" s="4"/>
      <c r="H449" s="4"/>
      <c r="I449" s="4"/>
      <c r="J449" s="4"/>
      <c r="K449" s="4"/>
      <c r="L449" s="53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76"/>
      <c r="F450" s="53"/>
      <c r="G450" s="4"/>
      <c r="H450" s="4"/>
      <c r="I450" s="4"/>
      <c r="J450" s="4"/>
      <c r="K450" s="4"/>
      <c r="L450" s="53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76"/>
      <c r="F451" s="53"/>
      <c r="G451" s="4"/>
      <c r="H451" s="4"/>
      <c r="I451" s="4"/>
      <c r="J451" s="4"/>
      <c r="K451" s="4"/>
      <c r="L451" s="53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76"/>
      <c r="F452" s="53"/>
      <c r="G452" s="4"/>
      <c r="H452" s="4"/>
      <c r="I452" s="4"/>
      <c r="J452" s="4"/>
      <c r="K452" s="4"/>
      <c r="L452" s="53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76"/>
      <c r="F453" s="53"/>
      <c r="G453" s="4"/>
      <c r="H453" s="4"/>
      <c r="I453" s="4"/>
      <c r="J453" s="4"/>
      <c r="K453" s="4"/>
      <c r="L453" s="53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76"/>
      <c r="F454" s="53"/>
      <c r="G454" s="4"/>
      <c r="H454" s="4"/>
      <c r="I454" s="4"/>
      <c r="J454" s="4"/>
      <c r="K454" s="4"/>
      <c r="L454" s="53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76"/>
      <c r="F455" s="53"/>
      <c r="G455" s="4"/>
      <c r="H455" s="4"/>
      <c r="I455" s="4"/>
      <c r="J455" s="4"/>
      <c r="K455" s="4"/>
      <c r="L455" s="53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76"/>
      <c r="F456" s="53"/>
      <c r="G456" s="4"/>
      <c r="H456" s="4"/>
      <c r="I456" s="4"/>
      <c r="J456" s="4"/>
      <c r="K456" s="4"/>
      <c r="L456" s="53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76"/>
      <c r="F457" s="53"/>
      <c r="G457" s="4"/>
      <c r="H457" s="4"/>
      <c r="I457" s="4"/>
      <c r="J457" s="4"/>
      <c r="K457" s="4"/>
      <c r="L457" s="53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76"/>
      <c r="F458" s="53"/>
      <c r="G458" s="4"/>
      <c r="H458" s="4"/>
      <c r="I458" s="4"/>
      <c r="J458" s="4"/>
      <c r="K458" s="4"/>
      <c r="L458" s="53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76"/>
      <c r="F459" s="53"/>
      <c r="G459" s="4"/>
      <c r="H459" s="4"/>
      <c r="I459" s="4"/>
      <c r="J459" s="4"/>
      <c r="K459" s="4"/>
      <c r="L459" s="53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76"/>
      <c r="F460" s="53"/>
      <c r="G460" s="4"/>
      <c r="H460" s="4"/>
      <c r="I460" s="4"/>
      <c r="J460" s="4"/>
      <c r="K460" s="4"/>
      <c r="L460" s="53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76"/>
      <c r="F461" s="53"/>
      <c r="G461" s="4"/>
      <c r="H461" s="4"/>
      <c r="I461" s="4"/>
      <c r="J461" s="4"/>
      <c r="K461" s="4"/>
      <c r="L461" s="53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76"/>
      <c r="F462" s="53"/>
      <c r="G462" s="4"/>
      <c r="H462" s="4"/>
      <c r="I462" s="4"/>
      <c r="J462" s="4"/>
      <c r="K462" s="4"/>
      <c r="L462" s="53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76"/>
      <c r="F463" s="53"/>
      <c r="G463" s="4"/>
      <c r="H463" s="4"/>
      <c r="I463" s="4"/>
      <c r="J463" s="4"/>
      <c r="K463" s="4"/>
      <c r="L463" s="53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76"/>
      <c r="F464" s="53"/>
      <c r="G464" s="4"/>
      <c r="H464" s="4"/>
      <c r="I464" s="4"/>
      <c r="J464" s="4"/>
      <c r="K464" s="4"/>
      <c r="L464" s="53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76"/>
      <c r="F465" s="53"/>
      <c r="G465" s="4"/>
      <c r="H465" s="4"/>
      <c r="I465" s="4"/>
      <c r="J465" s="4"/>
      <c r="K465" s="4"/>
      <c r="L465" s="53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76"/>
      <c r="F466" s="53"/>
      <c r="G466" s="4"/>
      <c r="H466" s="4"/>
      <c r="I466" s="4"/>
      <c r="J466" s="4"/>
      <c r="K466" s="4"/>
      <c r="L466" s="53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76"/>
      <c r="F467" s="53"/>
      <c r="G467" s="4"/>
      <c r="H467" s="4"/>
      <c r="I467" s="4"/>
      <c r="J467" s="4"/>
      <c r="K467" s="4"/>
      <c r="L467" s="53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76"/>
      <c r="F468" s="53"/>
      <c r="G468" s="4"/>
      <c r="H468" s="4"/>
      <c r="I468" s="4"/>
      <c r="J468" s="4"/>
      <c r="K468" s="4"/>
      <c r="L468" s="53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76"/>
      <c r="F469" s="53"/>
      <c r="G469" s="4"/>
      <c r="H469" s="4"/>
      <c r="I469" s="4"/>
      <c r="J469" s="4"/>
      <c r="K469" s="4"/>
      <c r="L469" s="53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76"/>
      <c r="F470" s="53"/>
      <c r="G470" s="4"/>
      <c r="H470" s="4"/>
      <c r="I470" s="4"/>
      <c r="J470" s="4"/>
      <c r="K470" s="4"/>
      <c r="L470" s="53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76"/>
      <c r="F471" s="53"/>
      <c r="G471" s="4"/>
      <c r="H471" s="4"/>
      <c r="I471" s="4"/>
      <c r="J471" s="4"/>
      <c r="K471" s="4"/>
      <c r="L471" s="53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76"/>
      <c r="F472" s="53"/>
      <c r="G472" s="4"/>
      <c r="H472" s="4"/>
      <c r="I472" s="4"/>
      <c r="J472" s="4"/>
      <c r="K472" s="4"/>
      <c r="L472" s="53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76"/>
      <c r="F473" s="53"/>
      <c r="G473" s="4"/>
      <c r="H473" s="4"/>
      <c r="I473" s="4"/>
      <c r="J473" s="4"/>
      <c r="K473" s="4"/>
      <c r="L473" s="53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76"/>
      <c r="F474" s="53"/>
      <c r="G474" s="4"/>
      <c r="H474" s="4"/>
      <c r="I474" s="4"/>
      <c r="J474" s="4"/>
      <c r="K474" s="4"/>
      <c r="L474" s="53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76"/>
      <c r="F475" s="53"/>
      <c r="G475" s="4"/>
      <c r="H475" s="4"/>
      <c r="I475" s="4"/>
      <c r="J475" s="4"/>
      <c r="K475" s="4"/>
      <c r="L475" s="53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76"/>
      <c r="F476" s="53"/>
      <c r="G476" s="4"/>
      <c r="H476" s="4"/>
      <c r="I476" s="4"/>
      <c r="J476" s="4"/>
      <c r="K476" s="4"/>
      <c r="L476" s="53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76"/>
      <c r="F477" s="53"/>
      <c r="G477" s="4"/>
      <c r="H477" s="4"/>
      <c r="I477" s="4"/>
      <c r="J477" s="4"/>
      <c r="K477" s="4"/>
      <c r="L477" s="53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76"/>
      <c r="F478" s="53"/>
      <c r="G478" s="4"/>
      <c r="H478" s="4"/>
      <c r="I478" s="4"/>
      <c r="J478" s="4"/>
      <c r="K478" s="4"/>
      <c r="L478" s="53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76"/>
      <c r="F479" s="53"/>
      <c r="G479" s="4"/>
      <c r="H479" s="4"/>
      <c r="I479" s="4"/>
      <c r="J479" s="4"/>
      <c r="K479" s="4"/>
      <c r="L479" s="53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76"/>
      <c r="F480" s="53"/>
      <c r="G480" s="4"/>
      <c r="H480" s="4"/>
      <c r="I480" s="4"/>
      <c r="J480" s="4"/>
      <c r="K480" s="4"/>
      <c r="L480" s="53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76"/>
      <c r="F481" s="53"/>
      <c r="G481" s="4"/>
      <c r="H481" s="4"/>
      <c r="I481" s="4"/>
      <c r="J481" s="4"/>
      <c r="K481" s="4"/>
      <c r="L481" s="53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76"/>
      <c r="F482" s="53"/>
      <c r="G482" s="4"/>
      <c r="H482" s="4"/>
      <c r="I482" s="4"/>
      <c r="J482" s="4"/>
      <c r="K482" s="4"/>
      <c r="L482" s="53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76"/>
      <c r="F483" s="53"/>
      <c r="G483" s="4"/>
      <c r="H483" s="4"/>
      <c r="I483" s="4"/>
      <c r="J483" s="4"/>
      <c r="K483" s="4"/>
      <c r="L483" s="53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76"/>
      <c r="F484" s="53"/>
      <c r="G484" s="4"/>
      <c r="H484" s="4"/>
      <c r="I484" s="4"/>
      <c r="J484" s="4"/>
      <c r="K484" s="4"/>
      <c r="L484" s="53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76"/>
      <c r="F485" s="53"/>
      <c r="G485" s="4"/>
      <c r="H485" s="4"/>
      <c r="I485" s="4"/>
      <c r="J485" s="4"/>
      <c r="K485" s="4"/>
      <c r="L485" s="53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76"/>
      <c r="F486" s="53"/>
      <c r="G486" s="4"/>
      <c r="H486" s="4"/>
      <c r="I486" s="4"/>
      <c r="J486" s="4"/>
      <c r="K486" s="4"/>
      <c r="L486" s="53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76"/>
      <c r="F487" s="53"/>
      <c r="G487" s="4"/>
      <c r="H487" s="4"/>
      <c r="I487" s="4"/>
      <c r="J487" s="4"/>
      <c r="K487" s="4"/>
      <c r="L487" s="53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76"/>
      <c r="F488" s="53"/>
      <c r="G488" s="4"/>
      <c r="H488" s="4"/>
      <c r="I488" s="4"/>
      <c r="J488" s="4"/>
      <c r="K488" s="4"/>
      <c r="L488" s="53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76"/>
      <c r="F489" s="53"/>
      <c r="G489" s="4"/>
      <c r="H489" s="4"/>
      <c r="I489" s="4"/>
      <c r="J489" s="4"/>
      <c r="K489" s="4"/>
      <c r="L489" s="53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76"/>
      <c r="F490" s="53"/>
      <c r="G490" s="4"/>
      <c r="H490" s="4"/>
      <c r="I490" s="4"/>
      <c r="J490" s="4"/>
      <c r="K490" s="4"/>
      <c r="L490" s="53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76"/>
      <c r="F491" s="53"/>
      <c r="G491" s="4"/>
      <c r="H491" s="4"/>
      <c r="I491" s="4"/>
      <c r="J491" s="4"/>
      <c r="K491" s="4"/>
      <c r="L491" s="53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76"/>
      <c r="F492" s="53"/>
      <c r="G492" s="4"/>
      <c r="H492" s="4"/>
      <c r="I492" s="4"/>
      <c r="J492" s="4"/>
      <c r="K492" s="4"/>
      <c r="L492" s="53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76"/>
      <c r="F493" s="53"/>
      <c r="G493" s="4"/>
      <c r="H493" s="4"/>
      <c r="I493" s="4"/>
      <c r="J493" s="4"/>
      <c r="K493" s="4"/>
      <c r="L493" s="53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76"/>
      <c r="F494" s="53"/>
      <c r="G494" s="4"/>
      <c r="H494" s="4"/>
      <c r="I494" s="4"/>
      <c r="J494" s="4"/>
      <c r="K494" s="4"/>
      <c r="L494" s="53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76"/>
      <c r="F495" s="53"/>
      <c r="G495" s="4"/>
      <c r="H495" s="4"/>
      <c r="I495" s="4"/>
      <c r="J495" s="4"/>
      <c r="K495" s="4"/>
      <c r="L495" s="53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76"/>
      <c r="F496" s="53"/>
      <c r="G496" s="4"/>
      <c r="H496" s="4"/>
      <c r="I496" s="4"/>
      <c r="J496" s="4"/>
      <c r="K496" s="4"/>
      <c r="L496" s="53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76"/>
      <c r="F497" s="53"/>
      <c r="G497" s="4"/>
      <c r="H497" s="4"/>
      <c r="I497" s="4"/>
      <c r="J497" s="4"/>
      <c r="K497" s="4"/>
      <c r="L497" s="53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76"/>
      <c r="F498" s="53"/>
      <c r="G498" s="4"/>
      <c r="H498" s="4"/>
      <c r="I498" s="4"/>
      <c r="J498" s="4"/>
      <c r="K498" s="4"/>
      <c r="L498" s="53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76"/>
      <c r="F499" s="53"/>
      <c r="G499" s="4"/>
      <c r="H499" s="4"/>
      <c r="I499" s="4"/>
      <c r="J499" s="4"/>
      <c r="K499" s="4"/>
      <c r="L499" s="53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76"/>
      <c r="F500" s="53"/>
      <c r="G500" s="4"/>
      <c r="H500" s="4"/>
      <c r="I500" s="4"/>
      <c r="J500" s="4"/>
      <c r="K500" s="4"/>
      <c r="L500" s="53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76"/>
      <c r="F501" s="53"/>
      <c r="G501" s="4"/>
      <c r="H501" s="4"/>
      <c r="I501" s="4"/>
      <c r="J501" s="4"/>
      <c r="K501" s="4"/>
      <c r="L501" s="53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76"/>
      <c r="F502" s="53"/>
      <c r="G502" s="4"/>
      <c r="H502" s="4"/>
      <c r="I502" s="4"/>
      <c r="J502" s="4"/>
      <c r="K502" s="4"/>
      <c r="L502" s="53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76"/>
      <c r="F503" s="53"/>
      <c r="G503" s="4"/>
      <c r="H503" s="4"/>
      <c r="I503" s="4"/>
      <c r="J503" s="4"/>
      <c r="K503" s="4"/>
      <c r="L503" s="53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76"/>
      <c r="F504" s="53"/>
      <c r="G504" s="4"/>
      <c r="H504" s="4"/>
      <c r="I504" s="4"/>
      <c r="J504" s="4"/>
      <c r="K504" s="4"/>
      <c r="L504" s="53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76"/>
      <c r="F505" s="53"/>
      <c r="G505" s="4"/>
      <c r="H505" s="4"/>
      <c r="I505" s="4"/>
      <c r="J505" s="4"/>
      <c r="K505" s="4"/>
      <c r="L505" s="53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76"/>
      <c r="F506" s="53"/>
      <c r="G506" s="4"/>
      <c r="H506" s="4"/>
      <c r="I506" s="4"/>
      <c r="J506" s="4"/>
      <c r="K506" s="4"/>
      <c r="L506" s="53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76"/>
      <c r="F507" s="53"/>
      <c r="G507" s="4"/>
      <c r="H507" s="4"/>
      <c r="I507" s="4"/>
      <c r="J507" s="4"/>
      <c r="K507" s="4"/>
      <c r="L507" s="53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76"/>
      <c r="F508" s="53"/>
      <c r="G508" s="4"/>
      <c r="H508" s="4"/>
      <c r="I508" s="4"/>
      <c r="J508" s="4"/>
      <c r="K508" s="4"/>
      <c r="L508" s="53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76"/>
      <c r="F509" s="53"/>
      <c r="G509" s="4"/>
      <c r="H509" s="4"/>
      <c r="I509" s="4"/>
      <c r="J509" s="4"/>
      <c r="K509" s="4"/>
      <c r="L509" s="53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76"/>
      <c r="F510" s="53"/>
      <c r="G510" s="4"/>
      <c r="H510" s="4"/>
      <c r="I510" s="4"/>
      <c r="J510" s="4"/>
      <c r="K510" s="4"/>
      <c r="L510" s="53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76"/>
      <c r="F511" s="53"/>
      <c r="G511" s="4"/>
      <c r="H511" s="4"/>
      <c r="I511" s="4"/>
      <c r="J511" s="4"/>
      <c r="K511" s="4"/>
      <c r="L511" s="53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76"/>
      <c r="F512" s="53"/>
      <c r="G512" s="4"/>
      <c r="H512" s="4"/>
      <c r="I512" s="4"/>
      <c r="J512" s="4"/>
      <c r="K512" s="4"/>
      <c r="L512" s="53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76"/>
      <c r="F513" s="53"/>
      <c r="G513" s="4"/>
      <c r="H513" s="4"/>
      <c r="I513" s="4"/>
      <c r="J513" s="4"/>
      <c r="K513" s="4"/>
      <c r="L513" s="53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76"/>
      <c r="F514" s="53"/>
      <c r="G514" s="4"/>
      <c r="H514" s="4"/>
      <c r="I514" s="4"/>
      <c r="J514" s="4"/>
      <c r="K514" s="4"/>
      <c r="L514" s="53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76"/>
      <c r="F515" s="53"/>
      <c r="G515" s="4"/>
      <c r="H515" s="4"/>
      <c r="I515" s="4"/>
      <c r="J515" s="4"/>
      <c r="K515" s="4"/>
      <c r="L515" s="53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76"/>
      <c r="F516" s="53"/>
      <c r="G516" s="4"/>
      <c r="H516" s="4"/>
      <c r="I516" s="4"/>
      <c r="J516" s="4"/>
      <c r="K516" s="4"/>
      <c r="L516" s="53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76"/>
      <c r="F517" s="53"/>
      <c r="G517" s="4"/>
      <c r="H517" s="4"/>
      <c r="I517" s="4"/>
      <c r="J517" s="4"/>
      <c r="K517" s="4"/>
      <c r="L517" s="53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76"/>
      <c r="F518" s="53"/>
      <c r="G518" s="4"/>
      <c r="H518" s="4"/>
      <c r="I518" s="4"/>
      <c r="J518" s="4"/>
      <c r="K518" s="4"/>
      <c r="L518" s="53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76"/>
      <c r="F519" s="53"/>
      <c r="G519" s="4"/>
      <c r="H519" s="4"/>
      <c r="I519" s="4"/>
      <c r="J519" s="4"/>
      <c r="K519" s="4"/>
      <c r="L519" s="53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76"/>
      <c r="F520" s="53"/>
      <c r="G520" s="4"/>
      <c r="H520" s="4"/>
      <c r="I520" s="4"/>
      <c r="J520" s="4"/>
      <c r="K520" s="4"/>
      <c r="L520" s="53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76"/>
      <c r="F521" s="53"/>
      <c r="G521" s="4"/>
      <c r="H521" s="4"/>
      <c r="I521" s="4"/>
      <c r="J521" s="4"/>
      <c r="K521" s="4"/>
      <c r="L521" s="53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76"/>
      <c r="F522" s="53"/>
      <c r="G522" s="4"/>
      <c r="H522" s="4"/>
      <c r="I522" s="4"/>
      <c r="J522" s="4"/>
      <c r="K522" s="4"/>
      <c r="L522" s="53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76"/>
      <c r="F523" s="53"/>
      <c r="G523" s="4"/>
      <c r="H523" s="4"/>
      <c r="I523" s="4"/>
      <c r="J523" s="4"/>
      <c r="K523" s="4"/>
      <c r="L523" s="53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76"/>
      <c r="F524" s="53"/>
      <c r="G524" s="4"/>
      <c r="H524" s="4"/>
      <c r="I524" s="4"/>
      <c r="J524" s="4"/>
      <c r="K524" s="4"/>
      <c r="L524" s="53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76"/>
      <c r="F525" s="53"/>
      <c r="G525" s="4"/>
      <c r="H525" s="4"/>
      <c r="I525" s="4"/>
      <c r="J525" s="4"/>
      <c r="K525" s="4"/>
      <c r="L525" s="53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76"/>
      <c r="F526" s="53"/>
      <c r="G526" s="4"/>
      <c r="H526" s="4"/>
      <c r="I526" s="4"/>
      <c r="J526" s="4"/>
      <c r="K526" s="4"/>
      <c r="L526" s="53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76"/>
      <c r="F527" s="53"/>
      <c r="G527" s="4"/>
      <c r="H527" s="4"/>
      <c r="I527" s="4"/>
      <c r="J527" s="4"/>
      <c r="K527" s="4"/>
      <c r="L527" s="53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76"/>
      <c r="F528" s="53"/>
      <c r="G528" s="4"/>
      <c r="H528" s="4"/>
      <c r="I528" s="4"/>
      <c r="J528" s="4"/>
      <c r="K528" s="4"/>
      <c r="L528" s="53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76"/>
      <c r="F529" s="53"/>
      <c r="G529" s="4"/>
      <c r="H529" s="4"/>
      <c r="I529" s="4"/>
      <c r="J529" s="4"/>
      <c r="K529" s="4"/>
      <c r="L529" s="53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76"/>
      <c r="F530" s="53"/>
      <c r="G530" s="4"/>
      <c r="H530" s="4"/>
      <c r="I530" s="4"/>
      <c r="J530" s="4"/>
      <c r="K530" s="4"/>
      <c r="L530" s="53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76"/>
      <c r="F531" s="53"/>
      <c r="G531" s="4"/>
      <c r="H531" s="4"/>
      <c r="I531" s="4"/>
      <c r="J531" s="4"/>
      <c r="K531" s="4"/>
      <c r="L531" s="53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76"/>
      <c r="F532" s="53"/>
      <c r="G532" s="4"/>
      <c r="H532" s="4"/>
      <c r="I532" s="4"/>
      <c r="J532" s="4"/>
      <c r="K532" s="4"/>
      <c r="L532" s="53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76"/>
      <c r="F533" s="53"/>
      <c r="G533" s="4"/>
      <c r="H533" s="4"/>
      <c r="I533" s="4"/>
      <c r="J533" s="4"/>
      <c r="K533" s="4"/>
      <c r="L533" s="53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76"/>
      <c r="F534" s="53"/>
      <c r="G534" s="4"/>
      <c r="H534" s="4"/>
      <c r="I534" s="4"/>
      <c r="J534" s="4"/>
      <c r="K534" s="4"/>
      <c r="L534" s="53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76"/>
      <c r="F535" s="53"/>
      <c r="G535" s="4"/>
      <c r="H535" s="4"/>
      <c r="I535" s="4"/>
      <c r="J535" s="4"/>
      <c r="K535" s="4"/>
      <c r="L535" s="53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76"/>
      <c r="F536" s="53"/>
      <c r="G536" s="4"/>
      <c r="H536" s="4"/>
      <c r="I536" s="4"/>
      <c r="J536" s="4"/>
      <c r="K536" s="4"/>
      <c r="L536" s="53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76"/>
      <c r="F537" s="53"/>
      <c r="G537" s="4"/>
      <c r="H537" s="4"/>
      <c r="I537" s="4"/>
      <c r="J537" s="4"/>
      <c r="K537" s="4"/>
      <c r="L537" s="53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76"/>
      <c r="F538" s="53"/>
      <c r="G538" s="4"/>
      <c r="H538" s="4"/>
      <c r="I538" s="4"/>
      <c r="J538" s="4"/>
      <c r="K538" s="4"/>
      <c r="L538" s="53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76"/>
      <c r="F539" s="53"/>
      <c r="G539" s="4"/>
      <c r="H539" s="4"/>
      <c r="I539" s="4"/>
      <c r="J539" s="4"/>
      <c r="K539" s="4"/>
      <c r="L539" s="53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76"/>
      <c r="F540" s="53"/>
      <c r="G540" s="4"/>
      <c r="H540" s="4"/>
      <c r="I540" s="4"/>
      <c r="J540" s="4"/>
      <c r="K540" s="4"/>
      <c r="L540" s="53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76"/>
      <c r="F541" s="53"/>
      <c r="G541" s="4"/>
      <c r="H541" s="4"/>
      <c r="I541" s="4"/>
      <c r="J541" s="4"/>
      <c r="K541" s="4"/>
      <c r="L541" s="53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76"/>
      <c r="F542" s="53"/>
      <c r="G542" s="4"/>
      <c r="H542" s="4"/>
      <c r="I542" s="4"/>
      <c r="J542" s="4"/>
      <c r="K542" s="4"/>
      <c r="L542" s="53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76"/>
      <c r="F543" s="53"/>
      <c r="G543" s="4"/>
      <c r="H543" s="4"/>
      <c r="I543" s="4"/>
      <c r="J543" s="4"/>
      <c r="K543" s="4"/>
      <c r="L543" s="53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76"/>
      <c r="F544" s="53"/>
      <c r="G544" s="4"/>
      <c r="H544" s="4"/>
      <c r="I544" s="4"/>
      <c r="J544" s="4"/>
      <c r="K544" s="4"/>
      <c r="L544" s="53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76"/>
      <c r="F545" s="53"/>
      <c r="G545" s="4"/>
      <c r="H545" s="4"/>
      <c r="I545" s="4"/>
      <c r="J545" s="4"/>
      <c r="K545" s="4"/>
      <c r="L545" s="53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76"/>
      <c r="F546" s="53"/>
      <c r="G546" s="4"/>
      <c r="H546" s="4"/>
      <c r="I546" s="4"/>
      <c r="J546" s="4"/>
      <c r="K546" s="4"/>
      <c r="L546" s="53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76"/>
      <c r="F547" s="53"/>
      <c r="G547" s="4"/>
      <c r="H547" s="4"/>
      <c r="I547" s="4"/>
      <c r="J547" s="4"/>
      <c r="K547" s="4"/>
      <c r="L547" s="53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76"/>
      <c r="F548" s="53"/>
      <c r="G548" s="4"/>
      <c r="H548" s="4"/>
      <c r="I548" s="4"/>
      <c r="J548" s="4"/>
      <c r="K548" s="4"/>
      <c r="L548" s="53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76"/>
      <c r="F549" s="53"/>
      <c r="G549" s="4"/>
      <c r="H549" s="4"/>
      <c r="I549" s="4"/>
      <c r="J549" s="4"/>
      <c r="K549" s="4"/>
      <c r="L549" s="53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76"/>
      <c r="F550" s="53"/>
      <c r="G550" s="4"/>
      <c r="H550" s="4"/>
      <c r="I550" s="4"/>
      <c r="J550" s="4"/>
      <c r="K550" s="4"/>
      <c r="L550" s="53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76"/>
      <c r="F551" s="53"/>
      <c r="G551" s="4"/>
      <c r="H551" s="4"/>
      <c r="I551" s="4"/>
      <c r="J551" s="4"/>
      <c r="K551" s="4"/>
      <c r="L551" s="53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76"/>
      <c r="F552" s="53"/>
      <c r="G552" s="4"/>
      <c r="H552" s="4"/>
      <c r="I552" s="4"/>
      <c r="J552" s="4"/>
      <c r="K552" s="4"/>
      <c r="L552" s="53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76"/>
      <c r="F553" s="53"/>
      <c r="G553" s="4"/>
      <c r="H553" s="4"/>
      <c r="I553" s="4"/>
      <c r="J553" s="4"/>
      <c r="K553" s="4"/>
      <c r="L553" s="53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76"/>
      <c r="F554" s="53"/>
      <c r="G554" s="4"/>
      <c r="H554" s="4"/>
      <c r="I554" s="4"/>
      <c r="J554" s="4"/>
      <c r="K554" s="4"/>
      <c r="L554" s="53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76"/>
      <c r="F555" s="53"/>
      <c r="G555" s="4"/>
      <c r="H555" s="4"/>
      <c r="I555" s="4"/>
      <c r="J555" s="4"/>
      <c r="K555" s="4"/>
      <c r="L555" s="53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76"/>
      <c r="F556" s="53"/>
      <c r="G556" s="4"/>
      <c r="H556" s="4"/>
      <c r="I556" s="4"/>
      <c r="J556" s="4"/>
      <c r="K556" s="4"/>
      <c r="L556" s="53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76"/>
      <c r="F557" s="53"/>
      <c r="G557" s="4"/>
      <c r="H557" s="4"/>
      <c r="I557" s="4"/>
      <c r="J557" s="4"/>
      <c r="K557" s="4"/>
      <c r="L557" s="53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76"/>
      <c r="F558" s="53"/>
      <c r="G558" s="4"/>
      <c r="H558" s="4"/>
      <c r="I558" s="4"/>
      <c r="J558" s="4"/>
      <c r="K558" s="4"/>
      <c r="L558" s="53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76"/>
      <c r="F559" s="53"/>
      <c r="G559" s="4"/>
      <c r="H559" s="4"/>
      <c r="I559" s="4"/>
      <c r="J559" s="4"/>
      <c r="K559" s="4"/>
      <c r="L559" s="53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76"/>
      <c r="F560" s="53"/>
      <c r="G560" s="4"/>
      <c r="H560" s="4"/>
      <c r="I560" s="4"/>
      <c r="J560" s="4"/>
      <c r="K560" s="4"/>
      <c r="L560" s="53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76"/>
      <c r="F561" s="53"/>
      <c r="G561" s="4"/>
      <c r="H561" s="4"/>
      <c r="I561" s="4"/>
      <c r="J561" s="4"/>
      <c r="K561" s="4"/>
      <c r="L561" s="53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76"/>
      <c r="F562" s="53"/>
      <c r="G562" s="4"/>
      <c r="H562" s="4"/>
      <c r="I562" s="4"/>
      <c r="J562" s="4"/>
      <c r="K562" s="4"/>
      <c r="L562" s="53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76"/>
      <c r="F563" s="53"/>
      <c r="G563" s="4"/>
      <c r="H563" s="4"/>
      <c r="I563" s="4"/>
      <c r="J563" s="4"/>
      <c r="K563" s="4"/>
      <c r="L563" s="53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76"/>
      <c r="F564" s="53"/>
      <c r="G564" s="4"/>
      <c r="H564" s="4"/>
      <c r="I564" s="4"/>
      <c r="J564" s="4"/>
      <c r="K564" s="4"/>
      <c r="L564" s="53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76"/>
      <c r="F565" s="53"/>
      <c r="G565" s="4"/>
      <c r="H565" s="4"/>
      <c r="I565" s="4"/>
      <c r="J565" s="4"/>
      <c r="K565" s="4"/>
      <c r="L565" s="53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76"/>
      <c r="F566" s="53"/>
      <c r="G566" s="4"/>
      <c r="H566" s="4"/>
      <c r="I566" s="4"/>
      <c r="J566" s="4"/>
      <c r="K566" s="4"/>
      <c r="L566" s="53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76"/>
      <c r="F567" s="53"/>
      <c r="G567" s="4"/>
      <c r="H567" s="4"/>
      <c r="I567" s="4"/>
      <c r="J567" s="4"/>
      <c r="K567" s="4"/>
      <c r="L567" s="53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76"/>
      <c r="F568" s="53"/>
      <c r="G568" s="4"/>
      <c r="H568" s="4"/>
      <c r="I568" s="4"/>
      <c r="J568" s="4"/>
      <c r="K568" s="4"/>
      <c r="L568" s="53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76"/>
      <c r="F569" s="53"/>
      <c r="G569" s="4"/>
      <c r="H569" s="4"/>
      <c r="I569" s="4"/>
      <c r="J569" s="4"/>
      <c r="K569" s="4"/>
      <c r="L569" s="53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76"/>
      <c r="F570" s="53"/>
      <c r="G570" s="4"/>
      <c r="H570" s="4"/>
      <c r="I570" s="4"/>
      <c r="J570" s="4"/>
      <c r="K570" s="4"/>
      <c r="L570" s="53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76"/>
      <c r="F571" s="53"/>
      <c r="G571" s="4"/>
      <c r="H571" s="4"/>
      <c r="I571" s="4"/>
      <c r="J571" s="4"/>
      <c r="K571" s="4"/>
      <c r="L571" s="53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76"/>
      <c r="F572" s="53"/>
      <c r="G572" s="4"/>
      <c r="H572" s="4"/>
      <c r="I572" s="4"/>
      <c r="J572" s="4"/>
      <c r="K572" s="4"/>
      <c r="L572" s="53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76"/>
      <c r="F573" s="53"/>
      <c r="G573" s="4"/>
      <c r="H573" s="4"/>
      <c r="I573" s="4"/>
      <c r="J573" s="4"/>
      <c r="K573" s="4"/>
      <c r="L573" s="53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76"/>
      <c r="F574" s="53"/>
      <c r="G574" s="4"/>
      <c r="H574" s="4"/>
      <c r="I574" s="4"/>
      <c r="J574" s="4"/>
      <c r="K574" s="4"/>
      <c r="L574" s="53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76"/>
      <c r="F575" s="53"/>
      <c r="G575" s="4"/>
      <c r="H575" s="4"/>
      <c r="I575" s="4"/>
      <c r="J575" s="4"/>
      <c r="K575" s="4"/>
      <c r="L575" s="53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76"/>
      <c r="F576" s="53"/>
      <c r="G576" s="4"/>
      <c r="H576" s="4"/>
      <c r="I576" s="4"/>
      <c r="J576" s="4"/>
      <c r="K576" s="4"/>
      <c r="L576" s="53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76"/>
      <c r="F577" s="53"/>
      <c r="G577" s="4"/>
      <c r="H577" s="4"/>
      <c r="I577" s="4"/>
      <c r="J577" s="4"/>
      <c r="K577" s="4"/>
      <c r="L577" s="53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76"/>
      <c r="F578" s="53"/>
      <c r="G578" s="4"/>
      <c r="H578" s="4"/>
      <c r="I578" s="4"/>
      <c r="J578" s="4"/>
      <c r="K578" s="4"/>
      <c r="L578" s="53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76"/>
      <c r="F579" s="53"/>
      <c r="G579" s="4"/>
      <c r="H579" s="4"/>
      <c r="I579" s="4"/>
      <c r="J579" s="4"/>
      <c r="K579" s="4"/>
      <c r="L579" s="53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76"/>
      <c r="F580" s="53"/>
      <c r="G580" s="4"/>
      <c r="H580" s="4"/>
      <c r="I580" s="4"/>
      <c r="J580" s="4"/>
      <c r="K580" s="4"/>
      <c r="L580" s="53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76"/>
      <c r="F581" s="53"/>
      <c r="G581" s="4"/>
      <c r="H581" s="4"/>
      <c r="I581" s="4"/>
      <c r="J581" s="4"/>
      <c r="K581" s="4"/>
      <c r="L581" s="53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76"/>
      <c r="F582" s="53"/>
      <c r="G582" s="4"/>
      <c r="H582" s="4"/>
      <c r="I582" s="4"/>
      <c r="J582" s="4"/>
      <c r="K582" s="4"/>
      <c r="L582" s="53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76"/>
      <c r="F583" s="53"/>
      <c r="G583" s="4"/>
      <c r="H583" s="4"/>
      <c r="I583" s="4"/>
      <c r="J583" s="4"/>
      <c r="K583" s="4"/>
      <c r="L583" s="53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76"/>
      <c r="F584" s="53"/>
      <c r="G584" s="4"/>
      <c r="H584" s="4"/>
      <c r="I584" s="4"/>
      <c r="J584" s="4"/>
      <c r="K584" s="4"/>
      <c r="L584" s="53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76"/>
      <c r="F585" s="53"/>
      <c r="G585" s="4"/>
      <c r="H585" s="4"/>
      <c r="I585" s="4"/>
      <c r="J585" s="4"/>
      <c r="K585" s="4"/>
      <c r="L585" s="53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76"/>
      <c r="F586" s="53"/>
      <c r="G586" s="4"/>
      <c r="H586" s="4"/>
      <c r="I586" s="4"/>
      <c r="J586" s="4"/>
      <c r="K586" s="4"/>
      <c r="L586" s="53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76"/>
      <c r="F587" s="53"/>
      <c r="G587" s="4"/>
      <c r="H587" s="4"/>
      <c r="I587" s="4"/>
      <c r="J587" s="4"/>
      <c r="K587" s="4"/>
      <c r="L587" s="53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76"/>
      <c r="F588" s="53"/>
      <c r="G588" s="4"/>
      <c r="H588" s="4"/>
      <c r="I588" s="4"/>
      <c r="J588" s="4"/>
      <c r="K588" s="4"/>
      <c r="L588" s="53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76"/>
      <c r="F589" s="53"/>
      <c r="G589" s="4"/>
      <c r="H589" s="4"/>
      <c r="I589" s="4"/>
      <c r="J589" s="4"/>
      <c r="K589" s="4"/>
      <c r="L589" s="53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76"/>
      <c r="F590" s="53"/>
      <c r="G590" s="4"/>
      <c r="H590" s="4"/>
      <c r="I590" s="4"/>
      <c r="J590" s="4"/>
      <c r="K590" s="4"/>
      <c r="L590" s="53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76"/>
      <c r="F591" s="53"/>
      <c r="G591" s="4"/>
      <c r="H591" s="4"/>
      <c r="I591" s="4"/>
      <c r="J591" s="4"/>
      <c r="K591" s="4"/>
      <c r="L591" s="53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76"/>
      <c r="F592" s="53"/>
      <c r="G592" s="4"/>
      <c r="H592" s="4"/>
      <c r="I592" s="4"/>
      <c r="J592" s="4"/>
      <c r="K592" s="4"/>
      <c r="L592" s="53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76"/>
      <c r="F593" s="53"/>
      <c r="G593" s="4"/>
      <c r="H593" s="4"/>
      <c r="I593" s="4"/>
      <c r="J593" s="4"/>
      <c r="K593" s="4"/>
      <c r="L593" s="53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76"/>
      <c r="F594" s="53"/>
      <c r="G594" s="4"/>
      <c r="H594" s="4"/>
      <c r="I594" s="4"/>
      <c r="J594" s="4"/>
      <c r="K594" s="4"/>
      <c r="L594" s="53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76"/>
      <c r="F595" s="53"/>
      <c r="G595" s="4"/>
      <c r="H595" s="4"/>
      <c r="I595" s="4"/>
      <c r="J595" s="4"/>
      <c r="K595" s="4"/>
      <c r="L595" s="53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76"/>
      <c r="F596" s="53"/>
      <c r="G596" s="4"/>
      <c r="H596" s="4"/>
      <c r="I596" s="4"/>
      <c r="J596" s="4"/>
      <c r="K596" s="4"/>
      <c r="L596" s="53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76"/>
      <c r="F597" s="53"/>
      <c r="G597" s="4"/>
      <c r="H597" s="4"/>
      <c r="I597" s="4"/>
      <c r="J597" s="4"/>
      <c r="K597" s="4"/>
      <c r="L597" s="53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76"/>
      <c r="F598" s="53"/>
      <c r="G598" s="4"/>
      <c r="H598" s="4"/>
      <c r="I598" s="4"/>
      <c r="J598" s="4"/>
      <c r="K598" s="4"/>
      <c r="L598" s="53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76"/>
      <c r="F599" s="53"/>
      <c r="G599" s="4"/>
      <c r="H599" s="4"/>
      <c r="I599" s="4"/>
      <c r="J599" s="4"/>
      <c r="K599" s="4"/>
      <c r="L599" s="53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76"/>
      <c r="F600" s="53"/>
      <c r="G600" s="4"/>
      <c r="H600" s="4"/>
      <c r="I600" s="4"/>
      <c r="J600" s="4"/>
      <c r="K600" s="4"/>
      <c r="L600" s="53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76"/>
      <c r="F601" s="53"/>
      <c r="G601" s="4"/>
      <c r="H601" s="4"/>
      <c r="I601" s="4"/>
      <c r="J601" s="4"/>
      <c r="K601" s="4"/>
      <c r="L601" s="53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76"/>
      <c r="F602" s="53"/>
      <c r="G602" s="4"/>
      <c r="H602" s="4"/>
      <c r="I602" s="4"/>
      <c r="J602" s="4"/>
      <c r="K602" s="4"/>
      <c r="L602" s="53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76"/>
      <c r="F603" s="53"/>
      <c r="G603" s="4"/>
      <c r="H603" s="4"/>
      <c r="I603" s="4"/>
      <c r="J603" s="4"/>
      <c r="K603" s="4"/>
      <c r="L603" s="53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76"/>
      <c r="F604" s="53"/>
      <c r="G604" s="4"/>
      <c r="H604" s="4"/>
      <c r="I604" s="4"/>
      <c r="J604" s="4"/>
      <c r="K604" s="4"/>
      <c r="L604" s="53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76"/>
      <c r="F605" s="53"/>
      <c r="G605" s="4"/>
      <c r="H605" s="4"/>
      <c r="I605" s="4"/>
      <c r="J605" s="4"/>
      <c r="K605" s="4"/>
      <c r="L605" s="53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76"/>
      <c r="F606" s="53"/>
      <c r="G606" s="4"/>
      <c r="H606" s="4"/>
      <c r="I606" s="4"/>
      <c r="J606" s="4"/>
      <c r="K606" s="4"/>
      <c r="L606" s="53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76"/>
      <c r="F607" s="53"/>
      <c r="G607" s="4"/>
      <c r="H607" s="4"/>
      <c r="I607" s="4"/>
      <c r="J607" s="4"/>
      <c r="K607" s="4"/>
      <c r="L607" s="53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76"/>
      <c r="F608" s="53"/>
      <c r="G608" s="4"/>
      <c r="H608" s="4"/>
      <c r="I608" s="4"/>
      <c r="J608" s="4"/>
      <c r="K608" s="4"/>
      <c r="L608" s="53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76"/>
      <c r="F609" s="53"/>
      <c r="G609" s="4"/>
      <c r="H609" s="4"/>
      <c r="I609" s="4"/>
      <c r="J609" s="4"/>
      <c r="K609" s="4"/>
      <c r="L609" s="53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76"/>
      <c r="F610" s="53"/>
      <c r="G610" s="4"/>
      <c r="H610" s="4"/>
      <c r="I610" s="4"/>
      <c r="J610" s="4"/>
      <c r="K610" s="4"/>
      <c r="L610" s="53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76"/>
      <c r="F611" s="53"/>
      <c r="G611" s="4"/>
      <c r="H611" s="4"/>
      <c r="I611" s="4"/>
      <c r="J611" s="4"/>
      <c r="K611" s="4"/>
      <c r="L611" s="53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76"/>
      <c r="F612" s="53"/>
      <c r="G612" s="4"/>
      <c r="H612" s="4"/>
      <c r="I612" s="4"/>
      <c r="J612" s="4"/>
      <c r="K612" s="4"/>
      <c r="L612" s="53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76"/>
      <c r="F613" s="53"/>
      <c r="G613" s="4"/>
      <c r="H613" s="4"/>
      <c r="I613" s="4"/>
      <c r="J613" s="4"/>
      <c r="K613" s="4"/>
      <c r="L613" s="53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76"/>
      <c r="F614" s="53"/>
      <c r="G614" s="4"/>
      <c r="H614" s="4"/>
      <c r="I614" s="4"/>
      <c r="J614" s="4"/>
      <c r="K614" s="4"/>
      <c r="L614" s="53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76"/>
      <c r="F615" s="53"/>
      <c r="G615" s="4"/>
      <c r="H615" s="4"/>
      <c r="I615" s="4"/>
      <c r="J615" s="4"/>
      <c r="K615" s="4"/>
      <c r="L615" s="53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76"/>
      <c r="F616" s="53"/>
      <c r="G616" s="4"/>
      <c r="H616" s="4"/>
      <c r="I616" s="4"/>
      <c r="J616" s="4"/>
      <c r="K616" s="4"/>
      <c r="L616" s="53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76"/>
      <c r="F617" s="53"/>
      <c r="G617" s="4"/>
      <c r="H617" s="4"/>
      <c r="I617" s="4"/>
      <c r="J617" s="4"/>
      <c r="K617" s="4"/>
      <c r="L617" s="53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76"/>
      <c r="F618" s="53"/>
      <c r="G618" s="4"/>
      <c r="H618" s="4"/>
      <c r="I618" s="4"/>
      <c r="J618" s="4"/>
      <c r="K618" s="4"/>
      <c r="L618" s="53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76"/>
      <c r="F619" s="53"/>
      <c r="G619" s="4"/>
      <c r="H619" s="4"/>
      <c r="I619" s="4"/>
      <c r="J619" s="4"/>
      <c r="K619" s="4"/>
      <c r="L619" s="53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76"/>
      <c r="F620" s="53"/>
      <c r="G620" s="4"/>
      <c r="H620" s="4"/>
      <c r="I620" s="4"/>
      <c r="J620" s="4"/>
      <c r="K620" s="4"/>
      <c r="L620" s="53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76"/>
      <c r="F621" s="53"/>
      <c r="G621" s="4"/>
      <c r="H621" s="4"/>
      <c r="I621" s="4"/>
      <c r="J621" s="4"/>
      <c r="K621" s="4"/>
      <c r="L621" s="53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76"/>
      <c r="F622" s="53"/>
      <c r="G622" s="4"/>
      <c r="H622" s="4"/>
      <c r="I622" s="4"/>
      <c r="J622" s="4"/>
      <c r="K622" s="4"/>
      <c r="L622" s="53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76"/>
      <c r="F623" s="53"/>
      <c r="G623" s="4"/>
      <c r="H623" s="4"/>
      <c r="I623" s="4"/>
      <c r="J623" s="4"/>
      <c r="K623" s="4"/>
      <c r="L623" s="53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76"/>
      <c r="F624" s="53"/>
      <c r="G624" s="4"/>
      <c r="H624" s="4"/>
      <c r="I624" s="4"/>
      <c r="J624" s="4"/>
      <c r="K624" s="4"/>
      <c r="L624" s="53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76"/>
      <c r="F625" s="53"/>
      <c r="G625" s="4"/>
      <c r="H625" s="4"/>
      <c r="I625" s="4"/>
      <c r="J625" s="4"/>
      <c r="K625" s="4"/>
      <c r="L625" s="53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76"/>
      <c r="F626" s="53"/>
      <c r="G626" s="4"/>
      <c r="H626" s="4"/>
      <c r="I626" s="4"/>
      <c r="J626" s="4"/>
      <c r="K626" s="4"/>
      <c r="L626" s="53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76"/>
      <c r="F627" s="53"/>
      <c r="G627" s="4"/>
      <c r="H627" s="4"/>
      <c r="I627" s="4"/>
      <c r="J627" s="4"/>
      <c r="K627" s="4"/>
      <c r="L627" s="53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76"/>
      <c r="F628" s="53"/>
      <c r="G628" s="4"/>
      <c r="H628" s="4"/>
      <c r="I628" s="4"/>
      <c r="J628" s="4"/>
      <c r="K628" s="4"/>
      <c r="L628" s="53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76"/>
      <c r="F629" s="53"/>
      <c r="G629" s="4"/>
      <c r="H629" s="4"/>
      <c r="I629" s="4"/>
      <c r="J629" s="4"/>
      <c r="K629" s="4"/>
      <c r="L629" s="53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76"/>
      <c r="F630" s="53"/>
      <c r="G630" s="4"/>
      <c r="H630" s="4"/>
      <c r="I630" s="4"/>
      <c r="J630" s="4"/>
      <c r="K630" s="4"/>
      <c r="L630" s="53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76"/>
      <c r="F631" s="53"/>
      <c r="G631" s="4"/>
      <c r="H631" s="4"/>
      <c r="I631" s="4"/>
      <c r="J631" s="4"/>
      <c r="K631" s="4"/>
      <c r="L631" s="53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76"/>
      <c r="F632" s="53"/>
      <c r="G632" s="4"/>
      <c r="H632" s="4"/>
      <c r="I632" s="4"/>
      <c r="J632" s="4"/>
      <c r="K632" s="4"/>
      <c r="L632" s="53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76"/>
      <c r="F633" s="53"/>
      <c r="G633" s="4"/>
      <c r="H633" s="4"/>
      <c r="I633" s="4"/>
      <c r="J633" s="4"/>
      <c r="K633" s="4"/>
      <c r="L633" s="53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76"/>
      <c r="F634" s="53"/>
      <c r="G634" s="4"/>
      <c r="H634" s="4"/>
      <c r="I634" s="4"/>
      <c r="J634" s="4"/>
      <c r="K634" s="4"/>
      <c r="L634" s="53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76"/>
      <c r="F635" s="53"/>
      <c r="G635" s="4"/>
      <c r="H635" s="4"/>
      <c r="I635" s="4"/>
      <c r="J635" s="4"/>
      <c r="K635" s="4"/>
      <c r="L635" s="53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76"/>
      <c r="F636" s="53"/>
      <c r="G636" s="4"/>
      <c r="H636" s="4"/>
      <c r="I636" s="4"/>
      <c r="J636" s="4"/>
      <c r="K636" s="4"/>
      <c r="L636" s="53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76"/>
      <c r="F637" s="53"/>
      <c r="G637" s="4"/>
      <c r="H637" s="4"/>
      <c r="I637" s="4"/>
      <c r="J637" s="4"/>
      <c r="K637" s="4"/>
      <c r="L637" s="53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76"/>
      <c r="F638" s="53"/>
      <c r="G638" s="4"/>
      <c r="H638" s="4"/>
      <c r="I638" s="4"/>
      <c r="J638" s="4"/>
      <c r="K638" s="4"/>
      <c r="L638" s="53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76"/>
      <c r="F639" s="53"/>
      <c r="G639" s="4"/>
      <c r="H639" s="4"/>
      <c r="I639" s="4"/>
      <c r="J639" s="4"/>
      <c r="K639" s="4"/>
      <c r="L639" s="53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76"/>
      <c r="F640" s="53"/>
      <c r="G640" s="4"/>
      <c r="H640" s="4"/>
      <c r="I640" s="4"/>
      <c r="J640" s="4"/>
      <c r="K640" s="4"/>
      <c r="L640" s="53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76"/>
      <c r="F641" s="53"/>
      <c r="G641" s="4"/>
      <c r="H641" s="4"/>
      <c r="I641" s="4"/>
      <c r="J641" s="4"/>
      <c r="K641" s="4"/>
      <c r="L641" s="53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76"/>
      <c r="F642" s="53"/>
      <c r="G642" s="4"/>
      <c r="H642" s="4"/>
      <c r="I642" s="4"/>
      <c r="J642" s="4"/>
      <c r="K642" s="4"/>
      <c r="L642" s="53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76"/>
      <c r="F643" s="53"/>
      <c r="G643" s="4"/>
      <c r="H643" s="4"/>
      <c r="I643" s="4"/>
      <c r="J643" s="4"/>
      <c r="K643" s="4"/>
      <c r="L643" s="53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76"/>
      <c r="F644" s="53"/>
      <c r="G644" s="4"/>
      <c r="H644" s="4"/>
      <c r="I644" s="4"/>
      <c r="J644" s="4"/>
      <c r="K644" s="4"/>
      <c r="L644" s="53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76"/>
      <c r="F645" s="53"/>
      <c r="G645" s="4"/>
      <c r="H645" s="4"/>
      <c r="I645" s="4"/>
      <c r="J645" s="4"/>
      <c r="K645" s="4"/>
      <c r="L645" s="53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76"/>
      <c r="F646" s="53"/>
      <c r="G646" s="4"/>
      <c r="H646" s="4"/>
      <c r="I646" s="4"/>
      <c r="J646" s="4"/>
      <c r="K646" s="4"/>
      <c r="L646" s="53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76"/>
      <c r="F647" s="53"/>
      <c r="G647" s="4"/>
      <c r="H647" s="4"/>
      <c r="I647" s="4"/>
      <c r="J647" s="4"/>
      <c r="K647" s="4"/>
      <c r="L647" s="53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76"/>
      <c r="F648" s="53"/>
      <c r="G648" s="4"/>
      <c r="H648" s="4"/>
      <c r="I648" s="4"/>
      <c r="J648" s="4"/>
      <c r="K648" s="4"/>
      <c r="L648" s="53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76"/>
      <c r="F649" s="53"/>
      <c r="G649" s="4"/>
      <c r="H649" s="4"/>
      <c r="I649" s="4"/>
      <c r="J649" s="4"/>
      <c r="K649" s="4"/>
      <c r="L649" s="53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76"/>
      <c r="F650" s="53"/>
      <c r="G650" s="4"/>
      <c r="H650" s="4"/>
      <c r="I650" s="4"/>
      <c r="J650" s="4"/>
      <c r="K650" s="4"/>
      <c r="L650" s="53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76"/>
      <c r="F651" s="53"/>
      <c r="G651" s="4"/>
      <c r="H651" s="4"/>
      <c r="I651" s="4"/>
      <c r="J651" s="4"/>
      <c r="K651" s="4"/>
      <c r="L651" s="53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76"/>
      <c r="F652" s="53"/>
      <c r="G652" s="4"/>
      <c r="H652" s="4"/>
      <c r="I652" s="4"/>
      <c r="J652" s="4"/>
      <c r="K652" s="4"/>
      <c r="L652" s="53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76"/>
      <c r="F653" s="53"/>
      <c r="G653" s="4"/>
      <c r="H653" s="4"/>
      <c r="I653" s="4"/>
      <c r="J653" s="4"/>
      <c r="K653" s="4"/>
      <c r="L653" s="53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76"/>
      <c r="F654" s="53"/>
      <c r="G654" s="4"/>
      <c r="H654" s="4"/>
      <c r="I654" s="4"/>
      <c r="J654" s="4"/>
      <c r="K654" s="4"/>
      <c r="L654" s="53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76"/>
      <c r="F655" s="53"/>
      <c r="G655" s="4"/>
      <c r="H655" s="4"/>
      <c r="I655" s="4"/>
      <c r="J655" s="4"/>
      <c r="K655" s="4"/>
      <c r="L655" s="53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76"/>
      <c r="F656" s="53"/>
      <c r="G656" s="4"/>
      <c r="H656" s="4"/>
      <c r="I656" s="4"/>
      <c r="J656" s="4"/>
      <c r="K656" s="4"/>
      <c r="L656" s="53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76"/>
      <c r="F657" s="53"/>
      <c r="G657" s="4"/>
      <c r="H657" s="4"/>
      <c r="I657" s="4"/>
      <c r="J657" s="4"/>
      <c r="K657" s="4"/>
      <c r="L657" s="53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76"/>
      <c r="F658" s="53"/>
      <c r="G658" s="4"/>
      <c r="H658" s="4"/>
      <c r="I658" s="4"/>
      <c r="J658" s="4"/>
      <c r="K658" s="4"/>
      <c r="L658" s="53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76"/>
      <c r="F659" s="53"/>
      <c r="G659" s="4"/>
      <c r="H659" s="4"/>
      <c r="I659" s="4"/>
      <c r="J659" s="4"/>
      <c r="K659" s="4"/>
      <c r="L659" s="53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76"/>
      <c r="F660" s="53"/>
      <c r="G660" s="4"/>
      <c r="H660" s="4"/>
      <c r="I660" s="4"/>
      <c r="J660" s="4"/>
      <c r="K660" s="4"/>
      <c r="L660" s="53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76"/>
      <c r="F661" s="53"/>
      <c r="G661" s="4"/>
      <c r="H661" s="4"/>
      <c r="I661" s="4"/>
      <c r="J661" s="4"/>
      <c r="K661" s="4"/>
      <c r="L661" s="53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76"/>
      <c r="F662" s="53"/>
      <c r="G662" s="4"/>
      <c r="H662" s="4"/>
      <c r="I662" s="4"/>
      <c r="J662" s="4"/>
      <c r="K662" s="4"/>
      <c r="L662" s="53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76"/>
      <c r="F663" s="53"/>
      <c r="G663" s="4"/>
      <c r="H663" s="4"/>
      <c r="I663" s="4"/>
      <c r="J663" s="4"/>
      <c r="K663" s="4"/>
      <c r="L663" s="53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76"/>
      <c r="F664" s="53"/>
      <c r="G664" s="4"/>
      <c r="H664" s="4"/>
      <c r="I664" s="4"/>
      <c r="J664" s="4"/>
      <c r="K664" s="4"/>
      <c r="L664" s="53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76"/>
      <c r="F665" s="53"/>
      <c r="G665" s="4"/>
      <c r="H665" s="4"/>
      <c r="I665" s="4"/>
      <c r="J665" s="4"/>
      <c r="K665" s="4"/>
      <c r="L665" s="53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76"/>
      <c r="F666" s="53"/>
      <c r="G666" s="4"/>
      <c r="H666" s="4"/>
      <c r="I666" s="4"/>
      <c r="J666" s="4"/>
      <c r="K666" s="4"/>
      <c r="L666" s="53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76"/>
      <c r="F667" s="53"/>
      <c r="G667" s="4"/>
      <c r="H667" s="4"/>
      <c r="I667" s="4"/>
      <c r="J667" s="4"/>
      <c r="K667" s="4"/>
      <c r="L667" s="53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76"/>
      <c r="F668" s="53"/>
      <c r="G668" s="4"/>
      <c r="H668" s="4"/>
      <c r="I668" s="4"/>
      <c r="J668" s="4"/>
      <c r="K668" s="4"/>
      <c r="L668" s="53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76"/>
      <c r="F669" s="53"/>
      <c r="G669" s="4"/>
      <c r="H669" s="4"/>
      <c r="I669" s="4"/>
      <c r="J669" s="4"/>
      <c r="K669" s="4"/>
      <c r="L669" s="53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76"/>
      <c r="F670" s="53"/>
      <c r="G670" s="4"/>
      <c r="H670" s="4"/>
      <c r="I670" s="4"/>
      <c r="J670" s="4"/>
      <c r="K670" s="4"/>
      <c r="L670" s="53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76"/>
      <c r="F671" s="53"/>
      <c r="G671" s="4"/>
      <c r="H671" s="4"/>
      <c r="I671" s="4"/>
      <c r="J671" s="4"/>
      <c r="K671" s="4"/>
      <c r="L671" s="53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76"/>
      <c r="F672" s="53"/>
      <c r="G672" s="4"/>
      <c r="H672" s="4"/>
      <c r="I672" s="4"/>
      <c r="J672" s="4"/>
      <c r="K672" s="4"/>
      <c r="L672" s="53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76"/>
      <c r="F673" s="53"/>
      <c r="G673" s="4"/>
      <c r="H673" s="4"/>
      <c r="I673" s="4"/>
      <c r="J673" s="4"/>
      <c r="K673" s="4"/>
      <c r="L673" s="53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76"/>
      <c r="F674" s="53"/>
      <c r="G674" s="4"/>
      <c r="H674" s="4"/>
      <c r="I674" s="4"/>
      <c r="J674" s="4"/>
      <c r="K674" s="4"/>
      <c r="L674" s="53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76"/>
      <c r="F675" s="53"/>
      <c r="G675" s="4"/>
      <c r="H675" s="4"/>
      <c r="I675" s="4"/>
      <c r="J675" s="4"/>
      <c r="K675" s="4"/>
      <c r="L675" s="53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76"/>
      <c r="F676" s="53"/>
      <c r="G676" s="4"/>
      <c r="H676" s="4"/>
      <c r="I676" s="4"/>
      <c r="J676" s="4"/>
      <c r="K676" s="4"/>
      <c r="L676" s="53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76"/>
      <c r="F677" s="53"/>
      <c r="G677" s="4"/>
      <c r="H677" s="4"/>
      <c r="I677" s="4"/>
      <c r="J677" s="4"/>
      <c r="K677" s="4"/>
      <c r="L677" s="53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76"/>
      <c r="F678" s="53"/>
      <c r="G678" s="4"/>
      <c r="H678" s="4"/>
      <c r="I678" s="4"/>
      <c r="J678" s="4"/>
      <c r="K678" s="4"/>
      <c r="L678" s="53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76"/>
      <c r="F679" s="53"/>
      <c r="G679" s="4"/>
      <c r="H679" s="4"/>
      <c r="I679" s="4"/>
      <c r="J679" s="4"/>
      <c r="K679" s="4"/>
      <c r="L679" s="53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76"/>
      <c r="F680" s="53"/>
      <c r="G680" s="4"/>
      <c r="H680" s="4"/>
      <c r="I680" s="4"/>
      <c r="J680" s="4"/>
      <c r="K680" s="4"/>
      <c r="L680" s="53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76"/>
      <c r="F681" s="53"/>
      <c r="G681" s="4"/>
      <c r="H681" s="4"/>
      <c r="I681" s="4"/>
      <c r="J681" s="4"/>
      <c r="K681" s="4"/>
      <c r="L681" s="53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76"/>
      <c r="F682" s="53"/>
      <c r="G682" s="4"/>
      <c r="H682" s="4"/>
      <c r="I682" s="4"/>
      <c r="J682" s="4"/>
      <c r="K682" s="4"/>
      <c r="L682" s="53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76"/>
      <c r="F683" s="53"/>
      <c r="G683" s="4"/>
      <c r="H683" s="4"/>
      <c r="I683" s="4"/>
      <c r="J683" s="4"/>
      <c r="K683" s="4"/>
      <c r="L683" s="53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76"/>
      <c r="F684" s="53"/>
      <c r="G684" s="4"/>
      <c r="H684" s="4"/>
      <c r="I684" s="4"/>
      <c r="J684" s="4"/>
      <c r="K684" s="4"/>
      <c r="L684" s="53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76"/>
      <c r="F685" s="53"/>
      <c r="G685" s="4"/>
      <c r="H685" s="4"/>
      <c r="I685" s="4"/>
      <c r="J685" s="4"/>
      <c r="K685" s="4"/>
      <c r="L685" s="53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76"/>
      <c r="F686" s="53"/>
      <c r="G686" s="4"/>
      <c r="H686" s="4"/>
      <c r="I686" s="4"/>
      <c r="J686" s="4"/>
      <c r="K686" s="4"/>
      <c r="L686" s="53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76"/>
      <c r="F687" s="53"/>
      <c r="G687" s="4"/>
      <c r="H687" s="4"/>
      <c r="I687" s="4"/>
      <c r="J687" s="4"/>
      <c r="K687" s="4"/>
      <c r="L687" s="53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76"/>
      <c r="F688" s="53"/>
      <c r="G688" s="4"/>
      <c r="H688" s="4"/>
      <c r="I688" s="4"/>
      <c r="J688" s="4"/>
      <c r="K688" s="4"/>
      <c r="L688" s="53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76"/>
      <c r="F689" s="53"/>
      <c r="G689" s="4"/>
      <c r="H689" s="4"/>
      <c r="I689" s="4"/>
      <c r="J689" s="4"/>
      <c r="K689" s="4"/>
      <c r="L689" s="53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76"/>
      <c r="F690" s="53"/>
      <c r="G690" s="4"/>
      <c r="H690" s="4"/>
      <c r="I690" s="4"/>
      <c r="J690" s="4"/>
      <c r="K690" s="4"/>
      <c r="L690" s="53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76"/>
      <c r="F691" s="53"/>
      <c r="G691" s="4"/>
      <c r="H691" s="4"/>
      <c r="I691" s="4"/>
      <c r="J691" s="4"/>
      <c r="K691" s="4"/>
      <c r="L691" s="53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76"/>
      <c r="F692" s="53"/>
      <c r="G692" s="4"/>
      <c r="H692" s="4"/>
      <c r="I692" s="4"/>
      <c r="J692" s="4"/>
      <c r="K692" s="4"/>
      <c r="L692" s="53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76"/>
      <c r="F693" s="53"/>
      <c r="G693" s="4"/>
      <c r="H693" s="4"/>
      <c r="I693" s="4"/>
      <c r="J693" s="4"/>
      <c r="K693" s="4"/>
      <c r="L693" s="53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76"/>
      <c r="F694" s="53"/>
      <c r="G694" s="4"/>
      <c r="H694" s="4"/>
      <c r="I694" s="4"/>
      <c r="J694" s="4"/>
      <c r="K694" s="4"/>
      <c r="L694" s="53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76"/>
      <c r="F695" s="53"/>
      <c r="G695" s="4"/>
      <c r="H695" s="4"/>
      <c r="I695" s="4"/>
      <c r="J695" s="4"/>
      <c r="K695" s="4"/>
      <c r="L695" s="53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76"/>
      <c r="F696" s="53"/>
      <c r="G696" s="4"/>
      <c r="H696" s="4"/>
      <c r="I696" s="4"/>
      <c r="J696" s="4"/>
      <c r="K696" s="4"/>
      <c r="L696" s="53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76"/>
      <c r="F697" s="53"/>
      <c r="G697" s="4"/>
      <c r="H697" s="4"/>
      <c r="I697" s="4"/>
      <c r="J697" s="4"/>
      <c r="K697" s="4"/>
      <c r="L697" s="53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76"/>
      <c r="F698" s="53"/>
      <c r="G698" s="4"/>
      <c r="H698" s="4"/>
      <c r="I698" s="4"/>
      <c r="J698" s="4"/>
      <c r="K698" s="4"/>
      <c r="L698" s="53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76"/>
      <c r="F699" s="53"/>
      <c r="G699" s="4"/>
      <c r="H699" s="4"/>
      <c r="I699" s="4"/>
      <c r="J699" s="4"/>
      <c r="K699" s="4"/>
      <c r="L699" s="53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76"/>
      <c r="F700" s="53"/>
      <c r="G700" s="4"/>
      <c r="H700" s="4"/>
      <c r="I700" s="4"/>
      <c r="J700" s="4"/>
      <c r="K700" s="4"/>
      <c r="L700" s="53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76"/>
      <c r="F701" s="53"/>
      <c r="G701" s="4"/>
      <c r="H701" s="4"/>
      <c r="I701" s="4"/>
      <c r="J701" s="4"/>
      <c r="K701" s="4"/>
      <c r="L701" s="53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76"/>
      <c r="F702" s="53"/>
      <c r="G702" s="4"/>
      <c r="H702" s="4"/>
      <c r="I702" s="4"/>
      <c r="J702" s="4"/>
      <c r="K702" s="4"/>
      <c r="L702" s="53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76"/>
      <c r="F703" s="53"/>
      <c r="G703" s="4"/>
      <c r="H703" s="4"/>
      <c r="I703" s="4"/>
      <c r="J703" s="4"/>
      <c r="K703" s="4"/>
      <c r="L703" s="53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76"/>
      <c r="F704" s="53"/>
      <c r="G704" s="4"/>
      <c r="H704" s="4"/>
      <c r="I704" s="4"/>
      <c r="J704" s="4"/>
      <c r="K704" s="4"/>
      <c r="L704" s="53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76"/>
      <c r="F705" s="53"/>
      <c r="G705" s="4"/>
      <c r="H705" s="4"/>
      <c r="I705" s="4"/>
      <c r="J705" s="4"/>
      <c r="K705" s="4"/>
      <c r="L705" s="53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76"/>
      <c r="F706" s="53"/>
      <c r="G706" s="4"/>
      <c r="H706" s="4"/>
      <c r="I706" s="4"/>
      <c r="J706" s="4"/>
      <c r="K706" s="4"/>
      <c r="L706" s="53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76"/>
      <c r="F707" s="53"/>
      <c r="G707" s="4"/>
      <c r="H707" s="4"/>
      <c r="I707" s="4"/>
      <c r="J707" s="4"/>
      <c r="K707" s="4"/>
      <c r="L707" s="53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76"/>
      <c r="F708" s="53"/>
      <c r="G708" s="4"/>
      <c r="H708" s="4"/>
      <c r="I708" s="4"/>
      <c r="J708" s="4"/>
      <c r="K708" s="4"/>
      <c r="L708" s="53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76"/>
      <c r="F709" s="53"/>
      <c r="G709" s="4"/>
      <c r="H709" s="4"/>
      <c r="I709" s="4"/>
      <c r="J709" s="4"/>
      <c r="K709" s="4"/>
      <c r="L709" s="53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76"/>
      <c r="F710" s="53"/>
      <c r="G710" s="4"/>
      <c r="H710" s="4"/>
      <c r="I710" s="4"/>
      <c r="J710" s="4"/>
      <c r="K710" s="4"/>
      <c r="L710" s="53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76"/>
      <c r="F711" s="53"/>
      <c r="G711" s="4"/>
      <c r="H711" s="4"/>
      <c r="I711" s="4"/>
      <c r="J711" s="4"/>
      <c r="K711" s="4"/>
      <c r="L711" s="53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76"/>
      <c r="F712" s="53"/>
      <c r="G712" s="4"/>
      <c r="H712" s="4"/>
      <c r="I712" s="4"/>
      <c r="J712" s="4"/>
      <c r="K712" s="4"/>
      <c r="L712" s="53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76"/>
      <c r="F713" s="53"/>
      <c r="G713" s="4"/>
      <c r="H713" s="4"/>
      <c r="I713" s="4"/>
      <c r="J713" s="4"/>
      <c r="K713" s="4"/>
      <c r="L713" s="53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76"/>
      <c r="F714" s="53"/>
      <c r="G714" s="4"/>
      <c r="H714" s="4"/>
      <c r="I714" s="4"/>
      <c r="J714" s="4"/>
      <c r="K714" s="4"/>
      <c r="L714" s="53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76"/>
      <c r="F715" s="53"/>
      <c r="G715" s="4"/>
      <c r="H715" s="4"/>
      <c r="I715" s="4"/>
      <c r="J715" s="4"/>
      <c r="K715" s="4"/>
      <c r="L715" s="53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76"/>
      <c r="F716" s="53"/>
      <c r="G716" s="4"/>
      <c r="H716" s="4"/>
      <c r="I716" s="4"/>
      <c r="J716" s="4"/>
      <c r="K716" s="4"/>
      <c r="L716" s="53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76"/>
      <c r="F717" s="53"/>
      <c r="G717" s="4"/>
      <c r="H717" s="4"/>
      <c r="I717" s="4"/>
      <c r="J717" s="4"/>
      <c r="K717" s="4"/>
      <c r="L717" s="53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76"/>
      <c r="F718" s="53"/>
      <c r="G718" s="4"/>
      <c r="H718" s="4"/>
      <c r="I718" s="4"/>
      <c r="J718" s="4"/>
      <c r="K718" s="4"/>
      <c r="L718" s="53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76"/>
      <c r="F719" s="53"/>
      <c r="G719" s="4"/>
      <c r="H719" s="4"/>
      <c r="I719" s="4"/>
      <c r="J719" s="4"/>
      <c r="K719" s="4"/>
      <c r="L719" s="53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76"/>
      <c r="F720" s="53"/>
      <c r="G720" s="4"/>
      <c r="H720" s="4"/>
      <c r="I720" s="4"/>
      <c r="J720" s="4"/>
      <c r="K720" s="4"/>
      <c r="L720" s="53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76"/>
      <c r="F721" s="53"/>
      <c r="G721" s="4"/>
      <c r="H721" s="4"/>
      <c r="I721" s="4"/>
      <c r="J721" s="4"/>
      <c r="K721" s="4"/>
      <c r="L721" s="53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76"/>
      <c r="F722" s="53"/>
      <c r="G722" s="4"/>
      <c r="H722" s="4"/>
      <c r="I722" s="4"/>
      <c r="J722" s="4"/>
      <c r="K722" s="4"/>
      <c r="L722" s="53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76"/>
      <c r="F723" s="53"/>
      <c r="G723" s="4"/>
      <c r="H723" s="4"/>
      <c r="I723" s="4"/>
      <c r="J723" s="4"/>
      <c r="K723" s="4"/>
      <c r="L723" s="53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76"/>
      <c r="F724" s="53"/>
      <c r="G724" s="4"/>
      <c r="H724" s="4"/>
      <c r="I724" s="4"/>
      <c r="J724" s="4"/>
      <c r="K724" s="4"/>
      <c r="L724" s="53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76"/>
      <c r="F725" s="53"/>
      <c r="G725" s="4"/>
      <c r="H725" s="4"/>
      <c r="I725" s="4"/>
      <c r="J725" s="4"/>
      <c r="K725" s="4"/>
      <c r="L725" s="53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76"/>
      <c r="F726" s="53"/>
      <c r="G726" s="4"/>
      <c r="H726" s="4"/>
      <c r="I726" s="4"/>
      <c r="J726" s="4"/>
      <c r="K726" s="4"/>
      <c r="L726" s="53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76"/>
      <c r="F727" s="53"/>
      <c r="G727" s="4"/>
      <c r="H727" s="4"/>
      <c r="I727" s="4"/>
      <c r="J727" s="4"/>
      <c r="K727" s="4"/>
      <c r="L727" s="53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76"/>
      <c r="F728" s="53"/>
      <c r="G728" s="4"/>
      <c r="H728" s="4"/>
      <c r="I728" s="4"/>
      <c r="J728" s="4"/>
      <c r="K728" s="4"/>
      <c r="L728" s="53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76"/>
      <c r="F729" s="53"/>
      <c r="G729" s="4"/>
      <c r="H729" s="4"/>
      <c r="I729" s="4"/>
      <c r="J729" s="4"/>
      <c r="K729" s="4"/>
      <c r="L729" s="53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76"/>
      <c r="F730" s="53"/>
      <c r="G730" s="4"/>
      <c r="H730" s="4"/>
      <c r="I730" s="4"/>
      <c r="J730" s="4"/>
      <c r="K730" s="4"/>
      <c r="L730" s="53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76"/>
      <c r="F731" s="53"/>
      <c r="G731" s="4"/>
      <c r="H731" s="4"/>
      <c r="I731" s="4"/>
      <c r="J731" s="4"/>
      <c r="K731" s="4"/>
      <c r="L731" s="53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76"/>
      <c r="F732" s="53"/>
      <c r="G732" s="4"/>
      <c r="H732" s="4"/>
      <c r="I732" s="4"/>
      <c r="J732" s="4"/>
      <c r="K732" s="4"/>
      <c r="L732" s="53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76"/>
      <c r="F733" s="53"/>
      <c r="G733" s="4"/>
      <c r="H733" s="4"/>
      <c r="I733" s="4"/>
      <c r="J733" s="4"/>
      <c r="K733" s="4"/>
      <c r="L733" s="53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76"/>
      <c r="F734" s="53"/>
      <c r="G734" s="4"/>
      <c r="H734" s="4"/>
      <c r="I734" s="4"/>
      <c r="J734" s="4"/>
      <c r="K734" s="4"/>
      <c r="L734" s="53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76"/>
      <c r="F735" s="53"/>
      <c r="G735" s="4"/>
      <c r="H735" s="4"/>
      <c r="I735" s="4"/>
      <c r="J735" s="4"/>
      <c r="K735" s="4"/>
      <c r="L735" s="53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76"/>
      <c r="F736" s="53"/>
      <c r="G736" s="4"/>
      <c r="H736" s="4"/>
      <c r="I736" s="4"/>
      <c r="J736" s="4"/>
      <c r="K736" s="4"/>
      <c r="L736" s="53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76"/>
      <c r="F737" s="53"/>
      <c r="G737" s="4"/>
      <c r="H737" s="4"/>
      <c r="I737" s="4"/>
      <c r="J737" s="4"/>
      <c r="K737" s="4"/>
      <c r="L737" s="53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76"/>
      <c r="F738" s="53"/>
      <c r="G738" s="4"/>
      <c r="H738" s="4"/>
      <c r="I738" s="4"/>
      <c r="J738" s="4"/>
      <c r="K738" s="4"/>
      <c r="L738" s="53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76"/>
      <c r="F739" s="53"/>
      <c r="G739" s="4"/>
      <c r="H739" s="4"/>
      <c r="I739" s="4"/>
      <c r="J739" s="4"/>
      <c r="K739" s="4"/>
      <c r="L739" s="53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76"/>
      <c r="F740" s="53"/>
      <c r="G740" s="4"/>
      <c r="H740" s="4"/>
      <c r="I740" s="4"/>
      <c r="J740" s="4"/>
      <c r="K740" s="4"/>
      <c r="L740" s="53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76"/>
      <c r="F741" s="53"/>
      <c r="G741" s="4"/>
      <c r="H741" s="4"/>
      <c r="I741" s="4"/>
      <c r="J741" s="4"/>
      <c r="K741" s="4"/>
      <c r="L741" s="53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76"/>
      <c r="F742" s="53"/>
      <c r="G742" s="4"/>
      <c r="H742" s="4"/>
      <c r="I742" s="4"/>
      <c r="J742" s="4"/>
      <c r="K742" s="4"/>
      <c r="L742" s="53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76"/>
      <c r="F743" s="53"/>
      <c r="G743" s="4"/>
      <c r="H743" s="4"/>
      <c r="I743" s="4"/>
      <c r="J743" s="4"/>
      <c r="K743" s="4"/>
      <c r="L743" s="53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76"/>
      <c r="F744" s="53"/>
      <c r="G744" s="4"/>
      <c r="H744" s="4"/>
      <c r="I744" s="4"/>
      <c r="J744" s="4"/>
      <c r="K744" s="4"/>
      <c r="L744" s="53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76"/>
      <c r="F745" s="53"/>
      <c r="G745" s="4"/>
      <c r="H745" s="4"/>
      <c r="I745" s="4"/>
      <c r="J745" s="4"/>
      <c r="K745" s="4"/>
      <c r="L745" s="53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76"/>
      <c r="F746" s="53"/>
      <c r="G746" s="4"/>
      <c r="H746" s="4"/>
      <c r="I746" s="4"/>
      <c r="J746" s="4"/>
      <c r="K746" s="4"/>
      <c r="L746" s="53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76"/>
      <c r="F747" s="53"/>
      <c r="G747" s="4"/>
      <c r="H747" s="4"/>
      <c r="I747" s="4"/>
      <c r="J747" s="4"/>
      <c r="K747" s="4"/>
      <c r="L747" s="53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76"/>
      <c r="F748" s="53"/>
      <c r="G748" s="4"/>
      <c r="H748" s="4"/>
      <c r="I748" s="4"/>
      <c r="J748" s="4"/>
      <c r="K748" s="4"/>
      <c r="L748" s="53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76"/>
      <c r="F749" s="53"/>
      <c r="G749" s="4"/>
      <c r="H749" s="4"/>
      <c r="I749" s="4"/>
      <c r="J749" s="4"/>
      <c r="K749" s="4"/>
      <c r="L749" s="53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76"/>
      <c r="F750" s="53"/>
      <c r="G750" s="4"/>
      <c r="H750" s="4"/>
      <c r="I750" s="4"/>
      <c r="J750" s="4"/>
      <c r="K750" s="4"/>
      <c r="L750" s="53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76"/>
      <c r="F751" s="53"/>
      <c r="G751" s="4"/>
      <c r="H751" s="4"/>
      <c r="I751" s="4"/>
      <c r="J751" s="4"/>
      <c r="K751" s="4"/>
      <c r="L751" s="53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76"/>
      <c r="F752" s="53"/>
      <c r="G752" s="4"/>
      <c r="H752" s="4"/>
      <c r="I752" s="4"/>
      <c r="J752" s="4"/>
      <c r="K752" s="4"/>
      <c r="L752" s="53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76"/>
      <c r="F753" s="53"/>
      <c r="G753" s="4"/>
      <c r="H753" s="4"/>
      <c r="I753" s="4"/>
      <c r="J753" s="4"/>
      <c r="K753" s="4"/>
      <c r="L753" s="53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76"/>
      <c r="F754" s="53"/>
      <c r="G754" s="4"/>
      <c r="H754" s="4"/>
      <c r="I754" s="4"/>
      <c r="J754" s="4"/>
      <c r="K754" s="4"/>
      <c r="L754" s="53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76"/>
      <c r="F755" s="53"/>
      <c r="G755" s="4"/>
      <c r="H755" s="4"/>
      <c r="I755" s="4"/>
      <c r="J755" s="4"/>
      <c r="K755" s="4"/>
      <c r="L755" s="53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76"/>
      <c r="F756" s="53"/>
      <c r="G756" s="4"/>
      <c r="H756" s="4"/>
      <c r="I756" s="4"/>
      <c r="J756" s="4"/>
      <c r="K756" s="4"/>
      <c r="L756" s="53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76"/>
      <c r="F757" s="53"/>
      <c r="G757" s="4"/>
      <c r="H757" s="4"/>
      <c r="I757" s="4"/>
      <c r="J757" s="4"/>
      <c r="K757" s="4"/>
      <c r="L757" s="53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76"/>
      <c r="F758" s="53"/>
      <c r="G758" s="4"/>
      <c r="H758" s="4"/>
      <c r="I758" s="4"/>
      <c r="J758" s="4"/>
      <c r="K758" s="4"/>
      <c r="L758" s="53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76"/>
      <c r="F759" s="53"/>
      <c r="G759" s="4"/>
      <c r="H759" s="4"/>
      <c r="I759" s="4"/>
      <c r="J759" s="4"/>
      <c r="K759" s="4"/>
      <c r="L759" s="53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76"/>
      <c r="F760" s="53"/>
      <c r="G760" s="4"/>
      <c r="H760" s="4"/>
      <c r="I760" s="4"/>
      <c r="J760" s="4"/>
      <c r="K760" s="4"/>
      <c r="L760" s="53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76"/>
      <c r="F761" s="53"/>
      <c r="G761" s="4"/>
      <c r="H761" s="4"/>
      <c r="I761" s="4"/>
      <c r="J761" s="4"/>
      <c r="K761" s="4"/>
      <c r="L761" s="53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76"/>
      <c r="F762" s="53"/>
      <c r="G762" s="4"/>
      <c r="H762" s="4"/>
      <c r="I762" s="4"/>
      <c r="J762" s="4"/>
      <c r="K762" s="4"/>
      <c r="L762" s="53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76"/>
      <c r="F763" s="53"/>
      <c r="G763" s="4"/>
      <c r="H763" s="4"/>
      <c r="I763" s="4"/>
      <c r="J763" s="4"/>
      <c r="K763" s="4"/>
      <c r="L763" s="53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76"/>
      <c r="F764" s="53"/>
      <c r="G764" s="4"/>
      <c r="H764" s="4"/>
      <c r="I764" s="4"/>
      <c r="J764" s="4"/>
      <c r="K764" s="4"/>
      <c r="L764" s="53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76"/>
      <c r="F765" s="53"/>
      <c r="G765" s="4"/>
      <c r="H765" s="4"/>
      <c r="I765" s="4"/>
      <c r="J765" s="4"/>
      <c r="K765" s="4"/>
      <c r="L765" s="53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76"/>
      <c r="F766" s="53"/>
      <c r="G766" s="4"/>
      <c r="H766" s="4"/>
      <c r="I766" s="4"/>
      <c r="J766" s="4"/>
      <c r="K766" s="4"/>
      <c r="L766" s="53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76"/>
      <c r="F767" s="53"/>
      <c r="G767" s="4"/>
      <c r="H767" s="4"/>
      <c r="I767" s="4"/>
      <c r="J767" s="4"/>
      <c r="K767" s="4"/>
      <c r="L767" s="53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76"/>
      <c r="F768" s="53"/>
      <c r="G768" s="4"/>
      <c r="H768" s="4"/>
      <c r="I768" s="4"/>
      <c r="J768" s="4"/>
      <c r="K768" s="4"/>
      <c r="L768" s="53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76"/>
      <c r="F769" s="53"/>
      <c r="G769" s="4"/>
      <c r="H769" s="4"/>
      <c r="I769" s="4"/>
      <c r="J769" s="4"/>
      <c r="K769" s="4"/>
      <c r="L769" s="53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76"/>
      <c r="F770" s="53"/>
      <c r="G770" s="4"/>
      <c r="H770" s="4"/>
      <c r="I770" s="4"/>
      <c r="J770" s="4"/>
      <c r="K770" s="4"/>
      <c r="L770" s="53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76"/>
      <c r="F771" s="53"/>
      <c r="G771" s="4"/>
      <c r="H771" s="4"/>
      <c r="I771" s="4"/>
      <c r="J771" s="4"/>
      <c r="K771" s="4"/>
      <c r="L771" s="53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76"/>
      <c r="F772" s="53"/>
      <c r="G772" s="4"/>
      <c r="H772" s="4"/>
      <c r="I772" s="4"/>
      <c r="J772" s="4"/>
      <c r="K772" s="4"/>
      <c r="L772" s="53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76"/>
      <c r="F773" s="53"/>
      <c r="G773" s="4"/>
      <c r="H773" s="4"/>
      <c r="I773" s="4"/>
      <c r="J773" s="4"/>
      <c r="K773" s="4"/>
      <c r="L773" s="53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76"/>
      <c r="F774" s="53"/>
      <c r="G774" s="4"/>
      <c r="H774" s="4"/>
      <c r="I774" s="4"/>
      <c r="J774" s="4"/>
      <c r="K774" s="4"/>
      <c r="L774" s="53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76"/>
      <c r="F775" s="53"/>
      <c r="G775" s="4"/>
      <c r="H775" s="4"/>
      <c r="I775" s="4"/>
      <c r="J775" s="4"/>
      <c r="K775" s="4"/>
      <c r="L775" s="53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76"/>
      <c r="F776" s="53"/>
      <c r="G776" s="4"/>
      <c r="H776" s="4"/>
      <c r="I776" s="4"/>
      <c r="J776" s="4"/>
      <c r="K776" s="4"/>
      <c r="L776" s="53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76"/>
      <c r="F777" s="53"/>
      <c r="G777" s="4"/>
      <c r="H777" s="4"/>
      <c r="I777" s="4"/>
      <c r="J777" s="4"/>
      <c r="K777" s="4"/>
      <c r="L777" s="53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76"/>
      <c r="F778" s="53"/>
      <c r="G778" s="4"/>
      <c r="H778" s="4"/>
      <c r="I778" s="4"/>
      <c r="J778" s="4"/>
      <c r="K778" s="4"/>
      <c r="L778" s="53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76"/>
      <c r="F779" s="53"/>
      <c r="G779" s="4"/>
      <c r="H779" s="4"/>
      <c r="I779" s="4"/>
      <c r="J779" s="4"/>
      <c r="K779" s="4"/>
      <c r="L779" s="53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76"/>
      <c r="F780" s="53"/>
      <c r="G780" s="4"/>
      <c r="H780" s="4"/>
      <c r="I780" s="4"/>
      <c r="J780" s="4"/>
      <c r="K780" s="4"/>
      <c r="L780" s="53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76"/>
      <c r="F781" s="53"/>
      <c r="G781" s="4"/>
      <c r="H781" s="4"/>
      <c r="I781" s="4"/>
      <c r="J781" s="4"/>
      <c r="K781" s="4"/>
      <c r="L781" s="53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76"/>
      <c r="F782" s="53"/>
      <c r="G782" s="4"/>
      <c r="H782" s="4"/>
      <c r="I782" s="4"/>
      <c r="J782" s="4"/>
      <c r="K782" s="4"/>
      <c r="L782" s="53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76"/>
      <c r="F783" s="53"/>
      <c r="G783" s="4"/>
      <c r="H783" s="4"/>
      <c r="I783" s="4"/>
      <c r="J783" s="4"/>
      <c r="K783" s="4"/>
      <c r="L783" s="53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76"/>
      <c r="F784" s="53"/>
      <c r="G784" s="4"/>
      <c r="H784" s="4"/>
      <c r="I784" s="4"/>
      <c r="J784" s="4"/>
      <c r="K784" s="4"/>
      <c r="L784" s="53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76"/>
      <c r="F785" s="53"/>
      <c r="G785" s="4"/>
      <c r="H785" s="4"/>
      <c r="I785" s="4"/>
      <c r="J785" s="4"/>
      <c r="K785" s="4"/>
      <c r="L785" s="53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76"/>
      <c r="F786" s="53"/>
      <c r="G786" s="4"/>
      <c r="H786" s="4"/>
      <c r="I786" s="4"/>
      <c r="J786" s="4"/>
      <c r="K786" s="4"/>
      <c r="L786" s="53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76"/>
      <c r="F787" s="53"/>
      <c r="G787" s="4"/>
      <c r="H787" s="4"/>
      <c r="I787" s="4"/>
      <c r="J787" s="4"/>
      <c r="K787" s="4"/>
      <c r="L787" s="53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76"/>
      <c r="F788" s="53"/>
      <c r="G788" s="4"/>
      <c r="H788" s="4"/>
      <c r="I788" s="4"/>
      <c r="J788" s="4"/>
      <c r="K788" s="4"/>
      <c r="L788" s="53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76"/>
      <c r="F789" s="53"/>
      <c r="G789" s="4"/>
      <c r="H789" s="4"/>
      <c r="I789" s="4"/>
      <c r="J789" s="4"/>
      <c r="K789" s="4"/>
      <c r="L789" s="53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76"/>
      <c r="F790" s="53"/>
      <c r="G790" s="4"/>
      <c r="H790" s="4"/>
      <c r="I790" s="4"/>
      <c r="J790" s="4"/>
      <c r="K790" s="4"/>
      <c r="L790" s="53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76"/>
      <c r="F791" s="53"/>
      <c r="G791" s="4"/>
      <c r="H791" s="4"/>
      <c r="I791" s="4"/>
      <c r="J791" s="4"/>
      <c r="K791" s="4"/>
      <c r="L791" s="53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76"/>
      <c r="F792" s="53"/>
      <c r="G792" s="4"/>
      <c r="H792" s="4"/>
      <c r="I792" s="4"/>
      <c r="J792" s="4"/>
      <c r="K792" s="4"/>
      <c r="L792" s="53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76"/>
      <c r="F793" s="53"/>
      <c r="G793" s="4"/>
      <c r="H793" s="4"/>
      <c r="I793" s="4"/>
      <c r="J793" s="4"/>
      <c r="K793" s="4"/>
      <c r="L793" s="53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76"/>
      <c r="F794" s="53"/>
      <c r="G794" s="4"/>
      <c r="H794" s="4"/>
      <c r="I794" s="4"/>
      <c r="J794" s="4"/>
      <c r="K794" s="4"/>
      <c r="L794" s="53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76"/>
      <c r="F795" s="53"/>
      <c r="G795" s="4"/>
      <c r="H795" s="4"/>
      <c r="I795" s="4"/>
      <c r="J795" s="4"/>
      <c r="K795" s="4"/>
      <c r="L795" s="53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76"/>
      <c r="F796" s="53"/>
      <c r="G796" s="4"/>
      <c r="H796" s="4"/>
      <c r="I796" s="4"/>
      <c r="J796" s="4"/>
      <c r="K796" s="4"/>
      <c r="L796" s="53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76"/>
      <c r="F797" s="53"/>
      <c r="G797" s="4"/>
      <c r="H797" s="4"/>
      <c r="I797" s="4"/>
      <c r="J797" s="4"/>
      <c r="K797" s="4"/>
      <c r="L797" s="53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76"/>
      <c r="F798" s="53"/>
      <c r="G798" s="4"/>
      <c r="H798" s="4"/>
      <c r="I798" s="4"/>
      <c r="J798" s="4"/>
      <c r="K798" s="4"/>
      <c r="L798" s="53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76"/>
      <c r="F799" s="53"/>
      <c r="G799" s="4"/>
      <c r="H799" s="4"/>
      <c r="I799" s="4"/>
      <c r="J799" s="4"/>
      <c r="K799" s="4"/>
      <c r="L799" s="53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76"/>
      <c r="F800" s="53"/>
      <c r="G800" s="4"/>
      <c r="H800" s="4"/>
      <c r="I800" s="4"/>
      <c r="J800" s="4"/>
      <c r="K800" s="4"/>
      <c r="L800" s="53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76"/>
      <c r="F801" s="53"/>
      <c r="G801" s="4"/>
      <c r="H801" s="4"/>
      <c r="I801" s="4"/>
      <c r="J801" s="4"/>
      <c r="K801" s="4"/>
      <c r="L801" s="53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76"/>
      <c r="F802" s="53"/>
      <c r="G802" s="4"/>
      <c r="H802" s="4"/>
      <c r="I802" s="4"/>
      <c r="J802" s="4"/>
      <c r="K802" s="4"/>
      <c r="L802" s="53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76"/>
      <c r="F803" s="53"/>
      <c r="G803" s="4"/>
      <c r="H803" s="4"/>
      <c r="I803" s="4"/>
      <c r="J803" s="4"/>
      <c r="K803" s="4"/>
      <c r="L803" s="53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76"/>
      <c r="F804" s="53"/>
      <c r="G804" s="4"/>
      <c r="H804" s="4"/>
      <c r="I804" s="4"/>
      <c r="J804" s="4"/>
      <c r="K804" s="4"/>
      <c r="L804" s="53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76"/>
      <c r="F805" s="53"/>
      <c r="G805" s="4"/>
      <c r="H805" s="4"/>
      <c r="I805" s="4"/>
      <c r="J805" s="4"/>
      <c r="K805" s="4"/>
      <c r="L805" s="53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76"/>
      <c r="F806" s="53"/>
      <c r="G806" s="4"/>
      <c r="H806" s="4"/>
      <c r="I806" s="4"/>
      <c r="J806" s="4"/>
      <c r="K806" s="4"/>
      <c r="L806" s="53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76"/>
      <c r="F807" s="53"/>
      <c r="G807" s="4"/>
      <c r="H807" s="4"/>
      <c r="I807" s="4"/>
      <c r="J807" s="4"/>
      <c r="K807" s="4"/>
      <c r="L807" s="53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76"/>
      <c r="F808" s="53"/>
      <c r="G808" s="4"/>
      <c r="H808" s="4"/>
      <c r="I808" s="4"/>
      <c r="J808" s="4"/>
      <c r="K808" s="4"/>
      <c r="L808" s="53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76"/>
      <c r="F809" s="53"/>
      <c r="G809" s="4"/>
      <c r="H809" s="4"/>
      <c r="I809" s="4"/>
      <c r="J809" s="4"/>
      <c r="K809" s="4"/>
      <c r="L809" s="53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76"/>
      <c r="F810" s="53"/>
      <c r="G810" s="4"/>
      <c r="H810" s="4"/>
      <c r="I810" s="4"/>
      <c r="J810" s="4"/>
      <c r="K810" s="4"/>
      <c r="L810" s="53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76"/>
      <c r="F811" s="53"/>
      <c r="G811" s="4"/>
      <c r="H811" s="4"/>
      <c r="I811" s="4"/>
      <c r="J811" s="4"/>
      <c r="K811" s="4"/>
      <c r="L811" s="53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76"/>
      <c r="F812" s="53"/>
      <c r="G812" s="4"/>
      <c r="H812" s="4"/>
      <c r="I812" s="4"/>
      <c r="J812" s="4"/>
      <c r="K812" s="4"/>
      <c r="L812" s="53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76"/>
      <c r="F813" s="53"/>
      <c r="G813" s="4"/>
      <c r="H813" s="4"/>
      <c r="I813" s="4"/>
      <c r="J813" s="4"/>
      <c r="K813" s="4"/>
      <c r="L813" s="53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76"/>
      <c r="F814" s="53"/>
      <c r="G814" s="4"/>
      <c r="H814" s="4"/>
      <c r="I814" s="4"/>
      <c r="J814" s="4"/>
      <c r="K814" s="4"/>
      <c r="L814" s="53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76"/>
      <c r="F815" s="53"/>
      <c r="G815" s="4"/>
      <c r="H815" s="4"/>
      <c r="I815" s="4"/>
      <c r="J815" s="4"/>
      <c r="K815" s="4"/>
      <c r="L815" s="53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76"/>
      <c r="F816" s="53"/>
      <c r="G816" s="4"/>
      <c r="H816" s="4"/>
      <c r="I816" s="4"/>
      <c r="J816" s="4"/>
      <c r="K816" s="4"/>
      <c r="L816" s="53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76"/>
      <c r="F817" s="53"/>
      <c r="G817" s="4"/>
      <c r="H817" s="4"/>
      <c r="I817" s="4"/>
      <c r="J817" s="4"/>
      <c r="K817" s="4"/>
      <c r="L817" s="53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76"/>
      <c r="F818" s="53"/>
      <c r="G818" s="4"/>
      <c r="H818" s="4"/>
      <c r="I818" s="4"/>
      <c r="J818" s="4"/>
      <c r="K818" s="4"/>
      <c r="L818" s="53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76"/>
      <c r="F819" s="53"/>
      <c r="G819" s="4"/>
      <c r="H819" s="4"/>
      <c r="I819" s="4"/>
      <c r="J819" s="4"/>
      <c r="K819" s="4"/>
      <c r="L819" s="53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76"/>
      <c r="F820" s="53"/>
      <c r="G820" s="4"/>
      <c r="H820" s="4"/>
      <c r="I820" s="4"/>
      <c r="J820" s="4"/>
      <c r="K820" s="4"/>
      <c r="L820" s="53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76"/>
      <c r="F821" s="53"/>
      <c r="G821" s="4"/>
      <c r="H821" s="4"/>
      <c r="I821" s="4"/>
      <c r="J821" s="4"/>
      <c r="K821" s="4"/>
      <c r="L821" s="53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76"/>
      <c r="F822" s="53"/>
      <c r="G822" s="4"/>
      <c r="H822" s="4"/>
      <c r="I822" s="4"/>
      <c r="J822" s="4"/>
      <c r="K822" s="4"/>
      <c r="L822" s="53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76"/>
      <c r="F823" s="53"/>
      <c r="G823" s="4"/>
      <c r="H823" s="4"/>
      <c r="I823" s="4"/>
      <c r="J823" s="4"/>
      <c r="K823" s="4"/>
      <c r="L823" s="53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76"/>
      <c r="F824" s="53"/>
      <c r="G824" s="4"/>
      <c r="H824" s="4"/>
      <c r="I824" s="4"/>
      <c r="J824" s="4"/>
      <c r="K824" s="4"/>
      <c r="L824" s="53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76"/>
      <c r="F825" s="53"/>
      <c r="G825" s="4"/>
      <c r="H825" s="4"/>
      <c r="I825" s="4"/>
      <c r="J825" s="4"/>
      <c r="K825" s="4"/>
      <c r="L825" s="53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76"/>
      <c r="F826" s="53"/>
      <c r="G826" s="4"/>
      <c r="H826" s="4"/>
      <c r="I826" s="4"/>
      <c r="J826" s="4"/>
      <c r="K826" s="4"/>
      <c r="L826" s="53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76"/>
      <c r="F827" s="53"/>
      <c r="G827" s="4"/>
      <c r="H827" s="4"/>
      <c r="I827" s="4"/>
      <c r="J827" s="4"/>
      <c r="K827" s="4"/>
      <c r="L827" s="53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76"/>
      <c r="F828" s="53"/>
      <c r="G828" s="4"/>
      <c r="H828" s="4"/>
      <c r="I828" s="4"/>
      <c r="J828" s="4"/>
      <c r="K828" s="4"/>
      <c r="L828" s="53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76"/>
      <c r="F829" s="53"/>
      <c r="G829" s="4"/>
      <c r="H829" s="4"/>
      <c r="I829" s="4"/>
      <c r="J829" s="4"/>
      <c r="K829" s="4"/>
      <c r="L829" s="53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76"/>
      <c r="F830" s="53"/>
      <c r="G830" s="4"/>
      <c r="H830" s="4"/>
      <c r="I830" s="4"/>
      <c r="J830" s="4"/>
      <c r="K830" s="4"/>
      <c r="L830" s="53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76"/>
      <c r="F831" s="53"/>
      <c r="G831" s="4"/>
      <c r="H831" s="4"/>
      <c r="I831" s="4"/>
      <c r="J831" s="4"/>
      <c r="K831" s="4"/>
      <c r="L831" s="53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76"/>
      <c r="F832" s="53"/>
      <c r="G832" s="4"/>
      <c r="H832" s="4"/>
      <c r="I832" s="4"/>
      <c r="J832" s="4"/>
      <c r="K832" s="4"/>
      <c r="L832" s="53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76"/>
      <c r="F833" s="53"/>
      <c r="G833" s="4"/>
      <c r="H833" s="4"/>
      <c r="I833" s="4"/>
      <c r="J833" s="4"/>
      <c r="K833" s="4"/>
      <c r="L833" s="53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76"/>
      <c r="F834" s="53"/>
      <c r="G834" s="4"/>
      <c r="H834" s="4"/>
      <c r="I834" s="4"/>
      <c r="J834" s="4"/>
      <c r="K834" s="4"/>
      <c r="L834" s="53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76"/>
      <c r="F835" s="53"/>
      <c r="G835" s="4"/>
      <c r="H835" s="4"/>
      <c r="I835" s="4"/>
      <c r="J835" s="4"/>
      <c r="K835" s="4"/>
      <c r="L835" s="53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76"/>
      <c r="F836" s="53"/>
      <c r="G836" s="4"/>
      <c r="H836" s="4"/>
      <c r="I836" s="4"/>
      <c r="J836" s="4"/>
      <c r="K836" s="4"/>
      <c r="L836" s="53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76"/>
      <c r="F837" s="53"/>
      <c r="G837" s="4"/>
      <c r="H837" s="4"/>
      <c r="I837" s="4"/>
      <c r="J837" s="4"/>
      <c r="K837" s="4"/>
      <c r="L837" s="53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76"/>
      <c r="F838" s="53"/>
      <c r="G838" s="4"/>
      <c r="H838" s="4"/>
      <c r="I838" s="4"/>
      <c r="J838" s="4"/>
      <c r="K838" s="4"/>
      <c r="L838" s="53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76"/>
      <c r="F839" s="53"/>
      <c r="G839" s="4"/>
      <c r="H839" s="4"/>
      <c r="I839" s="4"/>
      <c r="J839" s="4"/>
      <c r="K839" s="4"/>
      <c r="L839" s="53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76"/>
      <c r="F840" s="53"/>
      <c r="G840" s="4"/>
      <c r="H840" s="4"/>
      <c r="I840" s="4"/>
      <c r="J840" s="4"/>
      <c r="K840" s="4"/>
      <c r="L840" s="53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76"/>
      <c r="F841" s="53"/>
      <c r="G841" s="4"/>
      <c r="H841" s="4"/>
      <c r="I841" s="4"/>
      <c r="J841" s="4"/>
      <c r="K841" s="4"/>
      <c r="L841" s="53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76"/>
      <c r="F842" s="53"/>
      <c r="G842" s="4"/>
      <c r="H842" s="4"/>
      <c r="I842" s="4"/>
      <c r="J842" s="4"/>
      <c r="K842" s="4"/>
      <c r="L842" s="53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76"/>
      <c r="F843" s="53"/>
      <c r="G843" s="4"/>
      <c r="H843" s="4"/>
      <c r="I843" s="4"/>
      <c r="J843" s="4"/>
      <c r="K843" s="4"/>
      <c r="L843" s="53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76"/>
      <c r="F844" s="53"/>
      <c r="G844" s="4"/>
      <c r="H844" s="4"/>
      <c r="I844" s="4"/>
      <c r="J844" s="4"/>
      <c r="K844" s="4"/>
      <c r="L844" s="53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76"/>
      <c r="F845" s="53"/>
      <c r="G845" s="4"/>
      <c r="H845" s="4"/>
      <c r="I845" s="4"/>
      <c r="J845" s="4"/>
      <c r="K845" s="4"/>
      <c r="L845" s="53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76"/>
      <c r="F846" s="53"/>
      <c r="G846" s="4"/>
      <c r="H846" s="4"/>
      <c r="I846" s="4"/>
      <c r="J846" s="4"/>
      <c r="K846" s="4"/>
      <c r="L846" s="53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76"/>
      <c r="F847" s="53"/>
      <c r="G847" s="4"/>
      <c r="H847" s="4"/>
      <c r="I847" s="4"/>
      <c r="J847" s="4"/>
      <c r="K847" s="4"/>
      <c r="L847" s="53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76"/>
      <c r="F848" s="53"/>
      <c r="G848" s="4"/>
      <c r="H848" s="4"/>
      <c r="I848" s="4"/>
      <c r="J848" s="4"/>
      <c r="K848" s="4"/>
      <c r="L848" s="53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76"/>
      <c r="F849" s="53"/>
      <c r="G849" s="4"/>
      <c r="H849" s="4"/>
      <c r="I849" s="4"/>
      <c r="J849" s="4"/>
      <c r="K849" s="4"/>
      <c r="L849" s="53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76"/>
      <c r="F850" s="53"/>
      <c r="G850" s="4"/>
      <c r="H850" s="4"/>
      <c r="I850" s="4"/>
      <c r="J850" s="4"/>
      <c r="K850" s="4"/>
      <c r="L850" s="53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76"/>
      <c r="F851" s="53"/>
      <c r="G851" s="4"/>
      <c r="H851" s="4"/>
      <c r="I851" s="4"/>
      <c r="J851" s="4"/>
      <c r="K851" s="4"/>
      <c r="L851" s="53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76"/>
      <c r="F852" s="53"/>
      <c r="G852" s="4"/>
      <c r="H852" s="4"/>
      <c r="I852" s="4"/>
      <c r="J852" s="4"/>
      <c r="K852" s="4"/>
      <c r="L852" s="53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76"/>
      <c r="F853" s="53"/>
      <c r="G853" s="4"/>
      <c r="H853" s="4"/>
      <c r="I853" s="4"/>
      <c r="J853" s="4"/>
      <c r="K853" s="4"/>
      <c r="L853" s="53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76"/>
      <c r="F854" s="53"/>
      <c r="G854" s="4"/>
      <c r="H854" s="4"/>
      <c r="I854" s="4"/>
      <c r="J854" s="4"/>
      <c r="K854" s="4"/>
      <c r="L854" s="53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76"/>
      <c r="F855" s="53"/>
      <c r="G855" s="4"/>
      <c r="H855" s="4"/>
      <c r="I855" s="4"/>
      <c r="J855" s="4"/>
      <c r="K855" s="4"/>
      <c r="L855" s="53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76"/>
      <c r="F856" s="53"/>
      <c r="G856" s="4"/>
      <c r="H856" s="4"/>
      <c r="I856" s="4"/>
      <c r="J856" s="4"/>
      <c r="K856" s="4"/>
      <c r="L856" s="53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76"/>
      <c r="F857" s="53"/>
      <c r="G857" s="4"/>
      <c r="H857" s="4"/>
      <c r="I857" s="4"/>
      <c r="J857" s="4"/>
      <c r="K857" s="4"/>
      <c r="L857" s="53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76"/>
      <c r="F858" s="53"/>
      <c r="G858" s="4"/>
      <c r="H858" s="4"/>
      <c r="I858" s="4"/>
      <c r="J858" s="4"/>
      <c r="K858" s="4"/>
      <c r="L858" s="53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76"/>
      <c r="F859" s="53"/>
      <c r="G859" s="4"/>
      <c r="H859" s="4"/>
      <c r="I859" s="4"/>
      <c r="J859" s="4"/>
      <c r="K859" s="4"/>
      <c r="L859" s="53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76"/>
      <c r="F860" s="53"/>
      <c r="G860" s="4"/>
      <c r="H860" s="4"/>
      <c r="I860" s="4"/>
      <c r="J860" s="4"/>
      <c r="K860" s="4"/>
      <c r="L860" s="53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76"/>
      <c r="F861" s="53"/>
      <c r="G861" s="4"/>
      <c r="H861" s="4"/>
      <c r="I861" s="4"/>
      <c r="J861" s="4"/>
      <c r="K861" s="4"/>
      <c r="L861" s="53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76"/>
      <c r="F862" s="53"/>
      <c r="G862" s="4"/>
      <c r="H862" s="4"/>
      <c r="I862" s="4"/>
      <c r="J862" s="4"/>
      <c r="K862" s="4"/>
      <c r="L862" s="53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76"/>
      <c r="F863" s="53"/>
      <c r="G863" s="4"/>
      <c r="H863" s="4"/>
      <c r="I863" s="4"/>
      <c r="J863" s="4"/>
      <c r="K863" s="4"/>
      <c r="L863" s="53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76"/>
      <c r="F864" s="53"/>
      <c r="G864" s="4"/>
      <c r="H864" s="4"/>
      <c r="I864" s="4"/>
      <c r="J864" s="4"/>
      <c r="K864" s="4"/>
      <c r="L864" s="53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76"/>
      <c r="F865" s="53"/>
      <c r="G865" s="4"/>
      <c r="H865" s="4"/>
      <c r="I865" s="4"/>
      <c r="J865" s="4"/>
      <c r="K865" s="4"/>
      <c r="L865" s="53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76"/>
      <c r="F866" s="53"/>
      <c r="G866" s="4"/>
      <c r="H866" s="4"/>
      <c r="I866" s="4"/>
      <c r="J866" s="4"/>
      <c r="K866" s="4"/>
      <c r="L866" s="53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76"/>
      <c r="F867" s="53"/>
      <c r="G867" s="4"/>
      <c r="H867" s="4"/>
      <c r="I867" s="4"/>
      <c r="J867" s="4"/>
      <c r="K867" s="4"/>
      <c r="L867" s="53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76"/>
      <c r="F868" s="53"/>
      <c r="G868" s="4"/>
      <c r="H868" s="4"/>
      <c r="I868" s="4"/>
      <c r="J868" s="4"/>
      <c r="K868" s="4"/>
      <c r="L868" s="53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76"/>
      <c r="F869" s="53"/>
      <c r="G869" s="4"/>
      <c r="H869" s="4"/>
      <c r="I869" s="4"/>
      <c r="J869" s="4"/>
      <c r="K869" s="4"/>
      <c r="L869" s="53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76"/>
      <c r="F870" s="53"/>
      <c r="G870" s="4"/>
      <c r="H870" s="4"/>
      <c r="I870" s="4"/>
      <c r="J870" s="4"/>
      <c r="K870" s="4"/>
      <c r="L870" s="53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76"/>
      <c r="F871" s="53"/>
      <c r="G871" s="4"/>
      <c r="H871" s="4"/>
      <c r="I871" s="4"/>
      <c r="J871" s="4"/>
      <c r="K871" s="4"/>
      <c r="L871" s="53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76"/>
      <c r="F872" s="53"/>
      <c r="G872" s="4"/>
      <c r="H872" s="4"/>
      <c r="I872" s="4"/>
      <c r="J872" s="4"/>
      <c r="K872" s="4"/>
      <c r="L872" s="53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76"/>
      <c r="F873" s="53"/>
      <c r="G873" s="4"/>
      <c r="H873" s="4"/>
      <c r="I873" s="4"/>
      <c r="J873" s="4"/>
      <c r="K873" s="4"/>
      <c r="L873" s="53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76"/>
      <c r="F874" s="53"/>
      <c r="G874" s="4"/>
      <c r="H874" s="4"/>
      <c r="I874" s="4"/>
      <c r="J874" s="4"/>
      <c r="K874" s="4"/>
      <c r="L874" s="53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76"/>
      <c r="F875" s="53"/>
      <c r="G875" s="4"/>
      <c r="H875" s="4"/>
      <c r="I875" s="4"/>
      <c r="J875" s="4"/>
      <c r="K875" s="4"/>
      <c r="L875" s="53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76"/>
      <c r="F876" s="53"/>
      <c r="G876" s="4"/>
      <c r="H876" s="4"/>
      <c r="I876" s="4"/>
      <c r="J876" s="4"/>
      <c r="K876" s="4"/>
      <c r="L876" s="53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76"/>
      <c r="F877" s="53"/>
      <c r="G877" s="4"/>
      <c r="H877" s="4"/>
      <c r="I877" s="4"/>
      <c r="J877" s="4"/>
      <c r="K877" s="4"/>
      <c r="L877" s="53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76"/>
      <c r="F878" s="53"/>
      <c r="G878" s="4"/>
      <c r="H878" s="4"/>
      <c r="I878" s="4"/>
      <c r="J878" s="4"/>
      <c r="K878" s="4"/>
      <c r="L878" s="53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76"/>
      <c r="F879" s="53"/>
      <c r="G879" s="4"/>
      <c r="H879" s="4"/>
      <c r="I879" s="4"/>
      <c r="J879" s="4"/>
      <c r="K879" s="4"/>
      <c r="L879" s="53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76"/>
      <c r="F880" s="53"/>
      <c r="G880" s="4"/>
      <c r="H880" s="4"/>
      <c r="I880" s="4"/>
      <c r="J880" s="4"/>
      <c r="K880" s="4"/>
      <c r="L880" s="53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76"/>
      <c r="F881" s="53"/>
      <c r="G881" s="4"/>
      <c r="H881" s="4"/>
      <c r="I881" s="4"/>
      <c r="J881" s="4"/>
      <c r="K881" s="4"/>
      <c r="L881" s="53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76"/>
      <c r="F882" s="53"/>
      <c r="G882" s="4"/>
      <c r="H882" s="4"/>
      <c r="I882" s="4"/>
      <c r="J882" s="4"/>
      <c r="K882" s="4"/>
      <c r="L882" s="53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76"/>
      <c r="F883" s="53"/>
      <c r="G883" s="4"/>
      <c r="H883" s="4"/>
      <c r="I883" s="4"/>
      <c r="J883" s="4"/>
      <c r="K883" s="4"/>
      <c r="L883" s="53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76"/>
      <c r="F884" s="53"/>
      <c r="G884" s="4"/>
      <c r="H884" s="4"/>
      <c r="I884" s="4"/>
      <c r="J884" s="4"/>
      <c r="K884" s="4"/>
      <c r="L884" s="53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76"/>
      <c r="F885" s="53"/>
      <c r="G885" s="4"/>
      <c r="H885" s="4"/>
      <c r="I885" s="4"/>
      <c r="J885" s="4"/>
      <c r="K885" s="4"/>
      <c r="L885" s="53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76"/>
      <c r="F886" s="53"/>
      <c r="G886" s="4"/>
      <c r="H886" s="4"/>
      <c r="I886" s="4"/>
      <c r="J886" s="4"/>
      <c r="K886" s="4"/>
      <c r="L886" s="53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76"/>
      <c r="F887" s="53"/>
      <c r="G887" s="4"/>
      <c r="H887" s="4"/>
      <c r="I887" s="4"/>
      <c r="J887" s="4"/>
      <c r="K887" s="4"/>
      <c r="L887" s="53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76"/>
      <c r="F888" s="53"/>
      <c r="G888" s="4"/>
      <c r="H888" s="4"/>
      <c r="I888" s="4"/>
      <c r="J888" s="4"/>
      <c r="K888" s="4"/>
      <c r="L888" s="53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76"/>
      <c r="F889" s="53"/>
      <c r="G889" s="4"/>
      <c r="H889" s="4"/>
      <c r="I889" s="4"/>
      <c r="J889" s="4"/>
      <c r="K889" s="4"/>
      <c r="L889" s="53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76"/>
      <c r="F890" s="53"/>
      <c r="G890" s="4"/>
      <c r="H890" s="4"/>
      <c r="I890" s="4"/>
      <c r="J890" s="4"/>
      <c r="K890" s="4"/>
      <c r="L890" s="53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76"/>
      <c r="F891" s="53"/>
      <c r="G891" s="4"/>
      <c r="H891" s="4"/>
      <c r="I891" s="4"/>
      <c r="J891" s="4"/>
      <c r="K891" s="4"/>
      <c r="L891" s="53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76"/>
      <c r="F892" s="53"/>
      <c r="G892" s="4"/>
      <c r="H892" s="4"/>
      <c r="I892" s="4"/>
      <c r="J892" s="4"/>
      <c r="K892" s="4"/>
      <c r="L892" s="53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76"/>
      <c r="F893" s="53"/>
      <c r="G893" s="4"/>
      <c r="H893" s="4"/>
      <c r="I893" s="4"/>
      <c r="J893" s="4"/>
      <c r="K893" s="4"/>
      <c r="L893" s="53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76"/>
      <c r="F894" s="53"/>
      <c r="G894" s="4"/>
      <c r="H894" s="4"/>
      <c r="I894" s="4"/>
      <c r="J894" s="4"/>
      <c r="K894" s="4"/>
      <c r="L894" s="53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76"/>
      <c r="F895" s="53"/>
      <c r="G895" s="4"/>
      <c r="H895" s="4"/>
      <c r="I895" s="4"/>
      <c r="J895" s="4"/>
      <c r="K895" s="4"/>
      <c r="L895" s="53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76"/>
      <c r="F896" s="53"/>
      <c r="G896" s="4"/>
      <c r="H896" s="4"/>
      <c r="I896" s="4"/>
      <c r="J896" s="4"/>
      <c r="K896" s="4"/>
      <c r="L896" s="53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76"/>
      <c r="F897" s="53"/>
      <c r="G897" s="4"/>
      <c r="H897" s="4"/>
      <c r="I897" s="4"/>
      <c r="J897" s="4"/>
      <c r="K897" s="4"/>
      <c r="L897" s="53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76"/>
      <c r="F898" s="53"/>
      <c r="G898" s="4"/>
      <c r="H898" s="4"/>
      <c r="I898" s="4"/>
      <c r="J898" s="4"/>
      <c r="K898" s="4"/>
      <c r="L898" s="53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76"/>
      <c r="F899" s="53"/>
      <c r="G899" s="4"/>
      <c r="H899" s="4"/>
      <c r="I899" s="4"/>
      <c r="J899" s="4"/>
      <c r="K899" s="4"/>
      <c r="L899" s="53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76"/>
      <c r="F900" s="53"/>
      <c r="G900" s="4"/>
      <c r="H900" s="4"/>
      <c r="I900" s="4"/>
      <c r="J900" s="4"/>
      <c r="K900" s="4"/>
      <c r="L900" s="53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76"/>
      <c r="F901" s="53"/>
      <c r="G901" s="4"/>
      <c r="H901" s="4"/>
      <c r="I901" s="4"/>
      <c r="J901" s="4"/>
      <c r="K901" s="4"/>
      <c r="L901" s="53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76"/>
      <c r="F902" s="53"/>
      <c r="G902" s="4"/>
      <c r="H902" s="4"/>
      <c r="I902" s="4"/>
      <c r="J902" s="4"/>
      <c r="K902" s="4"/>
      <c r="L902" s="53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76"/>
      <c r="F903" s="53"/>
      <c r="G903" s="4"/>
      <c r="H903" s="4"/>
      <c r="I903" s="4"/>
      <c r="J903" s="4"/>
      <c r="K903" s="4"/>
      <c r="L903" s="53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76"/>
      <c r="F904" s="53"/>
      <c r="G904" s="4"/>
      <c r="H904" s="4"/>
      <c r="I904" s="4"/>
      <c r="J904" s="4"/>
      <c r="K904" s="4"/>
      <c r="L904" s="53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76"/>
      <c r="F905" s="53"/>
      <c r="G905" s="4"/>
      <c r="H905" s="4"/>
      <c r="I905" s="4"/>
      <c r="J905" s="4"/>
      <c r="K905" s="4"/>
      <c r="L905" s="53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76"/>
      <c r="F906" s="53"/>
      <c r="G906" s="4"/>
      <c r="H906" s="4"/>
      <c r="I906" s="4"/>
      <c r="J906" s="4"/>
      <c r="K906" s="4"/>
      <c r="L906" s="53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76"/>
      <c r="F907" s="53"/>
      <c r="G907" s="4"/>
      <c r="H907" s="4"/>
      <c r="I907" s="4"/>
      <c r="J907" s="4"/>
      <c r="K907" s="4"/>
      <c r="L907" s="53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76"/>
      <c r="F908" s="53"/>
      <c r="G908" s="4"/>
      <c r="H908" s="4"/>
      <c r="I908" s="4"/>
      <c r="J908" s="4"/>
      <c r="K908" s="4"/>
      <c r="L908" s="53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76"/>
      <c r="F909" s="53"/>
      <c r="G909" s="4"/>
      <c r="H909" s="4"/>
      <c r="I909" s="4"/>
      <c r="J909" s="4"/>
      <c r="K909" s="4"/>
      <c r="L909" s="53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76"/>
      <c r="F910" s="53"/>
      <c r="G910" s="4"/>
      <c r="H910" s="4"/>
      <c r="I910" s="4"/>
      <c r="J910" s="4"/>
      <c r="K910" s="4"/>
      <c r="L910" s="53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76"/>
      <c r="F911" s="53"/>
      <c r="G911" s="4"/>
      <c r="H911" s="4"/>
      <c r="I911" s="4"/>
      <c r="J911" s="4"/>
      <c r="K911" s="4"/>
      <c r="L911" s="53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76"/>
      <c r="F912" s="53"/>
      <c r="G912" s="4"/>
      <c r="H912" s="4"/>
      <c r="I912" s="4"/>
      <c r="J912" s="4"/>
      <c r="K912" s="4"/>
      <c r="L912" s="53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76"/>
      <c r="F913" s="53"/>
      <c r="G913" s="4"/>
      <c r="H913" s="4"/>
      <c r="I913" s="4"/>
      <c r="J913" s="4"/>
      <c r="K913" s="4"/>
      <c r="L913" s="53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76"/>
      <c r="F914" s="53"/>
      <c r="G914" s="4"/>
      <c r="H914" s="4"/>
      <c r="I914" s="4"/>
      <c r="J914" s="4"/>
      <c r="K914" s="4"/>
      <c r="L914" s="53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76"/>
      <c r="F915" s="53"/>
      <c r="G915" s="4"/>
      <c r="H915" s="4"/>
      <c r="I915" s="4"/>
      <c r="J915" s="4"/>
      <c r="K915" s="4"/>
      <c r="L915" s="53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76"/>
      <c r="F916" s="53"/>
      <c r="G916" s="4"/>
      <c r="H916" s="4"/>
      <c r="I916" s="4"/>
      <c r="J916" s="4"/>
      <c r="K916" s="4"/>
      <c r="L916" s="53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76"/>
      <c r="F917" s="53"/>
      <c r="G917" s="4"/>
      <c r="H917" s="4"/>
      <c r="I917" s="4"/>
      <c r="J917" s="4"/>
      <c r="K917" s="4"/>
      <c r="L917" s="53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76"/>
      <c r="F918" s="53"/>
      <c r="G918" s="4"/>
      <c r="H918" s="4"/>
      <c r="I918" s="4"/>
      <c r="J918" s="4"/>
      <c r="K918" s="4"/>
      <c r="L918" s="53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76"/>
      <c r="F919" s="53"/>
      <c r="G919" s="4"/>
      <c r="H919" s="4"/>
      <c r="I919" s="4"/>
      <c r="J919" s="4"/>
      <c r="K919" s="4"/>
      <c r="L919" s="53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76"/>
      <c r="F920" s="53"/>
      <c r="G920" s="4"/>
      <c r="H920" s="4"/>
      <c r="I920" s="4"/>
      <c r="J920" s="4"/>
      <c r="K920" s="4"/>
      <c r="L920" s="53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76"/>
      <c r="F921" s="53"/>
      <c r="G921" s="4"/>
      <c r="H921" s="4"/>
      <c r="I921" s="4"/>
      <c r="J921" s="4"/>
      <c r="K921" s="4"/>
      <c r="L921" s="53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76"/>
      <c r="F922" s="53"/>
      <c r="G922" s="4"/>
      <c r="H922" s="4"/>
      <c r="I922" s="4"/>
      <c r="J922" s="4"/>
      <c r="K922" s="4"/>
      <c r="L922" s="53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76"/>
      <c r="F923" s="53"/>
      <c r="G923" s="4"/>
      <c r="H923" s="4"/>
      <c r="I923" s="4"/>
      <c r="J923" s="4"/>
      <c r="K923" s="4"/>
      <c r="L923" s="53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76"/>
      <c r="F924" s="53"/>
      <c r="G924" s="4"/>
      <c r="H924" s="4"/>
      <c r="I924" s="4"/>
      <c r="J924" s="4"/>
      <c r="K924" s="4"/>
      <c r="L924" s="53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76"/>
      <c r="F925" s="53"/>
      <c r="G925" s="4"/>
      <c r="H925" s="4"/>
      <c r="I925" s="4"/>
      <c r="J925" s="4"/>
      <c r="K925" s="4"/>
      <c r="L925" s="53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76"/>
      <c r="F926" s="53"/>
      <c r="G926" s="4"/>
      <c r="H926" s="4"/>
      <c r="I926" s="4"/>
      <c r="J926" s="4"/>
      <c r="K926" s="4"/>
      <c r="L926" s="53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76"/>
      <c r="F927" s="53"/>
      <c r="G927" s="4"/>
      <c r="H927" s="4"/>
      <c r="I927" s="4"/>
      <c r="J927" s="4"/>
      <c r="K927" s="4"/>
      <c r="L927" s="53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76"/>
      <c r="F928" s="53"/>
      <c r="G928" s="4"/>
      <c r="H928" s="4"/>
      <c r="I928" s="4"/>
      <c r="J928" s="4"/>
      <c r="K928" s="4"/>
      <c r="L928" s="53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76"/>
      <c r="F929" s="53"/>
      <c r="G929" s="4"/>
      <c r="H929" s="4"/>
      <c r="I929" s="4"/>
      <c r="J929" s="4"/>
      <c r="K929" s="4"/>
      <c r="L929" s="53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76"/>
      <c r="F930" s="53"/>
      <c r="G930" s="4"/>
      <c r="H930" s="4"/>
      <c r="I930" s="4"/>
      <c r="J930" s="4"/>
      <c r="K930" s="4"/>
      <c r="L930" s="53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76"/>
      <c r="F931" s="53"/>
      <c r="G931" s="4"/>
      <c r="H931" s="4"/>
      <c r="I931" s="4"/>
      <c r="J931" s="4"/>
      <c r="K931" s="4"/>
      <c r="L931" s="53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76"/>
      <c r="F932" s="53"/>
      <c r="G932" s="4"/>
      <c r="H932" s="4"/>
      <c r="I932" s="4"/>
      <c r="J932" s="4"/>
      <c r="K932" s="4"/>
      <c r="L932" s="53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76"/>
      <c r="F933" s="53"/>
      <c r="G933" s="4"/>
      <c r="H933" s="4"/>
      <c r="I933" s="4"/>
      <c r="J933" s="4"/>
      <c r="K933" s="4"/>
      <c r="L933" s="53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76"/>
      <c r="F934" s="53"/>
      <c r="G934" s="4"/>
      <c r="H934" s="4"/>
      <c r="I934" s="4"/>
      <c r="J934" s="4"/>
      <c r="K934" s="4"/>
      <c r="L934" s="53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76"/>
      <c r="F935" s="53"/>
      <c r="G935" s="4"/>
      <c r="H935" s="4"/>
      <c r="I935" s="4"/>
      <c r="J935" s="4"/>
      <c r="K935" s="4"/>
      <c r="L935" s="53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76"/>
      <c r="F936" s="53"/>
      <c r="G936" s="4"/>
      <c r="H936" s="4"/>
      <c r="I936" s="4"/>
      <c r="J936" s="4"/>
      <c r="K936" s="4"/>
      <c r="L936" s="53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76"/>
      <c r="F937" s="53"/>
      <c r="G937" s="4"/>
      <c r="H937" s="4"/>
      <c r="I937" s="4"/>
      <c r="J937" s="4"/>
      <c r="K937" s="4"/>
      <c r="L937" s="53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76"/>
      <c r="F938" s="53"/>
      <c r="G938" s="4"/>
      <c r="H938" s="4"/>
      <c r="I938" s="4"/>
      <c r="J938" s="4"/>
      <c r="K938" s="4"/>
      <c r="L938" s="53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76"/>
      <c r="F939" s="53"/>
      <c r="G939" s="4"/>
      <c r="H939" s="4"/>
      <c r="I939" s="4"/>
      <c r="J939" s="4"/>
      <c r="K939" s="4"/>
      <c r="L939" s="53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76"/>
      <c r="F940" s="53"/>
      <c r="G940" s="4"/>
      <c r="H940" s="4"/>
      <c r="I940" s="4"/>
      <c r="J940" s="4"/>
      <c r="K940" s="4"/>
      <c r="L940" s="53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76"/>
      <c r="F941" s="53"/>
      <c r="G941" s="4"/>
      <c r="H941" s="4"/>
      <c r="I941" s="4"/>
      <c r="J941" s="4"/>
      <c r="K941" s="4"/>
      <c r="L941" s="53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76"/>
      <c r="F942" s="53"/>
      <c r="G942" s="4"/>
      <c r="H942" s="4"/>
      <c r="I942" s="4"/>
      <c r="J942" s="4"/>
      <c r="K942" s="4"/>
      <c r="L942" s="53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76"/>
      <c r="F943" s="53"/>
      <c r="G943" s="4"/>
      <c r="H943" s="4"/>
      <c r="I943" s="4"/>
      <c r="J943" s="4"/>
      <c r="K943" s="4"/>
      <c r="L943" s="53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76"/>
      <c r="F944" s="53"/>
      <c r="G944" s="4"/>
      <c r="H944" s="4"/>
      <c r="I944" s="4"/>
      <c r="J944" s="4"/>
      <c r="K944" s="4"/>
      <c r="L944" s="53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76"/>
      <c r="F945" s="53"/>
      <c r="G945" s="4"/>
      <c r="H945" s="4"/>
      <c r="I945" s="4"/>
      <c r="J945" s="4"/>
      <c r="K945" s="4"/>
      <c r="L945" s="53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76"/>
      <c r="F946" s="53"/>
      <c r="G946" s="4"/>
      <c r="H946" s="4"/>
      <c r="I946" s="4"/>
      <c r="J946" s="4"/>
      <c r="K946" s="4"/>
      <c r="L946" s="53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76"/>
      <c r="F947" s="53"/>
      <c r="G947" s="4"/>
      <c r="H947" s="4"/>
      <c r="I947" s="4"/>
      <c r="J947" s="4"/>
      <c r="K947" s="4"/>
      <c r="L947" s="53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76"/>
      <c r="F948" s="53"/>
      <c r="G948" s="4"/>
      <c r="H948" s="4"/>
      <c r="I948" s="4"/>
      <c r="J948" s="4"/>
      <c r="K948" s="4"/>
      <c r="L948" s="53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76"/>
      <c r="F949" s="53"/>
      <c r="G949" s="4"/>
      <c r="H949" s="4"/>
      <c r="I949" s="4"/>
      <c r="J949" s="4"/>
      <c r="K949" s="4"/>
      <c r="L949" s="53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76"/>
      <c r="F950" s="53"/>
      <c r="G950" s="4"/>
      <c r="H950" s="4"/>
      <c r="I950" s="4"/>
      <c r="J950" s="4"/>
      <c r="K950" s="4"/>
      <c r="L950" s="53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76"/>
      <c r="F951" s="53"/>
      <c r="G951" s="4"/>
      <c r="H951" s="4"/>
      <c r="I951" s="4"/>
      <c r="J951" s="4"/>
      <c r="K951" s="4"/>
      <c r="L951" s="53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76"/>
      <c r="F952" s="53"/>
      <c r="G952" s="4"/>
      <c r="H952" s="4"/>
      <c r="I952" s="4"/>
      <c r="J952" s="4"/>
      <c r="K952" s="4"/>
      <c r="L952" s="53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76"/>
      <c r="F953" s="53"/>
      <c r="G953" s="4"/>
      <c r="H953" s="4"/>
      <c r="I953" s="4"/>
      <c r="J953" s="4"/>
      <c r="K953" s="4"/>
      <c r="L953" s="53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76"/>
      <c r="F954" s="53"/>
      <c r="G954" s="4"/>
      <c r="H954" s="4"/>
      <c r="I954" s="4"/>
      <c r="J954" s="4"/>
      <c r="K954" s="4"/>
      <c r="L954" s="53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76"/>
      <c r="F955" s="53"/>
      <c r="G955" s="4"/>
      <c r="H955" s="4"/>
      <c r="I955" s="4"/>
      <c r="J955" s="4"/>
      <c r="K955" s="4"/>
      <c r="L955" s="53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76"/>
      <c r="F956" s="53"/>
      <c r="G956" s="4"/>
      <c r="H956" s="4"/>
      <c r="I956" s="4"/>
      <c r="J956" s="4"/>
      <c r="K956" s="4"/>
      <c r="L956" s="53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76"/>
      <c r="F957" s="53"/>
      <c r="G957" s="4"/>
      <c r="H957" s="4"/>
      <c r="I957" s="4"/>
      <c r="J957" s="4"/>
      <c r="K957" s="4"/>
      <c r="L957" s="53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76"/>
      <c r="F958" s="53"/>
      <c r="G958" s="4"/>
      <c r="H958" s="4"/>
      <c r="I958" s="4"/>
      <c r="J958" s="4"/>
      <c r="K958" s="4"/>
      <c r="L958" s="53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76"/>
      <c r="F959" s="53"/>
      <c r="G959" s="4"/>
      <c r="H959" s="4"/>
      <c r="I959" s="4"/>
      <c r="J959" s="4"/>
      <c r="K959" s="4"/>
      <c r="L959" s="53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76"/>
      <c r="F960" s="53"/>
      <c r="G960" s="4"/>
      <c r="H960" s="4"/>
      <c r="I960" s="4"/>
      <c r="J960" s="4"/>
      <c r="K960" s="4"/>
      <c r="L960" s="53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76"/>
      <c r="F961" s="53"/>
      <c r="G961" s="4"/>
      <c r="H961" s="4"/>
      <c r="I961" s="4"/>
      <c r="J961" s="4"/>
      <c r="K961" s="4"/>
      <c r="L961" s="53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76"/>
      <c r="F962" s="53"/>
      <c r="G962" s="4"/>
      <c r="H962" s="4"/>
      <c r="I962" s="4"/>
      <c r="J962" s="4"/>
      <c r="K962" s="4"/>
      <c r="L962" s="53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76"/>
      <c r="F963" s="53"/>
      <c r="G963" s="4"/>
      <c r="H963" s="4"/>
      <c r="I963" s="4"/>
      <c r="J963" s="4"/>
      <c r="K963" s="4"/>
      <c r="L963" s="53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76"/>
      <c r="F964" s="53"/>
      <c r="G964" s="4"/>
      <c r="H964" s="4"/>
      <c r="I964" s="4"/>
      <c r="J964" s="4"/>
      <c r="K964" s="4"/>
      <c r="L964" s="53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76"/>
      <c r="F965" s="53"/>
      <c r="G965" s="4"/>
      <c r="H965" s="4"/>
      <c r="I965" s="4"/>
      <c r="J965" s="4"/>
      <c r="K965" s="4"/>
      <c r="L965" s="53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76"/>
      <c r="F966" s="53"/>
      <c r="G966" s="4"/>
      <c r="H966" s="4"/>
      <c r="I966" s="4"/>
      <c r="J966" s="4"/>
      <c r="K966" s="4"/>
      <c r="L966" s="53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76"/>
      <c r="F967" s="53"/>
      <c r="G967" s="4"/>
      <c r="H967" s="4"/>
      <c r="I967" s="4"/>
      <c r="J967" s="4"/>
      <c r="K967" s="4"/>
      <c r="L967" s="53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76"/>
      <c r="F968" s="53"/>
      <c r="G968" s="4"/>
      <c r="H968" s="4"/>
      <c r="I968" s="4"/>
      <c r="J968" s="4"/>
      <c r="K968" s="4"/>
      <c r="L968" s="53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76"/>
      <c r="F969" s="53"/>
      <c r="G969" s="4"/>
      <c r="H969" s="4"/>
      <c r="I969" s="4"/>
      <c r="J969" s="4"/>
      <c r="K969" s="4"/>
      <c r="L969" s="53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76"/>
      <c r="F970" s="53"/>
      <c r="G970" s="4"/>
      <c r="H970" s="4"/>
      <c r="I970" s="4"/>
      <c r="J970" s="4"/>
      <c r="K970" s="4"/>
      <c r="L970" s="53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76"/>
      <c r="F971" s="53"/>
      <c r="G971" s="4"/>
      <c r="H971" s="4"/>
      <c r="I971" s="4"/>
      <c r="J971" s="4"/>
      <c r="K971" s="4"/>
      <c r="L971" s="53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76"/>
      <c r="F972" s="53"/>
      <c r="G972" s="4"/>
      <c r="H972" s="4"/>
      <c r="I972" s="4"/>
      <c r="J972" s="4"/>
      <c r="K972" s="4"/>
      <c r="L972" s="53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76"/>
      <c r="F973" s="53"/>
      <c r="G973" s="4"/>
      <c r="H973" s="4"/>
      <c r="I973" s="4"/>
      <c r="J973" s="4"/>
      <c r="K973" s="4"/>
      <c r="L973" s="53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76"/>
      <c r="F974" s="53"/>
      <c r="G974" s="4"/>
      <c r="H974" s="4"/>
      <c r="I974" s="4"/>
      <c r="J974" s="4"/>
      <c r="K974" s="4"/>
      <c r="L974" s="53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76"/>
      <c r="F975" s="53"/>
      <c r="G975" s="4"/>
      <c r="H975" s="4"/>
      <c r="I975" s="4"/>
      <c r="J975" s="4"/>
      <c r="K975" s="4"/>
      <c r="L975" s="53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76"/>
      <c r="F976" s="53"/>
      <c r="G976" s="4"/>
      <c r="H976" s="4"/>
      <c r="I976" s="4"/>
      <c r="J976" s="4"/>
      <c r="K976" s="4"/>
      <c r="L976" s="53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76"/>
      <c r="F977" s="53"/>
      <c r="G977" s="4"/>
      <c r="H977" s="4"/>
      <c r="I977" s="4"/>
      <c r="J977" s="4"/>
      <c r="K977" s="4"/>
      <c r="L977" s="53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76"/>
      <c r="F978" s="53"/>
      <c r="G978" s="4"/>
      <c r="H978" s="4"/>
      <c r="I978" s="4"/>
      <c r="J978" s="4"/>
      <c r="K978" s="4"/>
      <c r="L978" s="53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76"/>
      <c r="F979" s="53"/>
      <c r="G979" s="4"/>
      <c r="H979" s="4"/>
      <c r="I979" s="4"/>
      <c r="J979" s="4"/>
      <c r="K979" s="4"/>
      <c r="L979" s="53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76"/>
      <c r="F980" s="53"/>
      <c r="G980" s="4"/>
      <c r="H980" s="4"/>
      <c r="I980" s="4"/>
      <c r="J980" s="4"/>
      <c r="K980" s="4"/>
      <c r="L980" s="53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76"/>
      <c r="F981" s="53"/>
      <c r="G981" s="4"/>
      <c r="H981" s="4"/>
      <c r="I981" s="4"/>
      <c r="J981" s="4"/>
      <c r="K981" s="4"/>
      <c r="L981" s="53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76"/>
      <c r="F982" s="53"/>
      <c r="G982" s="4"/>
      <c r="H982" s="4"/>
      <c r="I982" s="4"/>
      <c r="J982" s="4"/>
      <c r="K982" s="4"/>
      <c r="L982" s="53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76"/>
      <c r="F983" s="53"/>
      <c r="G983" s="4"/>
      <c r="H983" s="4"/>
      <c r="I983" s="4"/>
      <c r="J983" s="4"/>
      <c r="K983" s="4"/>
      <c r="L983" s="53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76"/>
      <c r="F984" s="53"/>
      <c r="G984" s="4"/>
      <c r="H984" s="4"/>
      <c r="I984" s="4"/>
      <c r="J984" s="4"/>
      <c r="K984" s="4"/>
      <c r="L984" s="53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76"/>
      <c r="F985" s="53"/>
      <c r="G985" s="4"/>
      <c r="H985" s="4"/>
      <c r="I985" s="4"/>
      <c r="J985" s="4"/>
      <c r="K985" s="4"/>
      <c r="L985" s="53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76"/>
      <c r="F986" s="53"/>
      <c r="G986" s="4"/>
      <c r="H986" s="4"/>
      <c r="I986" s="4"/>
      <c r="J986" s="4"/>
      <c r="K986" s="4"/>
      <c r="L986" s="53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76"/>
      <c r="F987" s="53"/>
      <c r="G987" s="4"/>
      <c r="H987" s="4"/>
      <c r="I987" s="4"/>
      <c r="J987" s="4"/>
      <c r="K987" s="4"/>
      <c r="L987" s="53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76"/>
      <c r="F988" s="53"/>
      <c r="G988" s="4"/>
      <c r="H988" s="4"/>
      <c r="I988" s="4"/>
      <c r="J988" s="4"/>
      <c r="K988" s="4"/>
      <c r="L988" s="53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76"/>
      <c r="F989" s="53"/>
      <c r="G989" s="4"/>
      <c r="H989" s="4"/>
      <c r="I989" s="4"/>
      <c r="J989" s="4"/>
      <c r="K989" s="4"/>
      <c r="L989" s="53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76"/>
      <c r="F990" s="53"/>
      <c r="G990" s="4"/>
      <c r="H990" s="4"/>
      <c r="I990" s="4"/>
      <c r="J990" s="4"/>
      <c r="K990" s="4"/>
      <c r="L990" s="53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76"/>
      <c r="F991" s="53"/>
      <c r="G991" s="4"/>
      <c r="H991" s="4"/>
      <c r="I991" s="4"/>
      <c r="J991" s="4"/>
      <c r="K991" s="4"/>
      <c r="L991" s="53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76"/>
      <c r="F992" s="53"/>
      <c r="G992" s="4"/>
      <c r="H992" s="4"/>
      <c r="I992" s="4"/>
      <c r="J992" s="4"/>
      <c r="K992" s="4"/>
      <c r="L992" s="53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76"/>
      <c r="F993" s="53"/>
      <c r="G993" s="4"/>
      <c r="H993" s="4"/>
      <c r="I993" s="4"/>
      <c r="J993" s="4"/>
      <c r="K993" s="4"/>
      <c r="L993" s="53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76"/>
      <c r="F994" s="53"/>
      <c r="G994" s="4"/>
      <c r="H994" s="4"/>
      <c r="I994" s="4"/>
      <c r="J994" s="4"/>
      <c r="K994" s="4"/>
      <c r="L994" s="53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76"/>
      <c r="F995" s="53"/>
      <c r="G995" s="4"/>
      <c r="H995" s="4"/>
      <c r="I995" s="4"/>
      <c r="J995" s="4"/>
      <c r="K995" s="4"/>
      <c r="L995" s="53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76"/>
      <c r="F996" s="53"/>
      <c r="G996" s="4"/>
      <c r="H996" s="4"/>
      <c r="I996" s="4"/>
      <c r="J996" s="4"/>
      <c r="K996" s="4"/>
      <c r="L996" s="53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76"/>
      <c r="F997" s="53"/>
      <c r="G997" s="4"/>
      <c r="H997" s="4"/>
      <c r="I997" s="4"/>
      <c r="J997" s="4"/>
      <c r="K997" s="4"/>
      <c r="L997" s="53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76"/>
      <c r="F998" s="53"/>
      <c r="G998" s="4"/>
      <c r="H998" s="4"/>
      <c r="I998" s="4"/>
      <c r="J998" s="4"/>
      <c r="K998" s="4"/>
      <c r="L998" s="53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76"/>
      <c r="F999" s="53"/>
      <c r="G999" s="4"/>
      <c r="H999" s="4"/>
      <c r="I999" s="4"/>
      <c r="J999" s="4"/>
      <c r="K999" s="4"/>
      <c r="L999" s="53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76"/>
      <c r="F1000" s="53"/>
      <c r="G1000" s="4"/>
      <c r="H1000" s="4"/>
      <c r="I1000" s="4"/>
      <c r="J1000" s="4"/>
      <c r="K1000" s="4"/>
      <c r="L1000" s="53"/>
      <c r="P1000" s="4"/>
      <c r="Q1000" s="4"/>
      <c r="R1000" s="4"/>
      <c r="S1000" s="4"/>
      <c r="T1000" s="4"/>
      <c r="U1000" s="4"/>
      <c r="V1000" s="4"/>
    </row>
  </sheetData>
  <mergeCells count="2">
    <mergeCell ref="A1:H1"/>
    <mergeCell ref="A2:H2"/>
  </mergeCells>
  <conditionalFormatting sqref="D5:D25 D28:D39">
    <cfRule type="containsBlanks" dxfId="0" priority="1">
      <formula>LEN(TRIM(D5))=0</formula>
    </cfRule>
  </conditionalFormatting>
  <conditionalFormatting sqref="F5:F25 F28:F39">
    <cfRule type="cellIs" dxfId="1" priority="2" operator="equal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11.13"/>
    <col customWidth="1" min="3" max="3" width="14.25"/>
    <col customWidth="1" min="4" max="4" width="8.63"/>
    <col customWidth="1" min="5" max="5" width="14.63"/>
    <col customWidth="1" min="6" max="6" width="7.5"/>
    <col customWidth="1" min="7" max="7" width="5.13"/>
    <col customWidth="1" min="8" max="8" width="13.25"/>
    <col customWidth="1" min="10" max="10" width="8.63"/>
    <col customWidth="1" min="11" max="11" width="14.63"/>
    <col customWidth="1" min="12" max="12" width="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P1" s="4"/>
      <c r="Q1" s="4"/>
      <c r="R1" s="4"/>
      <c r="S1" s="4"/>
      <c r="T1" s="4"/>
      <c r="U1" s="4"/>
      <c r="V1" s="4"/>
    </row>
    <row r="2">
      <c r="A2" s="5" t="s">
        <v>69</v>
      </c>
      <c r="P2" s="4"/>
      <c r="Q2" s="4"/>
      <c r="R2" s="4"/>
      <c r="S2" s="4"/>
      <c r="T2" s="4"/>
      <c r="U2" s="4"/>
      <c r="V2" s="4"/>
    </row>
    <row r="3">
      <c r="A3" s="8" t="s">
        <v>4</v>
      </c>
      <c r="B3" s="10"/>
      <c r="C3" s="10"/>
      <c r="D3" s="10"/>
      <c r="E3" s="10"/>
      <c r="F3" s="10"/>
      <c r="G3" s="10"/>
      <c r="H3" s="13"/>
      <c r="P3" s="4"/>
      <c r="Q3" s="4"/>
      <c r="R3" s="4"/>
      <c r="S3" s="4"/>
      <c r="T3" s="4"/>
      <c r="U3" s="4"/>
      <c r="V3" s="4"/>
    </row>
    <row r="4">
      <c r="A4" s="15" t="s">
        <v>6</v>
      </c>
      <c r="B4" s="17" t="s">
        <v>7</v>
      </c>
      <c r="C4" s="19" t="s">
        <v>8</v>
      </c>
      <c r="D4" s="21" t="s">
        <v>9</v>
      </c>
      <c r="E4" s="23" t="s">
        <v>10</v>
      </c>
      <c r="F4" s="24" t="s">
        <v>11</v>
      </c>
      <c r="H4" s="26" t="s">
        <v>12</v>
      </c>
      <c r="P4" s="4"/>
      <c r="Q4" s="4"/>
      <c r="R4" s="4"/>
      <c r="S4" s="4"/>
      <c r="T4" s="4"/>
      <c r="U4" s="4"/>
      <c r="V4" s="4"/>
    </row>
    <row r="5">
      <c r="A5" s="29" t="s">
        <v>13</v>
      </c>
      <c r="B5" s="30" t="s">
        <v>14</v>
      </c>
      <c r="C5" s="32">
        <v>46385.99930555555</v>
      </c>
      <c r="D5" s="33"/>
      <c r="E5" s="75" t="str">
        <f t="shared" ref="E5:E25" si="1">IF(D5&lt;&gt;"",IF(E5="",NOW(),E5),"")</f>
        <v/>
      </c>
      <c r="F5" s="37">
        <f t="shared" ref="F5:F25" si="2">if(D5 = "", 0,IF(E5&lt;C5,0.5,0))</f>
        <v>0</v>
      </c>
      <c r="H5" s="38" t="str">
        <f t="shared" ref="H5:H25" si="3">if(D5 &lt;&gt; "", ABS(E5-C5), "0")</f>
        <v>0</v>
      </c>
      <c r="P5" s="4"/>
      <c r="Q5" s="4"/>
      <c r="R5" s="4"/>
      <c r="S5" s="4"/>
      <c r="T5" s="4"/>
      <c r="U5" s="4"/>
      <c r="V5" s="4"/>
    </row>
    <row r="6">
      <c r="A6" s="39" t="s">
        <v>16</v>
      </c>
      <c r="B6" s="30" t="s">
        <v>14</v>
      </c>
      <c r="C6" s="32">
        <v>46385.99930555555</v>
      </c>
      <c r="D6" s="33"/>
      <c r="E6" s="75" t="str">
        <f t="shared" si="1"/>
        <v/>
      </c>
      <c r="F6" s="37">
        <f t="shared" si="2"/>
        <v>0</v>
      </c>
      <c r="H6" s="38" t="str">
        <f t="shared" si="3"/>
        <v>0</v>
      </c>
      <c r="P6" s="4"/>
      <c r="Q6" s="4"/>
      <c r="R6" s="4"/>
      <c r="S6" s="4"/>
      <c r="T6" s="4"/>
      <c r="U6" s="4"/>
      <c r="V6" s="4"/>
    </row>
    <row r="7">
      <c r="A7" s="39" t="s">
        <v>17</v>
      </c>
      <c r="B7" s="30" t="s">
        <v>18</v>
      </c>
      <c r="C7" s="32">
        <v>46357.99930555555</v>
      </c>
      <c r="D7" s="33"/>
      <c r="E7" s="75" t="str">
        <f t="shared" si="1"/>
        <v/>
      </c>
      <c r="F7" s="37">
        <f t="shared" si="2"/>
        <v>0</v>
      </c>
      <c r="H7" s="38" t="str">
        <f t="shared" si="3"/>
        <v>0</v>
      </c>
      <c r="P7" s="4"/>
      <c r="Q7" s="4"/>
      <c r="R7" s="4"/>
      <c r="S7" s="4"/>
      <c r="T7" s="4"/>
      <c r="U7" s="4"/>
      <c r="V7" s="4"/>
    </row>
    <row r="8">
      <c r="A8" s="39" t="s">
        <v>19</v>
      </c>
      <c r="B8" s="30" t="s">
        <v>20</v>
      </c>
      <c r="C8" s="32">
        <v>46357.99930555555</v>
      </c>
      <c r="D8" s="33"/>
      <c r="E8" s="75" t="str">
        <f t="shared" si="1"/>
        <v/>
      </c>
      <c r="F8" s="37">
        <f t="shared" si="2"/>
        <v>0</v>
      </c>
      <c r="H8" s="38" t="str">
        <f t="shared" si="3"/>
        <v>0</v>
      </c>
      <c r="P8" s="4"/>
      <c r="Q8" s="4"/>
      <c r="R8" s="4"/>
      <c r="S8" s="4"/>
      <c r="T8" s="4"/>
      <c r="U8" s="4"/>
      <c r="V8" s="4"/>
    </row>
    <row r="9">
      <c r="A9" s="39" t="s">
        <v>22</v>
      </c>
      <c r="B9" s="89" t="s">
        <v>65</v>
      </c>
      <c r="C9" s="32">
        <v>46361.99930555555</v>
      </c>
      <c r="D9" s="33"/>
      <c r="E9" s="75" t="str">
        <f t="shared" si="1"/>
        <v/>
      </c>
      <c r="F9" s="37">
        <f t="shared" si="2"/>
        <v>0</v>
      </c>
      <c r="H9" s="38" t="str">
        <f t="shared" si="3"/>
        <v>0</v>
      </c>
      <c r="P9" s="4"/>
      <c r="Q9" s="4"/>
      <c r="R9" s="4"/>
      <c r="S9" s="4"/>
      <c r="T9" s="4"/>
      <c r="U9" s="4"/>
      <c r="V9" s="4"/>
    </row>
    <row r="10">
      <c r="A10" s="39" t="s">
        <v>24</v>
      </c>
      <c r="B10" s="89" t="s">
        <v>65</v>
      </c>
      <c r="C10" s="32">
        <v>46361.99930555555</v>
      </c>
      <c r="D10" s="33"/>
      <c r="E10" s="75" t="str">
        <f t="shared" si="1"/>
        <v/>
      </c>
      <c r="F10" s="37">
        <f t="shared" si="2"/>
        <v>0</v>
      </c>
      <c r="H10" s="38" t="str">
        <f t="shared" si="3"/>
        <v>0</v>
      </c>
      <c r="P10" s="4"/>
      <c r="Q10" s="4"/>
      <c r="R10" s="4"/>
      <c r="S10" s="4"/>
      <c r="T10" s="4"/>
      <c r="U10" s="4"/>
      <c r="V10" s="4"/>
    </row>
    <row r="11">
      <c r="A11" s="39" t="s">
        <v>25</v>
      </c>
      <c r="B11" s="30" t="s">
        <v>14</v>
      </c>
      <c r="C11" s="32">
        <v>46364.99930555555</v>
      </c>
      <c r="D11" s="33"/>
      <c r="E11" s="75" t="str">
        <f t="shared" si="1"/>
        <v/>
      </c>
      <c r="F11" s="37">
        <f t="shared" si="2"/>
        <v>0</v>
      </c>
      <c r="H11" s="38" t="str">
        <f t="shared" si="3"/>
        <v>0</v>
      </c>
      <c r="P11" s="4"/>
      <c r="Q11" s="4"/>
      <c r="R11" s="4"/>
      <c r="S11" s="4"/>
      <c r="T11" s="4"/>
      <c r="U11" s="4"/>
      <c r="V11" s="4"/>
    </row>
    <row r="12">
      <c r="A12" s="49" t="s">
        <v>26</v>
      </c>
      <c r="B12" s="30" t="s">
        <v>14</v>
      </c>
      <c r="C12" s="32">
        <v>46364.99930555555</v>
      </c>
      <c r="D12" s="33"/>
      <c r="E12" s="75" t="str">
        <f t="shared" si="1"/>
        <v/>
      </c>
      <c r="F12" s="37">
        <f t="shared" si="2"/>
        <v>0</v>
      </c>
      <c r="H12" s="38" t="str">
        <f t="shared" si="3"/>
        <v>0</v>
      </c>
      <c r="P12" s="4"/>
      <c r="Q12" s="4"/>
      <c r="R12" s="4"/>
      <c r="S12" s="4"/>
      <c r="T12" s="4"/>
      <c r="U12" s="4"/>
      <c r="V12" s="4"/>
    </row>
    <row r="13">
      <c r="A13" s="49" t="s">
        <v>27</v>
      </c>
      <c r="B13" s="89" t="s">
        <v>63</v>
      </c>
      <c r="C13" s="32">
        <v>46364.99930555555</v>
      </c>
      <c r="D13" s="33"/>
      <c r="E13" s="75" t="str">
        <f t="shared" si="1"/>
        <v/>
      </c>
      <c r="F13" s="37">
        <f t="shared" si="2"/>
        <v>0</v>
      </c>
      <c r="H13" s="38" t="str">
        <f t="shared" si="3"/>
        <v>0</v>
      </c>
      <c r="P13" s="4"/>
      <c r="Q13" s="4"/>
      <c r="R13" s="4"/>
      <c r="S13" s="4"/>
      <c r="T13" s="4"/>
      <c r="U13" s="4"/>
      <c r="V13" s="4"/>
    </row>
    <row r="14">
      <c r="A14" s="49" t="s">
        <v>29</v>
      </c>
      <c r="B14" s="30" t="s">
        <v>30</v>
      </c>
      <c r="C14" s="32">
        <v>46368.99930555555</v>
      </c>
      <c r="D14" s="33"/>
      <c r="E14" s="75" t="str">
        <f t="shared" si="1"/>
        <v/>
      </c>
      <c r="F14" s="37">
        <f t="shared" si="2"/>
        <v>0</v>
      </c>
      <c r="H14" s="38" t="str">
        <f t="shared" si="3"/>
        <v>0</v>
      </c>
      <c r="P14" s="4"/>
      <c r="Q14" s="4"/>
      <c r="R14" s="4"/>
      <c r="S14" s="4"/>
      <c r="T14" s="4"/>
      <c r="U14" s="4"/>
      <c r="V14" s="4"/>
    </row>
    <row r="15">
      <c r="A15" s="49" t="s">
        <v>32</v>
      </c>
      <c r="B15" s="30" t="s">
        <v>20</v>
      </c>
      <c r="C15" s="32">
        <v>46368.99930555555</v>
      </c>
      <c r="D15" s="33"/>
      <c r="E15" s="75" t="str">
        <f t="shared" si="1"/>
        <v/>
      </c>
      <c r="F15" s="37">
        <f t="shared" si="2"/>
        <v>0</v>
      </c>
      <c r="H15" s="38" t="str">
        <f t="shared" si="3"/>
        <v>0</v>
      </c>
      <c r="P15" s="4"/>
      <c r="Q15" s="4"/>
      <c r="R15" s="4"/>
      <c r="S15" s="4"/>
      <c r="T15" s="4"/>
      <c r="U15" s="4"/>
      <c r="V15" s="4"/>
    </row>
    <row r="16">
      <c r="A16" s="49" t="s">
        <v>33</v>
      </c>
      <c r="B16" s="30" t="s">
        <v>20</v>
      </c>
      <c r="C16" s="32">
        <v>46371.99930555555</v>
      </c>
      <c r="D16" s="33"/>
      <c r="E16" s="75" t="str">
        <f t="shared" si="1"/>
        <v/>
      </c>
      <c r="F16" s="37">
        <f t="shared" si="2"/>
        <v>0</v>
      </c>
      <c r="H16" s="38" t="str">
        <f t="shared" si="3"/>
        <v>0</v>
      </c>
      <c r="P16" s="4"/>
      <c r="Q16" s="4"/>
      <c r="R16" s="4"/>
      <c r="S16" s="4"/>
      <c r="T16" s="4"/>
      <c r="U16" s="4"/>
      <c r="V16" s="4"/>
    </row>
    <row r="17">
      <c r="A17" s="49" t="s">
        <v>34</v>
      </c>
      <c r="B17" s="30" t="s">
        <v>30</v>
      </c>
      <c r="C17" s="32">
        <v>46371.99930555555</v>
      </c>
      <c r="D17" s="33"/>
      <c r="E17" s="75" t="str">
        <f t="shared" si="1"/>
        <v/>
      </c>
      <c r="F17" s="37">
        <f t="shared" si="2"/>
        <v>0</v>
      </c>
      <c r="G17" s="4"/>
      <c r="H17" s="38" t="str">
        <f t="shared" si="3"/>
        <v>0</v>
      </c>
      <c r="I17" s="4"/>
      <c r="J17" s="4"/>
      <c r="K17" s="4"/>
      <c r="L17" s="53"/>
      <c r="P17" s="4"/>
      <c r="Q17" s="4"/>
      <c r="R17" s="4"/>
      <c r="S17" s="4"/>
      <c r="T17" s="4"/>
      <c r="U17" s="4"/>
      <c r="V17" s="4"/>
    </row>
    <row r="18">
      <c r="A18" s="49" t="s">
        <v>35</v>
      </c>
      <c r="B18" s="30" t="s">
        <v>14</v>
      </c>
      <c r="C18" s="32">
        <v>46374.99930555555</v>
      </c>
      <c r="D18" s="33"/>
      <c r="E18" s="75" t="str">
        <f t="shared" si="1"/>
        <v/>
      </c>
      <c r="F18" s="37">
        <f t="shared" si="2"/>
        <v>0</v>
      </c>
      <c r="G18" s="4"/>
      <c r="H18" s="38" t="str">
        <f t="shared" si="3"/>
        <v>0</v>
      </c>
      <c r="I18" s="4"/>
      <c r="J18" s="4"/>
      <c r="K18" s="4"/>
      <c r="L18" s="53"/>
      <c r="P18" s="4"/>
      <c r="Q18" s="4"/>
      <c r="R18" s="4"/>
      <c r="S18" s="4"/>
      <c r="T18" s="4"/>
      <c r="U18" s="4"/>
      <c r="V18" s="4"/>
    </row>
    <row r="19">
      <c r="A19" s="49" t="s">
        <v>36</v>
      </c>
      <c r="B19" s="89" t="s">
        <v>18</v>
      </c>
      <c r="C19" s="32">
        <v>46374.99930555555</v>
      </c>
      <c r="D19" s="33"/>
      <c r="E19" s="75" t="str">
        <f t="shared" si="1"/>
        <v/>
      </c>
      <c r="F19" s="37">
        <f t="shared" si="2"/>
        <v>0</v>
      </c>
      <c r="G19" s="4"/>
      <c r="H19" s="38" t="str">
        <f t="shared" si="3"/>
        <v>0</v>
      </c>
      <c r="I19" s="4"/>
      <c r="J19" s="4"/>
      <c r="K19" s="4"/>
      <c r="L19" s="53"/>
      <c r="P19" s="4"/>
      <c r="Q19" s="4"/>
      <c r="R19" s="4"/>
      <c r="S19" s="4"/>
      <c r="T19" s="4"/>
      <c r="U19" s="4"/>
      <c r="V19" s="4"/>
    </row>
    <row r="20">
      <c r="A20" s="49" t="s">
        <v>38</v>
      </c>
      <c r="B20" s="30" t="s">
        <v>30</v>
      </c>
      <c r="C20" s="32">
        <v>46377.99930555555</v>
      </c>
      <c r="D20" s="33"/>
      <c r="E20" s="75" t="str">
        <f t="shared" si="1"/>
        <v/>
      </c>
      <c r="F20" s="37">
        <f t="shared" si="2"/>
        <v>0</v>
      </c>
      <c r="G20" s="4"/>
      <c r="H20" s="38" t="str">
        <f t="shared" si="3"/>
        <v>0</v>
      </c>
      <c r="I20" s="4"/>
      <c r="J20" s="4"/>
      <c r="K20" s="4"/>
      <c r="L20" s="53"/>
      <c r="P20" s="4"/>
      <c r="Q20" s="4"/>
      <c r="R20" s="4"/>
      <c r="S20" s="4"/>
      <c r="T20" s="4"/>
      <c r="U20" s="4"/>
      <c r="V20" s="4"/>
    </row>
    <row r="21">
      <c r="A21" s="49" t="s">
        <v>39</v>
      </c>
      <c r="B21" s="30" t="s">
        <v>18</v>
      </c>
      <c r="C21" s="32">
        <v>46377.99930555555</v>
      </c>
      <c r="D21" s="33"/>
      <c r="E21" s="75" t="str">
        <f t="shared" si="1"/>
        <v/>
      </c>
      <c r="F21" s="37">
        <f t="shared" si="2"/>
        <v>0</v>
      </c>
      <c r="G21" s="4"/>
      <c r="H21" s="38" t="str">
        <f t="shared" si="3"/>
        <v>0</v>
      </c>
      <c r="I21" s="4"/>
      <c r="J21" s="4"/>
      <c r="K21" s="4"/>
      <c r="L21" s="53"/>
      <c r="P21" s="4"/>
      <c r="Q21" s="4"/>
      <c r="R21" s="4"/>
      <c r="S21" s="4"/>
      <c r="T21" s="4"/>
      <c r="U21" s="4"/>
      <c r="V21" s="4"/>
    </row>
    <row r="22">
      <c r="A22" s="49" t="s">
        <v>40</v>
      </c>
      <c r="B22" s="89" t="s">
        <v>63</v>
      </c>
      <c r="C22" s="32">
        <v>46378.99930555555</v>
      </c>
      <c r="D22" s="33"/>
      <c r="E22" s="75" t="str">
        <f t="shared" si="1"/>
        <v/>
      </c>
      <c r="F22" s="37">
        <f t="shared" si="2"/>
        <v>0</v>
      </c>
      <c r="G22" s="4"/>
      <c r="H22" s="38" t="str">
        <f t="shared" si="3"/>
        <v>0</v>
      </c>
      <c r="I22" s="4"/>
      <c r="J22" s="4"/>
      <c r="K22" s="4"/>
      <c r="L22" s="53"/>
      <c r="P22" s="4"/>
      <c r="Q22" s="4"/>
      <c r="R22" s="4"/>
      <c r="S22" s="4"/>
      <c r="T22" s="4"/>
      <c r="U22" s="4"/>
      <c r="V22" s="4"/>
    </row>
    <row r="23">
      <c r="A23" s="49" t="s">
        <v>41</v>
      </c>
      <c r="B23" s="30" t="s">
        <v>18</v>
      </c>
      <c r="C23" s="32">
        <v>46378.99930555555</v>
      </c>
      <c r="D23" s="33"/>
      <c r="E23" s="75" t="str">
        <f t="shared" si="1"/>
        <v/>
      </c>
      <c r="F23" s="37">
        <f t="shared" si="2"/>
        <v>0</v>
      </c>
      <c r="G23" s="4"/>
      <c r="H23" s="38" t="str">
        <f t="shared" si="3"/>
        <v>0</v>
      </c>
      <c r="I23" s="4"/>
      <c r="J23" s="4"/>
      <c r="K23" s="4"/>
      <c r="L23" s="53"/>
      <c r="P23" s="4"/>
      <c r="Q23" s="4"/>
      <c r="R23" s="4"/>
      <c r="S23" s="4"/>
      <c r="T23" s="4"/>
      <c r="U23" s="4"/>
      <c r="V23" s="4"/>
    </row>
    <row r="24">
      <c r="A24" s="49" t="s">
        <v>42</v>
      </c>
      <c r="B24" s="89" t="s">
        <v>63</v>
      </c>
      <c r="C24" s="32">
        <v>46378.99930555555</v>
      </c>
      <c r="D24" s="33"/>
      <c r="E24" s="75" t="str">
        <f t="shared" si="1"/>
        <v/>
      </c>
      <c r="F24" s="37">
        <f t="shared" si="2"/>
        <v>0</v>
      </c>
      <c r="G24" s="4"/>
      <c r="H24" s="38" t="str">
        <f t="shared" si="3"/>
        <v>0</v>
      </c>
      <c r="I24" s="4"/>
      <c r="J24" s="4"/>
      <c r="K24" s="4"/>
      <c r="L24" s="53"/>
      <c r="P24" s="4"/>
      <c r="Q24" s="4"/>
      <c r="R24" s="4"/>
      <c r="S24" s="4"/>
      <c r="T24" s="4"/>
      <c r="U24" s="4"/>
      <c r="V24" s="4"/>
    </row>
    <row r="25">
      <c r="A25" s="55" t="s">
        <v>43</v>
      </c>
      <c r="B25" s="89" t="s">
        <v>18</v>
      </c>
      <c r="C25" s="84">
        <v>46378.99930555555</v>
      </c>
      <c r="D25" s="56"/>
      <c r="E25" s="75" t="str">
        <f t="shared" si="1"/>
        <v/>
      </c>
      <c r="F25" s="57">
        <f t="shared" si="2"/>
        <v>0</v>
      </c>
      <c r="G25" s="4"/>
      <c r="H25" s="58" t="str">
        <f t="shared" si="3"/>
        <v>0</v>
      </c>
      <c r="I25" s="4"/>
      <c r="J25" s="4"/>
      <c r="K25" s="4"/>
      <c r="L25" s="53"/>
      <c r="P25" s="4"/>
      <c r="Q25" s="4"/>
      <c r="R25" s="4"/>
      <c r="S25" s="4"/>
      <c r="T25" s="4"/>
      <c r="U25" s="4"/>
      <c r="V25" s="4"/>
    </row>
    <row r="26">
      <c r="A26" s="87" t="s">
        <v>44</v>
      </c>
      <c r="B26" s="60"/>
      <c r="C26" s="87"/>
      <c r="D26" s="87"/>
      <c r="E26" s="87"/>
      <c r="F26" s="87"/>
      <c r="G26" s="87"/>
      <c r="H26" s="87"/>
      <c r="I26" s="4"/>
      <c r="J26" s="4"/>
      <c r="K26" s="4"/>
      <c r="L26" s="53"/>
      <c r="P26" s="4"/>
      <c r="Q26" s="4"/>
      <c r="R26" s="4"/>
      <c r="S26" s="4"/>
      <c r="T26" s="4"/>
      <c r="U26" s="4"/>
      <c r="V26" s="4"/>
    </row>
    <row r="27">
      <c r="A27" s="63" t="s">
        <v>6</v>
      </c>
      <c r="B27" s="17" t="s">
        <v>7</v>
      </c>
      <c r="C27" s="64" t="s">
        <v>8</v>
      </c>
      <c r="D27" s="65" t="s">
        <v>9</v>
      </c>
      <c r="E27" s="27" t="s">
        <v>10</v>
      </c>
      <c r="F27" s="28" t="s">
        <v>11</v>
      </c>
      <c r="G27" s="4"/>
      <c r="H27" s="26" t="s">
        <v>12</v>
      </c>
      <c r="K27" s="4"/>
      <c r="L27" s="53"/>
      <c r="P27" s="4"/>
      <c r="Q27" s="4"/>
      <c r="R27" s="4"/>
      <c r="S27" s="4"/>
      <c r="T27" s="4"/>
      <c r="U27" s="4"/>
      <c r="V27" s="4"/>
    </row>
    <row r="28">
      <c r="A28" s="29" t="s">
        <v>45</v>
      </c>
      <c r="B28" s="30" t="s">
        <v>20</v>
      </c>
      <c r="C28" s="32">
        <v>46385.99930555555</v>
      </c>
      <c r="D28" s="33"/>
      <c r="E28" s="75" t="str">
        <f t="shared" ref="E28:E39" si="4">IF(D28&lt;&gt;"",IF(E28="",NOW(),E28),"")</f>
        <v/>
      </c>
      <c r="F28" s="37">
        <f t="shared" ref="F28:F39" si="5">if(D28 = "", 0,IF(E28&lt;C28,0.5,0))</f>
        <v>0</v>
      </c>
      <c r="G28" s="4"/>
      <c r="H28" s="38" t="str">
        <f t="shared" ref="H28:H39" si="6">if(D28 &lt;&gt; "", ABS(E28-C28), "0")</f>
        <v>0</v>
      </c>
      <c r="K28" s="4"/>
      <c r="L28" s="53"/>
      <c r="P28" s="4"/>
      <c r="Q28" s="4"/>
      <c r="R28" s="4"/>
      <c r="S28" s="4"/>
      <c r="T28" s="4"/>
      <c r="U28" s="4"/>
      <c r="V28" s="4"/>
    </row>
    <row r="29">
      <c r="A29" s="68" t="s">
        <v>46</v>
      </c>
      <c r="B29" s="30" t="s">
        <v>20</v>
      </c>
      <c r="C29" s="32">
        <v>46385.99930555555</v>
      </c>
      <c r="D29" s="33"/>
      <c r="E29" s="75" t="str">
        <f t="shared" si="4"/>
        <v/>
      </c>
      <c r="F29" s="37">
        <f t="shared" si="5"/>
        <v>0</v>
      </c>
      <c r="G29" s="4"/>
      <c r="H29" s="38" t="str">
        <f t="shared" si="6"/>
        <v>0</v>
      </c>
      <c r="K29" s="4"/>
      <c r="L29" s="53"/>
      <c r="P29" s="4"/>
      <c r="Q29" s="4"/>
      <c r="R29" s="4"/>
      <c r="S29" s="4"/>
      <c r="T29" s="4"/>
      <c r="U29" s="4"/>
      <c r="V29" s="4"/>
    </row>
    <row r="30">
      <c r="A30" s="68" t="s">
        <v>47</v>
      </c>
      <c r="B30" s="30" t="s">
        <v>14</v>
      </c>
      <c r="C30" s="32">
        <v>46357.99930555555</v>
      </c>
      <c r="D30" s="33"/>
      <c r="E30" s="75" t="str">
        <f t="shared" si="4"/>
        <v/>
      </c>
      <c r="F30" s="37">
        <f t="shared" si="5"/>
        <v>0</v>
      </c>
      <c r="G30" s="4"/>
      <c r="H30" s="38" t="str">
        <f t="shared" si="6"/>
        <v>0</v>
      </c>
      <c r="K30" s="4"/>
      <c r="L30" s="53"/>
      <c r="P30" s="4"/>
      <c r="Q30" s="4"/>
      <c r="R30" s="4"/>
      <c r="S30" s="4"/>
      <c r="T30" s="4"/>
      <c r="U30" s="4"/>
      <c r="V30" s="4"/>
    </row>
    <row r="31">
      <c r="A31" s="68" t="s">
        <v>48</v>
      </c>
      <c r="B31" s="30" t="s">
        <v>14</v>
      </c>
      <c r="C31" s="32">
        <v>46361.99930555555</v>
      </c>
      <c r="D31" s="33"/>
      <c r="E31" s="75" t="str">
        <f t="shared" si="4"/>
        <v/>
      </c>
      <c r="F31" s="37">
        <f t="shared" si="5"/>
        <v>0</v>
      </c>
      <c r="G31" s="4"/>
      <c r="H31" s="38" t="str">
        <f t="shared" si="6"/>
        <v>0</v>
      </c>
      <c r="K31" s="4"/>
      <c r="L31" s="53"/>
      <c r="P31" s="4"/>
      <c r="Q31" s="4"/>
      <c r="R31" s="4"/>
      <c r="S31" s="4"/>
      <c r="T31" s="4"/>
      <c r="U31" s="4"/>
      <c r="V31" s="4"/>
    </row>
    <row r="32">
      <c r="A32" s="69" t="s">
        <v>50</v>
      </c>
      <c r="B32" s="89" t="s">
        <v>18</v>
      </c>
      <c r="C32" s="32">
        <v>46364.99930555555</v>
      </c>
      <c r="D32" s="33"/>
      <c r="E32" s="75" t="str">
        <f t="shared" si="4"/>
        <v/>
      </c>
      <c r="F32" s="37">
        <f t="shared" si="5"/>
        <v>0</v>
      </c>
      <c r="G32" s="4"/>
      <c r="H32" s="38" t="str">
        <f t="shared" si="6"/>
        <v>0</v>
      </c>
      <c r="K32" s="4"/>
      <c r="L32" s="53"/>
      <c r="P32" s="4"/>
      <c r="Q32" s="4"/>
      <c r="R32" s="4"/>
      <c r="S32" s="4"/>
      <c r="T32" s="4"/>
      <c r="U32" s="4"/>
      <c r="V32" s="4"/>
    </row>
    <row r="33">
      <c r="A33" s="69" t="s">
        <v>51</v>
      </c>
      <c r="B33" s="30" t="s">
        <v>20</v>
      </c>
      <c r="C33" s="32">
        <v>6701086.999305556</v>
      </c>
      <c r="D33" s="33"/>
      <c r="E33" s="75" t="str">
        <f t="shared" si="4"/>
        <v/>
      </c>
      <c r="F33" s="37">
        <f t="shared" si="5"/>
        <v>0</v>
      </c>
      <c r="G33" s="4"/>
      <c r="H33" s="38" t="str">
        <f t="shared" si="6"/>
        <v>0</v>
      </c>
      <c r="K33" s="4"/>
      <c r="L33" s="53"/>
      <c r="P33" s="4"/>
      <c r="Q33" s="4"/>
      <c r="R33" s="4"/>
      <c r="S33" s="4"/>
      <c r="T33" s="4"/>
      <c r="U33" s="4"/>
      <c r="V33" s="4"/>
    </row>
    <row r="34">
      <c r="A34" s="69" t="s">
        <v>52</v>
      </c>
      <c r="B34" s="30" t="s">
        <v>14</v>
      </c>
      <c r="C34" s="32">
        <v>46371.99930555555</v>
      </c>
      <c r="D34" s="33"/>
      <c r="E34" s="75" t="str">
        <f t="shared" si="4"/>
        <v/>
      </c>
      <c r="F34" s="37">
        <f t="shared" si="5"/>
        <v>0</v>
      </c>
      <c r="G34" s="4"/>
      <c r="H34" s="38" t="str">
        <f t="shared" si="6"/>
        <v>0</v>
      </c>
      <c r="I34" s="4"/>
      <c r="J34" s="4"/>
      <c r="K34" s="4"/>
      <c r="L34" s="53"/>
      <c r="P34" s="4"/>
      <c r="Q34" s="4"/>
      <c r="R34" s="4"/>
      <c r="S34" s="4"/>
      <c r="T34" s="4"/>
      <c r="U34" s="4"/>
      <c r="V34" s="4"/>
    </row>
    <row r="35">
      <c r="A35" s="69" t="s">
        <v>53</v>
      </c>
      <c r="B35" s="30" t="s">
        <v>20</v>
      </c>
      <c r="C35" s="32">
        <v>46374.99930555555</v>
      </c>
      <c r="D35" s="33"/>
      <c r="E35" s="75" t="str">
        <f t="shared" si="4"/>
        <v/>
      </c>
      <c r="F35" s="37">
        <f t="shared" si="5"/>
        <v>0</v>
      </c>
      <c r="G35" s="4"/>
      <c r="H35" s="38" t="str">
        <f t="shared" si="6"/>
        <v>0</v>
      </c>
      <c r="I35" s="70"/>
      <c r="J35" s="70"/>
      <c r="K35" s="4"/>
      <c r="L35" s="71"/>
      <c r="P35" s="4"/>
      <c r="Q35" s="4"/>
      <c r="R35" s="4"/>
      <c r="S35" s="4"/>
      <c r="T35" s="4"/>
      <c r="U35" s="4"/>
      <c r="V35" s="4"/>
    </row>
    <row r="36">
      <c r="A36" s="69" t="s">
        <v>54</v>
      </c>
      <c r="B36" s="30" t="s">
        <v>55</v>
      </c>
      <c r="C36" s="32">
        <v>46377.99930555555</v>
      </c>
      <c r="D36" s="33"/>
      <c r="E36" s="75" t="str">
        <f t="shared" si="4"/>
        <v/>
      </c>
      <c r="F36" s="37">
        <f t="shared" si="5"/>
        <v>0</v>
      </c>
      <c r="G36" s="4"/>
      <c r="H36" s="38" t="str">
        <f t="shared" si="6"/>
        <v>0</v>
      </c>
      <c r="J36" s="70"/>
      <c r="K36" s="70"/>
      <c r="L36" s="72"/>
      <c r="P36" s="4"/>
      <c r="Q36" s="4"/>
      <c r="R36" s="4"/>
      <c r="S36" s="4"/>
      <c r="T36" s="4"/>
      <c r="U36" s="4"/>
      <c r="V36" s="4"/>
    </row>
    <row r="37">
      <c r="A37" s="69" t="s">
        <v>56</v>
      </c>
      <c r="B37" s="30" t="s">
        <v>55</v>
      </c>
      <c r="C37" s="32">
        <v>46378.99930555555</v>
      </c>
      <c r="D37" s="33"/>
      <c r="E37" s="75" t="str">
        <f t="shared" si="4"/>
        <v/>
      </c>
      <c r="F37" s="37">
        <f t="shared" si="5"/>
        <v>0</v>
      </c>
      <c r="G37" s="4"/>
      <c r="H37" s="38" t="str">
        <f t="shared" si="6"/>
        <v>0</v>
      </c>
      <c r="J37" s="70"/>
      <c r="K37" s="70"/>
      <c r="L37" s="72"/>
      <c r="P37" s="4"/>
      <c r="Q37" s="4"/>
      <c r="R37" s="4"/>
      <c r="S37" s="4"/>
      <c r="T37" s="4"/>
      <c r="U37" s="4"/>
      <c r="V37" s="4"/>
    </row>
    <row r="38">
      <c r="A38" s="69" t="s">
        <v>57</v>
      </c>
      <c r="B38" s="30" t="s">
        <v>55</v>
      </c>
      <c r="C38" s="32">
        <v>46378.99930555555</v>
      </c>
      <c r="D38" s="33"/>
      <c r="E38" s="75" t="str">
        <f t="shared" si="4"/>
        <v/>
      </c>
      <c r="F38" s="37">
        <f t="shared" si="5"/>
        <v>0</v>
      </c>
      <c r="G38" s="4"/>
      <c r="H38" s="38" t="str">
        <f t="shared" si="6"/>
        <v>0</v>
      </c>
      <c r="J38" s="70"/>
      <c r="K38" s="70"/>
      <c r="L38" s="72"/>
      <c r="P38" s="4"/>
      <c r="Q38" s="4"/>
      <c r="R38" s="4"/>
      <c r="S38" s="4"/>
      <c r="T38" s="4"/>
      <c r="U38" s="4"/>
      <c r="V38" s="4"/>
    </row>
    <row r="39">
      <c r="A39" s="69" t="s">
        <v>58</v>
      </c>
      <c r="B39" s="89" t="s">
        <v>65</v>
      </c>
      <c r="C39" s="32">
        <v>46378.99930555555</v>
      </c>
      <c r="D39" s="33"/>
      <c r="E39" s="75" t="str">
        <f t="shared" si="4"/>
        <v/>
      </c>
      <c r="F39" s="37">
        <f t="shared" si="5"/>
        <v>0</v>
      </c>
      <c r="G39" s="4"/>
      <c r="H39" s="38" t="str">
        <f t="shared" si="6"/>
        <v>0</v>
      </c>
      <c r="J39" s="70"/>
      <c r="K39" s="70"/>
      <c r="L39" s="72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76"/>
      <c r="F40" s="53"/>
      <c r="G40" s="4"/>
      <c r="H40" s="4"/>
      <c r="J40" s="70"/>
      <c r="K40" s="70"/>
      <c r="L40" s="72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76"/>
      <c r="F41" s="53"/>
      <c r="G41" s="4"/>
      <c r="H41" s="4"/>
      <c r="J41" s="70"/>
      <c r="K41" s="70"/>
      <c r="L41" s="72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76"/>
      <c r="F42" s="53"/>
      <c r="G42" s="4"/>
      <c r="H42" s="4"/>
      <c r="I42" s="4"/>
      <c r="J42" s="4"/>
      <c r="K42" s="4"/>
      <c r="L42" s="53"/>
      <c r="P42" s="4"/>
      <c r="Q42" s="4"/>
      <c r="R42" s="4"/>
      <c r="S42" s="4"/>
      <c r="T42" s="4"/>
      <c r="U42" s="4"/>
      <c r="V42" s="4"/>
    </row>
    <row r="43">
      <c r="C43" s="4"/>
      <c r="D43" s="4"/>
      <c r="E43" s="76"/>
      <c r="F43" s="53"/>
      <c r="G43" s="4"/>
      <c r="H43" s="4"/>
      <c r="I43" s="4"/>
      <c r="J43" s="4"/>
      <c r="K43" s="4"/>
      <c r="L43" s="53"/>
      <c r="P43" s="4"/>
      <c r="Q43" s="4"/>
      <c r="R43" s="4"/>
      <c r="S43" s="4"/>
      <c r="T43" s="4"/>
      <c r="U43" s="4"/>
      <c r="V43" s="4"/>
    </row>
    <row r="44">
      <c r="C44" s="4"/>
      <c r="D44" s="4"/>
      <c r="E44" s="76"/>
      <c r="F44" s="53"/>
      <c r="G44" s="4"/>
      <c r="H44" s="4"/>
      <c r="I44" s="4"/>
      <c r="J44" s="4"/>
      <c r="K44" s="4"/>
      <c r="L44" s="53"/>
      <c r="P44" s="4"/>
      <c r="Q44" s="4"/>
      <c r="R44" s="4"/>
      <c r="S44" s="4"/>
      <c r="T44" s="4"/>
      <c r="U44" s="4"/>
      <c r="V44" s="4"/>
    </row>
    <row r="45">
      <c r="C45" s="4"/>
      <c r="D45" s="4"/>
      <c r="E45" s="76"/>
      <c r="F45" s="53"/>
      <c r="G45" s="4"/>
      <c r="H45" s="4"/>
      <c r="I45" s="4"/>
      <c r="J45" s="4"/>
      <c r="K45" s="4"/>
      <c r="L45" s="53"/>
      <c r="P45" s="4"/>
      <c r="Q45" s="4"/>
      <c r="R45" s="4"/>
      <c r="S45" s="4"/>
      <c r="T45" s="4"/>
      <c r="U45" s="4"/>
      <c r="V45" s="4"/>
    </row>
    <row r="46">
      <c r="C46" s="4"/>
      <c r="D46" s="4"/>
      <c r="E46" s="76"/>
      <c r="F46" s="53"/>
      <c r="G46" s="4"/>
      <c r="H46" s="4"/>
      <c r="I46" s="4"/>
      <c r="J46" s="4"/>
      <c r="K46" s="4"/>
      <c r="L46" s="53"/>
      <c r="P46" s="4"/>
      <c r="Q46" s="4"/>
      <c r="R46" s="4"/>
      <c r="S46" s="4"/>
      <c r="T46" s="4"/>
      <c r="U46" s="4"/>
      <c r="V46" s="4"/>
    </row>
    <row r="47">
      <c r="C47" s="4"/>
      <c r="D47" s="4"/>
      <c r="E47" s="76"/>
      <c r="F47" s="53"/>
      <c r="G47" s="4"/>
      <c r="H47" s="4"/>
      <c r="I47" s="4"/>
      <c r="J47" s="4"/>
      <c r="K47" s="4"/>
      <c r="L47" s="53"/>
      <c r="P47" s="4"/>
      <c r="Q47" s="4"/>
      <c r="R47" s="4"/>
      <c r="S47" s="4"/>
      <c r="T47" s="4"/>
      <c r="U47" s="4"/>
      <c r="V47" s="4"/>
    </row>
    <row r="48">
      <c r="C48" s="4"/>
      <c r="D48" s="4"/>
      <c r="E48" s="76"/>
      <c r="F48" s="53"/>
      <c r="G48" s="4"/>
      <c r="H48" s="4"/>
      <c r="I48" s="4"/>
      <c r="J48" s="4"/>
      <c r="K48" s="4"/>
      <c r="L48" s="53"/>
      <c r="P48" s="4"/>
      <c r="Q48" s="4"/>
      <c r="R48" s="4"/>
      <c r="S48" s="4"/>
      <c r="T48" s="4"/>
      <c r="U48" s="4"/>
      <c r="V48" s="4"/>
    </row>
    <row r="49">
      <c r="C49" s="4"/>
      <c r="D49" s="4"/>
      <c r="E49" s="76"/>
      <c r="F49" s="53"/>
      <c r="G49" s="4"/>
      <c r="H49" s="4"/>
      <c r="I49" s="4"/>
      <c r="J49" s="4"/>
      <c r="K49" s="4"/>
      <c r="L49" s="53"/>
      <c r="P49" s="4"/>
      <c r="Q49" s="4"/>
      <c r="R49" s="4"/>
      <c r="S49" s="4"/>
      <c r="T49" s="4"/>
      <c r="U49" s="4"/>
      <c r="V49" s="4"/>
    </row>
    <row r="50">
      <c r="C50" s="4"/>
      <c r="D50" s="4"/>
      <c r="E50" s="76"/>
      <c r="F50" s="53"/>
      <c r="G50" s="4"/>
      <c r="H50" s="4"/>
      <c r="I50" s="4"/>
      <c r="J50" s="4"/>
      <c r="K50" s="4"/>
      <c r="L50" s="53"/>
      <c r="P50" s="4"/>
      <c r="Q50" s="4"/>
      <c r="R50" s="4"/>
      <c r="S50" s="4"/>
      <c r="T50" s="4"/>
      <c r="U50" s="4"/>
      <c r="V50" s="4"/>
    </row>
    <row r="51">
      <c r="C51" s="4"/>
      <c r="D51" s="4"/>
      <c r="E51" s="76"/>
      <c r="F51" s="53"/>
      <c r="G51" s="4"/>
      <c r="H51" s="4"/>
      <c r="I51" s="4"/>
      <c r="J51" s="4"/>
      <c r="K51" s="4"/>
      <c r="L51" s="53"/>
      <c r="P51" s="4"/>
      <c r="Q51" s="4"/>
      <c r="R51" s="4"/>
      <c r="S51" s="4"/>
      <c r="T51" s="4"/>
      <c r="U51" s="4"/>
      <c r="V51" s="4"/>
    </row>
    <row r="52">
      <c r="C52" s="4"/>
      <c r="D52" s="4"/>
      <c r="E52" s="76"/>
      <c r="F52" s="53"/>
      <c r="G52" s="4"/>
      <c r="H52" s="4"/>
      <c r="I52" s="4"/>
      <c r="J52" s="4"/>
      <c r="K52" s="4"/>
      <c r="L52" s="53"/>
      <c r="P52" s="4"/>
      <c r="Q52" s="4"/>
      <c r="R52" s="4"/>
      <c r="S52" s="4"/>
      <c r="T52" s="4"/>
      <c r="U52" s="4"/>
      <c r="V52" s="4"/>
    </row>
    <row r="53">
      <c r="C53" s="4"/>
      <c r="D53" s="4"/>
      <c r="E53" s="76"/>
      <c r="F53" s="53"/>
      <c r="G53" s="4"/>
      <c r="H53" s="4"/>
      <c r="I53" s="4"/>
      <c r="J53" s="4"/>
      <c r="K53" s="4"/>
      <c r="L53" s="53"/>
      <c r="P53" s="4"/>
      <c r="Q53" s="4"/>
      <c r="R53" s="4"/>
      <c r="S53" s="4"/>
      <c r="T53" s="4"/>
      <c r="U53" s="4"/>
      <c r="V53" s="4"/>
    </row>
    <row r="54">
      <c r="C54" s="4"/>
      <c r="D54" s="4"/>
      <c r="E54" s="76"/>
      <c r="F54" s="53"/>
      <c r="G54" s="4"/>
      <c r="H54" s="4"/>
      <c r="I54" s="4"/>
      <c r="J54" s="4"/>
      <c r="K54" s="4"/>
      <c r="L54" s="53"/>
      <c r="P54" s="4"/>
      <c r="Q54" s="4"/>
      <c r="R54" s="4"/>
      <c r="S54" s="4"/>
      <c r="T54" s="4"/>
      <c r="U54" s="4"/>
      <c r="V54" s="4"/>
    </row>
    <row r="55">
      <c r="C55" s="4"/>
      <c r="D55" s="4"/>
      <c r="E55" s="76"/>
      <c r="F55" s="53"/>
      <c r="G55" s="4"/>
      <c r="H55" s="4"/>
      <c r="I55" s="4"/>
      <c r="J55" s="4"/>
      <c r="K55" s="4"/>
      <c r="L55" s="53"/>
      <c r="P55" s="4"/>
      <c r="Q55" s="4"/>
      <c r="R55" s="4"/>
      <c r="S55" s="4"/>
      <c r="T55" s="4"/>
      <c r="U55" s="4"/>
      <c r="V55" s="4"/>
    </row>
    <row r="56">
      <c r="C56" s="4"/>
      <c r="D56" s="4"/>
      <c r="E56" s="76"/>
      <c r="F56" s="53"/>
      <c r="G56" s="4"/>
      <c r="H56" s="4"/>
      <c r="I56" s="4"/>
      <c r="J56" s="4"/>
      <c r="K56" s="4"/>
      <c r="L56" s="53"/>
      <c r="P56" s="4"/>
      <c r="Q56" s="4"/>
      <c r="R56" s="4"/>
      <c r="S56" s="4"/>
      <c r="T56" s="4"/>
      <c r="U56" s="4"/>
      <c r="V56" s="4"/>
    </row>
    <row r="57">
      <c r="C57" s="4"/>
      <c r="D57" s="4"/>
      <c r="E57" s="76"/>
      <c r="F57" s="53"/>
      <c r="G57" s="4"/>
      <c r="H57" s="4"/>
      <c r="I57" s="4"/>
      <c r="J57" s="4"/>
      <c r="K57" s="4"/>
      <c r="L57" s="53"/>
      <c r="P57" s="4"/>
      <c r="Q57" s="4"/>
      <c r="R57" s="4"/>
      <c r="S57" s="4"/>
      <c r="T57" s="4"/>
      <c r="U57" s="4"/>
      <c r="V57" s="4"/>
    </row>
    <row r="58">
      <c r="C58" s="4"/>
      <c r="D58" s="4"/>
      <c r="E58" s="76"/>
      <c r="F58" s="53"/>
      <c r="G58" s="4"/>
      <c r="H58" s="4"/>
      <c r="I58" s="4"/>
      <c r="J58" s="4"/>
      <c r="K58" s="4"/>
      <c r="L58" s="53"/>
      <c r="P58" s="4"/>
      <c r="Q58" s="4"/>
      <c r="R58" s="4"/>
      <c r="S58" s="4"/>
      <c r="T58" s="4"/>
      <c r="U58" s="4"/>
      <c r="V58" s="4"/>
    </row>
    <row r="59">
      <c r="C59" s="4"/>
      <c r="D59" s="4"/>
      <c r="E59" s="76"/>
      <c r="F59" s="53"/>
      <c r="G59" s="4"/>
      <c r="H59" s="4"/>
      <c r="I59" s="4"/>
      <c r="J59" s="4"/>
      <c r="K59" s="4"/>
      <c r="L59" s="53"/>
      <c r="P59" s="4"/>
      <c r="Q59" s="4"/>
      <c r="R59" s="4"/>
      <c r="S59" s="4"/>
      <c r="T59" s="4"/>
      <c r="U59" s="4"/>
      <c r="V59" s="4"/>
    </row>
    <row r="60">
      <c r="C60" s="4"/>
      <c r="D60" s="4"/>
      <c r="E60" s="76"/>
      <c r="F60" s="53"/>
      <c r="G60" s="4"/>
      <c r="H60" s="4"/>
      <c r="I60" s="4"/>
      <c r="J60" s="4"/>
      <c r="K60" s="4"/>
      <c r="L60" s="53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76"/>
      <c r="F61" s="53"/>
      <c r="G61" s="4"/>
      <c r="H61" s="4"/>
      <c r="I61" s="4"/>
      <c r="J61" s="4"/>
      <c r="K61" s="4"/>
      <c r="L61" s="53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76"/>
      <c r="F62" s="53"/>
      <c r="G62" s="4"/>
      <c r="H62" s="4"/>
      <c r="I62" s="4"/>
      <c r="J62" s="4"/>
      <c r="K62" s="4"/>
      <c r="L62" s="53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76"/>
      <c r="F63" s="53"/>
      <c r="G63" s="4"/>
      <c r="H63" s="4"/>
      <c r="I63" s="4"/>
      <c r="J63" s="4"/>
      <c r="K63" s="4"/>
      <c r="L63" s="53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76"/>
      <c r="F64" s="53"/>
      <c r="G64" s="4"/>
      <c r="H64" s="4"/>
      <c r="I64" s="4"/>
      <c r="J64" s="4"/>
      <c r="K64" s="4"/>
      <c r="L64" s="53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76"/>
      <c r="F65" s="53"/>
      <c r="G65" s="4"/>
      <c r="H65" s="4"/>
      <c r="I65" s="4"/>
      <c r="J65" s="4"/>
      <c r="K65" s="4"/>
      <c r="L65" s="53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76"/>
      <c r="F66" s="53"/>
      <c r="G66" s="4"/>
      <c r="H66" s="4"/>
      <c r="I66" s="4"/>
      <c r="J66" s="4"/>
      <c r="K66" s="4"/>
      <c r="L66" s="53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76"/>
      <c r="F67" s="53"/>
      <c r="G67" s="4"/>
      <c r="H67" s="4"/>
      <c r="I67" s="4"/>
      <c r="J67" s="4"/>
      <c r="K67" s="4"/>
      <c r="L67" s="53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76"/>
      <c r="F68" s="53"/>
      <c r="G68" s="4"/>
      <c r="H68" s="4"/>
      <c r="I68" s="4"/>
      <c r="J68" s="4"/>
      <c r="K68" s="4"/>
      <c r="L68" s="53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76"/>
      <c r="F69" s="53"/>
      <c r="G69" s="4"/>
      <c r="H69" s="4"/>
      <c r="I69" s="4"/>
      <c r="J69" s="4"/>
      <c r="K69" s="4"/>
      <c r="L69" s="53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76"/>
      <c r="F70" s="53"/>
      <c r="G70" s="4"/>
      <c r="H70" s="4"/>
      <c r="I70" s="4"/>
      <c r="J70" s="4"/>
      <c r="K70" s="4"/>
      <c r="L70" s="53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76"/>
      <c r="F71" s="53"/>
      <c r="G71" s="4"/>
      <c r="H71" s="4"/>
      <c r="I71" s="4"/>
      <c r="J71" s="4"/>
      <c r="K71" s="4"/>
      <c r="L71" s="53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76"/>
      <c r="F72" s="53"/>
      <c r="G72" s="4"/>
      <c r="H72" s="4"/>
      <c r="I72" s="4"/>
      <c r="J72" s="4"/>
      <c r="K72" s="4"/>
      <c r="L72" s="53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76"/>
      <c r="F73" s="53"/>
      <c r="G73" s="4"/>
      <c r="H73" s="4"/>
      <c r="I73" s="4"/>
      <c r="J73" s="4"/>
      <c r="K73" s="4"/>
      <c r="L73" s="53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76"/>
      <c r="F74" s="53"/>
      <c r="G74" s="4"/>
      <c r="H74" s="4"/>
      <c r="I74" s="4"/>
      <c r="J74" s="4"/>
      <c r="K74" s="4"/>
      <c r="L74" s="53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76"/>
      <c r="F75" s="53"/>
      <c r="G75" s="4"/>
      <c r="H75" s="4"/>
      <c r="I75" s="4"/>
      <c r="J75" s="4"/>
      <c r="K75" s="4"/>
      <c r="L75" s="53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76"/>
      <c r="F76" s="53"/>
      <c r="G76" s="4"/>
      <c r="H76" s="4"/>
      <c r="I76" s="4"/>
      <c r="J76" s="4"/>
      <c r="K76" s="4"/>
      <c r="L76" s="53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76"/>
      <c r="F77" s="53"/>
      <c r="G77" s="4"/>
      <c r="H77" s="4"/>
      <c r="I77" s="4"/>
      <c r="J77" s="4"/>
      <c r="K77" s="4"/>
      <c r="L77" s="53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76"/>
      <c r="F78" s="53"/>
      <c r="G78" s="4"/>
      <c r="H78" s="4"/>
      <c r="I78" s="4"/>
      <c r="J78" s="4"/>
      <c r="K78" s="4"/>
      <c r="L78" s="53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76"/>
      <c r="F79" s="53"/>
      <c r="G79" s="4"/>
      <c r="H79" s="4"/>
      <c r="I79" s="4"/>
      <c r="J79" s="4"/>
      <c r="K79" s="4"/>
      <c r="L79" s="53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76"/>
      <c r="F80" s="53"/>
      <c r="G80" s="4"/>
      <c r="H80" s="4"/>
      <c r="I80" s="4"/>
      <c r="J80" s="4"/>
      <c r="K80" s="4"/>
      <c r="L80" s="53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76"/>
      <c r="F81" s="53"/>
      <c r="G81" s="4"/>
      <c r="H81" s="4"/>
      <c r="I81" s="4"/>
      <c r="J81" s="4"/>
      <c r="K81" s="4"/>
      <c r="L81" s="53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76"/>
      <c r="F82" s="53"/>
      <c r="G82" s="4"/>
      <c r="H82" s="4"/>
      <c r="I82" s="4"/>
      <c r="J82" s="4"/>
      <c r="K82" s="4"/>
      <c r="L82" s="53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76"/>
      <c r="F83" s="53"/>
      <c r="G83" s="4"/>
      <c r="H83" s="4"/>
      <c r="I83" s="4"/>
      <c r="J83" s="4"/>
      <c r="K83" s="4"/>
      <c r="L83" s="53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76"/>
      <c r="F84" s="53"/>
      <c r="G84" s="4"/>
      <c r="H84" s="4"/>
      <c r="I84" s="4"/>
      <c r="J84" s="4"/>
      <c r="K84" s="4"/>
      <c r="L84" s="53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76"/>
      <c r="F85" s="53"/>
      <c r="G85" s="4"/>
      <c r="H85" s="4"/>
      <c r="I85" s="4"/>
      <c r="J85" s="4"/>
      <c r="K85" s="4"/>
      <c r="L85" s="53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76"/>
      <c r="F86" s="53"/>
      <c r="G86" s="4"/>
      <c r="H86" s="4"/>
      <c r="I86" s="4"/>
      <c r="J86" s="4"/>
      <c r="K86" s="4"/>
      <c r="L86" s="53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76"/>
      <c r="F87" s="53"/>
      <c r="G87" s="4"/>
      <c r="H87" s="4"/>
      <c r="I87" s="4"/>
      <c r="J87" s="4"/>
      <c r="K87" s="4"/>
      <c r="L87" s="53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76"/>
      <c r="F88" s="53"/>
      <c r="G88" s="4"/>
      <c r="H88" s="4"/>
      <c r="I88" s="4"/>
      <c r="J88" s="4"/>
      <c r="K88" s="4"/>
      <c r="L88" s="53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76"/>
      <c r="F89" s="53"/>
      <c r="G89" s="4"/>
      <c r="H89" s="4"/>
      <c r="I89" s="4"/>
      <c r="J89" s="4"/>
      <c r="K89" s="4"/>
      <c r="L89" s="53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76"/>
      <c r="F90" s="53"/>
      <c r="G90" s="4"/>
      <c r="H90" s="4"/>
      <c r="I90" s="4"/>
      <c r="J90" s="4"/>
      <c r="K90" s="4"/>
      <c r="L90" s="53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76"/>
      <c r="F91" s="53"/>
      <c r="G91" s="4"/>
      <c r="H91" s="4"/>
      <c r="I91" s="4"/>
      <c r="J91" s="4"/>
      <c r="K91" s="4"/>
      <c r="L91" s="53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76"/>
      <c r="F92" s="53"/>
      <c r="G92" s="4"/>
      <c r="H92" s="4"/>
      <c r="I92" s="4"/>
      <c r="J92" s="4"/>
      <c r="K92" s="4"/>
      <c r="L92" s="53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76"/>
      <c r="F93" s="53"/>
      <c r="G93" s="4"/>
      <c r="H93" s="4"/>
      <c r="I93" s="4"/>
      <c r="J93" s="4"/>
      <c r="K93" s="4"/>
      <c r="L93" s="53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76"/>
      <c r="F94" s="53"/>
      <c r="G94" s="4"/>
      <c r="H94" s="4"/>
      <c r="I94" s="4"/>
      <c r="J94" s="4"/>
      <c r="K94" s="4"/>
      <c r="L94" s="53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76"/>
      <c r="F95" s="53"/>
      <c r="G95" s="4"/>
      <c r="H95" s="4"/>
      <c r="I95" s="4"/>
      <c r="J95" s="4"/>
      <c r="K95" s="4"/>
      <c r="L95" s="53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76"/>
      <c r="F96" s="53"/>
      <c r="G96" s="4"/>
      <c r="H96" s="4"/>
      <c r="I96" s="4"/>
      <c r="J96" s="4"/>
      <c r="K96" s="4"/>
      <c r="L96" s="53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76"/>
      <c r="F97" s="53"/>
      <c r="G97" s="4"/>
      <c r="H97" s="4"/>
      <c r="I97" s="4"/>
      <c r="J97" s="4"/>
      <c r="K97" s="4"/>
      <c r="L97" s="53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76"/>
      <c r="F98" s="53"/>
      <c r="G98" s="4"/>
      <c r="H98" s="4"/>
      <c r="I98" s="4"/>
      <c r="J98" s="4"/>
      <c r="K98" s="4"/>
      <c r="L98" s="53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76"/>
      <c r="F99" s="53"/>
      <c r="G99" s="4"/>
      <c r="H99" s="4"/>
      <c r="I99" s="4"/>
      <c r="J99" s="4"/>
      <c r="K99" s="4"/>
      <c r="L99" s="53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76"/>
      <c r="F100" s="53"/>
      <c r="G100" s="4"/>
      <c r="H100" s="4"/>
      <c r="I100" s="4"/>
      <c r="J100" s="4"/>
      <c r="K100" s="4"/>
      <c r="L100" s="53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76"/>
      <c r="F101" s="53"/>
      <c r="G101" s="4"/>
      <c r="H101" s="4"/>
      <c r="I101" s="4"/>
      <c r="J101" s="4"/>
      <c r="K101" s="4"/>
      <c r="L101" s="53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76"/>
      <c r="F102" s="53"/>
      <c r="G102" s="4"/>
      <c r="H102" s="4"/>
      <c r="I102" s="4"/>
      <c r="J102" s="4"/>
      <c r="K102" s="4"/>
      <c r="L102" s="53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76"/>
      <c r="F103" s="53"/>
      <c r="G103" s="4"/>
      <c r="H103" s="4"/>
      <c r="I103" s="4"/>
      <c r="J103" s="4"/>
      <c r="K103" s="4"/>
      <c r="L103" s="53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76"/>
      <c r="F104" s="53"/>
      <c r="G104" s="4"/>
      <c r="H104" s="4"/>
      <c r="I104" s="4"/>
      <c r="J104" s="4"/>
      <c r="K104" s="4"/>
      <c r="L104" s="53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76"/>
      <c r="F105" s="53"/>
      <c r="G105" s="4"/>
      <c r="H105" s="4"/>
      <c r="I105" s="4"/>
      <c r="J105" s="4"/>
      <c r="K105" s="4"/>
      <c r="L105" s="53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76"/>
      <c r="F106" s="53"/>
      <c r="G106" s="4"/>
      <c r="H106" s="4"/>
      <c r="I106" s="4"/>
      <c r="J106" s="4"/>
      <c r="K106" s="4"/>
      <c r="L106" s="53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76"/>
      <c r="F107" s="53"/>
      <c r="G107" s="4"/>
      <c r="H107" s="4"/>
      <c r="I107" s="4"/>
      <c r="J107" s="4"/>
      <c r="K107" s="4"/>
      <c r="L107" s="53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76"/>
      <c r="F108" s="53"/>
      <c r="G108" s="4"/>
      <c r="H108" s="4"/>
      <c r="I108" s="4"/>
      <c r="J108" s="4"/>
      <c r="K108" s="4"/>
      <c r="L108" s="53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76"/>
      <c r="F109" s="53"/>
      <c r="G109" s="4"/>
      <c r="H109" s="4"/>
      <c r="I109" s="4"/>
      <c r="J109" s="4"/>
      <c r="K109" s="4"/>
      <c r="L109" s="53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76"/>
      <c r="F110" s="53"/>
      <c r="G110" s="4"/>
      <c r="H110" s="4"/>
      <c r="I110" s="4"/>
      <c r="J110" s="4"/>
      <c r="K110" s="4"/>
      <c r="L110" s="53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76"/>
      <c r="F111" s="53"/>
      <c r="G111" s="4"/>
      <c r="H111" s="4"/>
      <c r="I111" s="4"/>
      <c r="J111" s="4"/>
      <c r="K111" s="4"/>
      <c r="L111" s="53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76"/>
      <c r="F112" s="53"/>
      <c r="G112" s="4"/>
      <c r="H112" s="4"/>
      <c r="I112" s="4"/>
      <c r="J112" s="4"/>
      <c r="K112" s="4"/>
      <c r="L112" s="53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76"/>
      <c r="F113" s="53"/>
      <c r="G113" s="4"/>
      <c r="H113" s="4"/>
      <c r="I113" s="4"/>
      <c r="J113" s="4"/>
      <c r="K113" s="4"/>
      <c r="L113" s="53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76"/>
      <c r="F114" s="53"/>
      <c r="G114" s="4"/>
      <c r="H114" s="4"/>
      <c r="I114" s="4"/>
      <c r="J114" s="4"/>
      <c r="K114" s="4"/>
      <c r="L114" s="53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76"/>
      <c r="F115" s="53"/>
      <c r="G115" s="4"/>
      <c r="H115" s="4"/>
      <c r="I115" s="4"/>
      <c r="J115" s="4"/>
      <c r="K115" s="4"/>
      <c r="L115" s="53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76"/>
      <c r="F116" s="53"/>
      <c r="G116" s="4"/>
      <c r="H116" s="4"/>
      <c r="I116" s="4"/>
      <c r="J116" s="4"/>
      <c r="K116" s="4"/>
      <c r="L116" s="53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76"/>
      <c r="F117" s="53"/>
      <c r="G117" s="4"/>
      <c r="H117" s="4"/>
      <c r="I117" s="4"/>
      <c r="J117" s="4"/>
      <c r="K117" s="4"/>
      <c r="L117" s="53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76"/>
      <c r="F118" s="53"/>
      <c r="G118" s="4"/>
      <c r="H118" s="4"/>
      <c r="I118" s="4"/>
      <c r="J118" s="4"/>
      <c r="K118" s="4"/>
      <c r="L118" s="53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76"/>
      <c r="F119" s="53"/>
      <c r="G119" s="4"/>
      <c r="H119" s="4"/>
      <c r="I119" s="4"/>
      <c r="J119" s="4"/>
      <c r="K119" s="4"/>
      <c r="L119" s="53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76"/>
      <c r="F120" s="53"/>
      <c r="G120" s="4"/>
      <c r="H120" s="4"/>
      <c r="I120" s="4"/>
      <c r="J120" s="4"/>
      <c r="K120" s="4"/>
      <c r="L120" s="53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76"/>
      <c r="F121" s="53"/>
      <c r="G121" s="4"/>
      <c r="H121" s="4"/>
      <c r="I121" s="4"/>
      <c r="J121" s="4"/>
      <c r="K121" s="4"/>
      <c r="L121" s="53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76"/>
      <c r="F122" s="53"/>
      <c r="G122" s="4"/>
      <c r="H122" s="4"/>
      <c r="I122" s="4"/>
      <c r="J122" s="4"/>
      <c r="K122" s="4"/>
      <c r="L122" s="53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76"/>
      <c r="F123" s="53"/>
      <c r="G123" s="4"/>
      <c r="H123" s="4"/>
      <c r="I123" s="4"/>
      <c r="J123" s="4"/>
      <c r="K123" s="4"/>
      <c r="L123" s="53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76"/>
      <c r="F124" s="53"/>
      <c r="G124" s="4"/>
      <c r="H124" s="4"/>
      <c r="I124" s="4"/>
      <c r="J124" s="4"/>
      <c r="K124" s="4"/>
      <c r="L124" s="53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76"/>
      <c r="F125" s="53"/>
      <c r="G125" s="4"/>
      <c r="H125" s="4"/>
      <c r="I125" s="4"/>
      <c r="J125" s="4"/>
      <c r="K125" s="4"/>
      <c r="L125" s="53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76"/>
      <c r="F126" s="53"/>
      <c r="G126" s="4"/>
      <c r="H126" s="4"/>
      <c r="I126" s="4"/>
      <c r="J126" s="4"/>
      <c r="K126" s="4"/>
      <c r="L126" s="53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76"/>
      <c r="F127" s="53"/>
      <c r="G127" s="4"/>
      <c r="H127" s="4"/>
      <c r="I127" s="4"/>
      <c r="J127" s="4"/>
      <c r="K127" s="4"/>
      <c r="L127" s="53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76"/>
      <c r="F128" s="53"/>
      <c r="G128" s="4"/>
      <c r="H128" s="4"/>
      <c r="I128" s="4"/>
      <c r="J128" s="4"/>
      <c r="K128" s="4"/>
      <c r="L128" s="53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76"/>
      <c r="F129" s="53"/>
      <c r="G129" s="4"/>
      <c r="H129" s="4"/>
      <c r="I129" s="4"/>
      <c r="J129" s="4"/>
      <c r="K129" s="4"/>
      <c r="L129" s="53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76"/>
      <c r="F130" s="53"/>
      <c r="G130" s="4"/>
      <c r="H130" s="4"/>
      <c r="I130" s="4"/>
      <c r="J130" s="4"/>
      <c r="K130" s="4"/>
      <c r="L130" s="53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76"/>
      <c r="F131" s="53"/>
      <c r="G131" s="4"/>
      <c r="H131" s="4"/>
      <c r="I131" s="4"/>
      <c r="J131" s="4"/>
      <c r="K131" s="4"/>
      <c r="L131" s="53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76"/>
      <c r="F132" s="53"/>
      <c r="G132" s="4"/>
      <c r="H132" s="4"/>
      <c r="I132" s="4"/>
      <c r="J132" s="4"/>
      <c r="K132" s="4"/>
      <c r="L132" s="53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76"/>
      <c r="F133" s="53"/>
      <c r="G133" s="4"/>
      <c r="H133" s="4"/>
      <c r="I133" s="4"/>
      <c r="J133" s="4"/>
      <c r="K133" s="4"/>
      <c r="L133" s="53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76"/>
      <c r="F134" s="53"/>
      <c r="G134" s="4"/>
      <c r="H134" s="4"/>
      <c r="I134" s="4"/>
      <c r="J134" s="4"/>
      <c r="K134" s="4"/>
      <c r="L134" s="53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76"/>
      <c r="F135" s="53"/>
      <c r="G135" s="4"/>
      <c r="H135" s="4"/>
      <c r="I135" s="4"/>
      <c r="J135" s="4"/>
      <c r="K135" s="4"/>
      <c r="L135" s="53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76"/>
      <c r="F136" s="53"/>
      <c r="G136" s="4"/>
      <c r="H136" s="4"/>
      <c r="I136" s="4"/>
      <c r="J136" s="4"/>
      <c r="K136" s="4"/>
      <c r="L136" s="53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76"/>
      <c r="F137" s="53"/>
      <c r="G137" s="4"/>
      <c r="H137" s="4"/>
      <c r="I137" s="4"/>
      <c r="J137" s="4"/>
      <c r="K137" s="4"/>
      <c r="L137" s="53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76"/>
      <c r="F138" s="53"/>
      <c r="G138" s="4"/>
      <c r="H138" s="4"/>
      <c r="I138" s="4"/>
      <c r="J138" s="4"/>
      <c r="K138" s="4"/>
      <c r="L138" s="53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76"/>
      <c r="F139" s="53"/>
      <c r="G139" s="4"/>
      <c r="H139" s="4"/>
      <c r="I139" s="4"/>
      <c r="J139" s="4"/>
      <c r="K139" s="4"/>
      <c r="L139" s="53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76"/>
      <c r="F140" s="53"/>
      <c r="G140" s="4"/>
      <c r="H140" s="4"/>
      <c r="I140" s="4"/>
      <c r="J140" s="4"/>
      <c r="K140" s="4"/>
      <c r="L140" s="53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76"/>
      <c r="F141" s="53"/>
      <c r="G141" s="4"/>
      <c r="H141" s="4"/>
      <c r="I141" s="4"/>
      <c r="J141" s="4"/>
      <c r="K141" s="4"/>
      <c r="L141" s="53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76"/>
      <c r="F142" s="53"/>
      <c r="G142" s="4"/>
      <c r="H142" s="4"/>
      <c r="I142" s="4"/>
      <c r="J142" s="4"/>
      <c r="K142" s="4"/>
      <c r="L142" s="53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76"/>
      <c r="F143" s="53"/>
      <c r="G143" s="4"/>
      <c r="H143" s="4"/>
      <c r="I143" s="4"/>
      <c r="J143" s="4"/>
      <c r="K143" s="4"/>
      <c r="L143" s="53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76"/>
      <c r="F144" s="53"/>
      <c r="G144" s="4"/>
      <c r="H144" s="4"/>
      <c r="I144" s="4"/>
      <c r="J144" s="4"/>
      <c r="K144" s="4"/>
      <c r="L144" s="53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76"/>
      <c r="F145" s="53"/>
      <c r="G145" s="4"/>
      <c r="H145" s="4"/>
      <c r="I145" s="4"/>
      <c r="J145" s="4"/>
      <c r="K145" s="4"/>
      <c r="L145" s="53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76"/>
      <c r="F146" s="53"/>
      <c r="G146" s="4"/>
      <c r="H146" s="4"/>
      <c r="I146" s="4"/>
      <c r="J146" s="4"/>
      <c r="K146" s="4"/>
      <c r="L146" s="53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76"/>
      <c r="F147" s="53"/>
      <c r="G147" s="4"/>
      <c r="H147" s="4"/>
      <c r="I147" s="4"/>
      <c r="J147" s="4"/>
      <c r="K147" s="4"/>
      <c r="L147" s="53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76"/>
      <c r="F148" s="53"/>
      <c r="G148" s="4"/>
      <c r="H148" s="4"/>
      <c r="I148" s="4"/>
      <c r="J148" s="4"/>
      <c r="K148" s="4"/>
      <c r="L148" s="53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76"/>
      <c r="F149" s="53"/>
      <c r="G149" s="4"/>
      <c r="H149" s="4"/>
      <c r="I149" s="4"/>
      <c r="J149" s="4"/>
      <c r="K149" s="4"/>
      <c r="L149" s="53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76"/>
      <c r="F150" s="53"/>
      <c r="G150" s="4"/>
      <c r="H150" s="4"/>
      <c r="I150" s="4"/>
      <c r="J150" s="4"/>
      <c r="K150" s="4"/>
      <c r="L150" s="53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76"/>
      <c r="F151" s="53"/>
      <c r="G151" s="4"/>
      <c r="H151" s="4"/>
      <c r="I151" s="4"/>
      <c r="J151" s="4"/>
      <c r="K151" s="4"/>
      <c r="L151" s="53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76"/>
      <c r="F152" s="53"/>
      <c r="G152" s="4"/>
      <c r="H152" s="4"/>
      <c r="I152" s="4"/>
      <c r="J152" s="4"/>
      <c r="K152" s="4"/>
      <c r="L152" s="53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76"/>
      <c r="F153" s="53"/>
      <c r="G153" s="4"/>
      <c r="H153" s="4"/>
      <c r="I153" s="4"/>
      <c r="J153" s="4"/>
      <c r="K153" s="4"/>
      <c r="L153" s="53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76"/>
      <c r="F154" s="53"/>
      <c r="G154" s="4"/>
      <c r="H154" s="4"/>
      <c r="I154" s="4"/>
      <c r="J154" s="4"/>
      <c r="K154" s="4"/>
      <c r="L154" s="53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76"/>
      <c r="F155" s="53"/>
      <c r="G155" s="4"/>
      <c r="H155" s="4"/>
      <c r="I155" s="4"/>
      <c r="J155" s="4"/>
      <c r="K155" s="4"/>
      <c r="L155" s="53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76"/>
      <c r="F156" s="53"/>
      <c r="G156" s="4"/>
      <c r="H156" s="4"/>
      <c r="I156" s="4"/>
      <c r="J156" s="4"/>
      <c r="K156" s="4"/>
      <c r="L156" s="53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76"/>
      <c r="F157" s="53"/>
      <c r="G157" s="4"/>
      <c r="H157" s="4"/>
      <c r="I157" s="4"/>
      <c r="J157" s="4"/>
      <c r="K157" s="4"/>
      <c r="L157" s="53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76"/>
      <c r="F158" s="53"/>
      <c r="G158" s="4"/>
      <c r="H158" s="4"/>
      <c r="I158" s="4"/>
      <c r="J158" s="4"/>
      <c r="K158" s="4"/>
      <c r="L158" s="53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76"/>
      <c r="F159" s="53"/>
      <c r="G159" s="4"/>
      <c r="H159" s="4"/>
      <c r="I159" s="4"/>
      <c r="J159" s="4"/>
      <c r="K159" s="4"/>
      <c r="L159" s="53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76"/>
      <c r="F160" s="53"/>
      <c r="G160" s="4"/>
      <c r="H160" s="4"/>
      <c r="I160" s="4"/>
      <c r="J160" s="4"/>
      <c r="K160" s="4"/>
      <c r="L160" s="53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76"/>
      <c r="F161" s="53"/>
      <c r="G161" s="4"/>
      <c r="H161" s="4"/>
      <c r="I161" s="4"/>
      <c r="J161" s="4"/>
      <c r="K161" s="4"/>
      <c r="L161" s="53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76"/>
      <c r="F162" s="53"/>
      <c r="G162" s="4"/>
      <c r="H162" s="4"/>
      <c r="I162" s="4"/>
      <c r="J162" s="4"/>
      <c r="K162" s="4"/>
      <c r="L162" s="53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76"/>
      <c r="F163" s="53"/>
      <c r="G163" s="4"/>
      <c r="H163" s="4"/>
      <c r="I163" s="4"/>
      <c r="J163" s="4"/>
      <c r="K163" s="4"/>
      <c r="L163" s="53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76"/>
      <c r="F164" s="53"/>
      <c r="G164" s="4"/>
      <c r="H164" s="4"/>
      <c r="I164" s="4"/>
      <c r="J164" s="4"/>
      <c r="K164" s="4"/>
      <c r="L164" s="53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76"/>
      <c r="F165" s="53"/>
      <c r="G165" s="4"/>
      <c r="H165" s="4"/>
      <c r="I165" s="4"/>
      <c r="J165" s="4"/>
      <c r="K165" s="4"/>
      <c r="L165" s="53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76"/>
      <c r="F166" s="53"/>
      <c r="G166" s="4"/>
      <c r="H166" s="4"/>
      <c r="I166" s="4"/>
      <c r="J166" s="4"/>
      <c r="K166" s="4"/>
      <c r="L166" s="53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76"/>
      <c r="F167" s="53"/>
      <c r="G167" s="4"/>
      <c r="H167" s="4"/>
      <c r="I167" s="4"/>
      <c r="J167" s="4"/>
      <c r="K167" s="4"/>
      <c r="L167" s="53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76"/>
      <c r="F168" s="53"/>
      <c r="G168" s="4"/>
      <c r="H168" s="4"/>
      <c r="I168" s="4"/>
      <c r="J168" s="4"/>
      <c r="K168" s="4"/>
      <c r="L168" s="53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76"/>
      <c r="F169" s="53"/>
      <c r="G169" s="4"/>
      <c r="H169" s="4"/>
      <c r="I169" s="4"/>
      <c r="J169" s="4"/>
      <c r="K169" s="4"/>
      <c r="L169" s="53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76"/>
      <c r="F170" s="53"/>
      <c r="G170" s="4"/>
      <c r="H170" s="4"/>
      <c r="I170" s="4"/>
      <c r="J170" s="4"/>
      <c r="K170" s="4"/>
      <c r="L170" s="53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76"/>
      <c r="F171" s="53"/>
      <c r="G171" s="4"/>
      <c r="H171" s="4"/>
      <c r="I171" s="4"/>
      <c r="J171" s="4"/>
      <c r="K171" s="4"/>
      <c r="L171" s="53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76"/>
      <c r="F172" s="53"/>
      <c r="G172" s="4"/>
      <c r="H172" s="4"/>
      <c r="I172" s="4"/>
      <c r="J172" s="4"/>
      <c r="K172" s="4"/>
      <c r="L172" s="53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76"/>
      <c r="F173" s="53"/>
      <c r="G173" s="4"/>
      <c r="H173" s="4"/>
      <c r="I173" s="4"/>
      <c r="J173" s="4"/>
      <c r="K173" s="4"/>
      <c r="L173" s="53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76"/>
      <c r="F174" s="53"/>
      <c r="G174" s="4"/>
      <c r="H174" s="4"/>
      <c r="I174" s="4"/>
      <c r="J174" s="4"/>
      <c r="K174" s="4"/>
      <c r="L174" s="53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76"/>
      <c r="F175" s="53"/>
      <c r="G175" s="4"/>
      <c r="H175" s="4"/>
      <c r="I175" s="4"/>
      <c r="J175" s="4"/>
      <c r="K175" s="4"/>
      <c r="L175" s="53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76"/>
      <c r="F176" s="53"/>
      <c r="G176" s="4"/>
      <c r="H176" s="4"/>
      <c r="I176" s="4"/>
      <c r="J176" s="4"/>
      <c r="K176" s="4"/>
      <c r="L176" s="53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76"/>
      <c r="F177" s="53"/>
      <c r="G177" s="4"/>
      <c r="H177" s="4"/>
      <c r="I177" s="4"/>
      <c r="J177" s="4"/>
      <c r="K177" s="4"/>
      <c r="L177" s="53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76"/>
      <c r="F178" s="53"/>
      <c r="G178" s="4"/>
      <c r="H178" s="4"/>
      <c r="I178" s="4"/>
      <c r="J178" s="4"/>
      <c r="K178" s="4"/>
      <c r="L178" s="53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76"/>
      <c r="F179" s="53"/>
      <c r="G179" s="4"/>
      <c r="H179" s="4"/>
      <c r="I179" s="4"/>
      <c r="J179" s="4"/>
      <c r="K179" s="4"/>
      <c r="L179" s="53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76"/>
      <c r="F180" s="53"/>
      <c r="G180" s="4"/>
      <c r="H180" s="4"/>
      <c r="I180" s="4"/>
      <c r="J180" s="4"/>
      <c r="K180" s="4"/>
      <c r="L180" s="53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76"/>
      <c r="F181" s="53"/>
      <c r="G181" s="4"/>
      <c r="H181" s="4"/>
      <c r="I181" s="4"/>
      <c r="J181" s="4"/>
      <c r="K181" s="4"/>
      <c r="L181" s="53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76"/>
      <c r="F182" s="53"/>
      <c r="G182" s="4"/>
      <c r="H182" s="4"/>
      <c r="I182" s="4"/>
      <c r="J182" s="4"/>
      <c r="K182" s="4"/>
      <c r="L182" s="53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76"/>
      <c r="F183" s="53"/>
      <c r="G183" s="4"/>
      <c r="H183" s="4"/>
      <c r="I183" s="4"/>
      <c r="J183" s="4"/>
      <c r="K183" s="4"/>
      <c r="L183" s="53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76"/>
      <c r="F184" s="53"/>
      <c r="G184" s="4"/>
      <c r="H184" s="4"/>
      <c r="I184" s="4"/>
      <c r="J184" s="4"/>
      <c r="K184" s="4"/>
      <c r="L184" s="53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76"/>
      <c r="F185" s="53"/>
      <c r="G185" s="4"/>
      <c r="H185" s="4"/>
      <c r="I185" s="4"/>
      <c r="J185" s="4"/>
      <c r="K185" s="4"/>
      <c r="L185" s="53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76"/>
      <c r="F186" s="53"/>
      <c r="G186" s="4"/>
      <c r="H186" s="4"/>
      <c r="I186" s="4"/>
      <c r="J186" s="4"/>
      <c r="K186" s="4"/>
      <c r="L186" s="53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76"/>
      <c r="F187" s="53"/>
      <c r="G187" s="4"/>
      <c r="H187" s="4"/>
      <c r="I187" s="4"/>
      <c r="J187" s="4"/>
      <c r="K187" s="4"/>
      <c r="L187" s="53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76"/>
      <c r="F188" s="53"/>
      <c r="G188" s="4"/>
      <c r="H188" s="4"/>
      <c r="I188" s="4"/>
      <c r="J188" s="4"/>
      <c r="K188" s="4"/>
      <c r="L188" s="53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76"/>
      <c r="F189" s="53"/>
      <c r="G189" s="4"/>
      <c r="H189" s="4"/>
      <c r="I189" s="4"/>
      <c r="J189" s="4"/>
      <c r="K189" s="4"/>
      <c r="L189" s="53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76"/>
      <c r="F190" s="53"/>
      <c r="G190" s="4"/>
      <c r="H190" s="4"/>
      <c r="I190" s="4"/>
      <c r="J190" s="4"/>
      <c r="K190" s="4"/>
      <c r="L190" s="53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76"/>
      <c r="F191" s="53"/>
      <c r="G191" s="4"/>
      <c r="H191" s="4"/>
      <c r="I191" s="4"/>
      <c r="J191" s="4"/>
      <c r="K191" s="4"/>
      <c r="L191" s="53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76"/>
      <c r="F192" s="53"/>
      <c r="G192" s="4"/>
      <c r="H192" s="4"/>
      <c r="I192" s="4"/>
      <c r="J192" s="4"/>
      <c r="K192" s="4"/>
      <c r="L192" s="53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76"/>
      <c r="F193" s="53"/>
      <c r="G193" s="4"/>
      <c r="H193" s="4"/>
      <c r="I193" s="4"/>
      <c r="J193" s="4"/>
      <c r="K193" s="4"/>
      <c r="L193" s="53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76"/>
      <c r="F194" s="53"/>
      <c r="G194" s="4"/>
      <c r="H194" s="4"/>
      <c r="I194" s="4"/>
      <c r="J194" s="4"/>
      <c r="K194" s="4"/>
      <c r="L194" s="53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76"/>
      <c r="F195" s="53"/>
      <c r="G195" s="4"/>
      <c r="H195" s="4"/>
      <c r="I195" s="4"/>
      <c r="J195" s="4"/>
      <c r="K195" s="4"/>
      <c r="L195" s="53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76"/>
      <c r="F196" s="53"/>
      <c r="G196" s="4"/>
      <c r="H196" s="4"/>
      <c r="I196" s="4"/>
      <c r="J196" s="4"/>
      <c r="K196" s="4"/>
      <c r="L196" s="53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76"/>
      <c r="F197" s="53"/>
      <c r="G197" s="4"/>
      <c r="H197" s="4"/>
      <c r="I197" s="4"/>
      <c r="J197" s="4"/>
      <c r="K197" s="4"/>
      <c r="L197" s="53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76"/>
      <c r="F198" s="53"/>
      <c r="G198" s="4"/>
      <c r="H198" s="4"/>
      <c r="I198" s="4"/>
      <c r="J198" s="4"/>
      <c r="K198" s="4"/>
      <c r="L198" s="53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76"/>
      <c r="F199" s="53"/>
      <c r="G199" s="4"/>
      <c r="H199" s="4"/>
      <c r="I199" s="4"/>
      <c r="J199" s="4"/>
      <c r="K199" s="4"/>
      <c r="L199" s="53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76"/>
      <c r="F200" s="53"/>
      <c r="G200" s="4"/>
      <c r="H200" s="4"/>
      <c r="I200" s="4"/>
      <c r="J200" s="4"/>
      <c r="K200" s="4"/>
      <c r="L200" s="53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76"/>
      <c r="F201" s="53"/>
      <c r="G201" s="4"/>
      <c r="H201" s="4"/>
      <c r="I201" s="4"/>
      <c r="J201" s="4"/>
      <c r="K201" s="4"/>
      <c r="L201" s="53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76"/>
      <c r="F202" s="53"/>
      <c r="G202" s="4"/>
      <c r="H202" s="4"/>
      <c r="I202" s="4"/>
      <c r="J202" s="4"/>
      <c r="K202" s="4"/>
      <c r="L202" s="53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76"/>
      <c r="F203" s="53"/>
      <c r="G203" s="4"/>
      <c r="H203" s="4"/>
      <c r="I203" s="4"/>
      <c r="J203" s="4"/>
      <c r="K203" s="4"/>
      <c r="L203" s="53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76"/>
      <c r="F204" s="53"/>
      <c r="G204" s="4"/>
      <c r="H204" s="4"/>
      <c r="I204" s="4"/>
      <c r="J204" s="4"/>
      <c r="K204" s="4"/>
      <c r="L204" s="53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76"/>
      <c r="F205" s="53"/>
      <c r="G205" s="4"/>
      <c r="H205" s="4"/>
      <c r="I205" s="4"/>
      <c r="J205" s="4"/>
      <c r="K205" s="4"/>
      <c r="L205" s="53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76"/>
      <c r="F206" s="53"/>
      <c r="G206" s="4"/>
      <c r="H206" s="4"/>
      <c r="I206" s="4"/>
      <c r="J206" s="4"/>
      <c r="K206" s="4"/>
      <c r="L206" s="53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76"/>
      <c r="F207" s="53"/>
      <c r="G207" s="4"/>
      <c r="H207" s="4"/>
      <c r="I207" s="4"/>
      <c r="J207" s="4"/>
      <c r="K207" s="4"/>
      <c r="L207" s="53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76"/>
      <c r="F208" s="53"/>
      <c r="G208" s="4"/>
      <c r="H208" s="4"/>
      <c r="I208" s="4"/>
      <c r="J208" s="4"/>
      <c r="K208" s="4"/>
      <c r="L208" s="53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76"/>
      <c r="F209" s="53"/>
      <c r="G209" s="4"/>
      <c r="H209" s="4"/>
      <c r="I209" s="4"/>
      <c r="J209" s="4"/>
      <c r="K209" s="4"/>
      <c r="L209" s="53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76"/>
      <c r="F210" s="53"/>
      <c r="G210" s="4"/>
      <c r="H210" s="4"/>
      <c r="I210" s="4"/>
      <c r="J210" s="4"/>
      <c r="K210" s="4"/>
      <c r="L210" s="53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76"/>
      <c r="F211" s="53"/>
      <c r="G211" s="4"/>
      <c r="H211" s="4"/>
      <c r="I211" s="4"/>
      <c r="J211" s="4"/>
      <c r="K211" s="4"/>
      <c r="L211" s="53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76"/>
      <c r="F212" s="53"/>
      <c r="G212" s="4"/>
      <c r="H212" s="4"/>
      <c r="I212" s="4"/>
      <c r="J212" s="4"/>
      <c r="K212" s="4"/>
      <c r="L212" s="53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76"/>
      <c r="F213" s="53"/>
      <c r="G213" s="4"/>
      <c r="H213" s="4"/>
      <c r="I213" s="4"/>
      <c r="J213" s="4"/>
      <c r="K213" s="4"/>
      <c r="L213" s="53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76"/>
      <c r="F214" s="53"/>
      <c r="G214" s="4"/>
      <c r="H214" s="4"/>
      <c r="I214" s="4"/>
      <c r="J214" s="4"/>
      <c r="K214" s="4"/>
      <c r="L214" s="53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76"/>
      <c r="F215" s="53"/>
      <c r="G215" s="4"/>
      <c r="H215" s="4"/>
      <c r="I215" s="4"/>
      <c r="J215" s="4"/>
      <c r="K215" s="4"/>
      <c r="L215" s="53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76"/>
      <c r="F216" s="53"/>
      <c r="G216" s="4"/>
      <c r="H216" s="4"/>
      <c r="I216" s="4"/>
      <c r="J216" s="4"/>
      <c r="K216" s="4"/>
      <c r="L216" s="53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76"/>
      <c r="F217" s="53"/>
      <c r="G217" s="4"/>
      <c r="H217" s="4"/>
      <c r="I217" s="4"/>
      <c r="J217" s="4"/>
      <c r="K217" s="4"/>
      <c r="L217" s="53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76"/>
      <c r="F218" s="53"/>
      <c r="G218" s="4"/>
      <c r="H218" s="4"/>
      <c r="I218" s="4"/>
      <c r="J218" s="4"/>
      <c r="K218" s="4"/>
      <c r="L218" s="53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76"/>
      <c r="F219" s="53"/>
      <c r="G219" s="4"/>
      <c r="H219" s="4"/>
      <c r="I219" s="4"/>
      <c r="J219" s="4"/>
      <c r="K219" s="4"/>
      <c r="L219" s="53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76"/>
      <c r="F220" s="53"/>
      <c r="G220" s="4"/>
      <c r="H220" s="4"/>
      <c r="I220" s="4"/>
      <c r="J220" s="4"/>
      <c r="K220" s="4"/>
      <c r="L220" s="53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76"/>
      <c r="F221" s="53"/>
      <c r="G221" s="4"/>
      <c r="H221" s="4"/>
      <c r="I221" s="4"/>
      <c r="J221" s="4"/>
      <c r="K221" s="4"/>
      <c r="L221" s="53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76"/>
      <c r="F222" s="53"/>
      <c r="G222" s="4"/>
      <c r="H222" s="4"/>
      <c r="I222" s="4"/>
      <c r="J222" s="4"/>
      <c r="K222" s="4"/>
      <c r="L222" s="53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76"/>
      <c r="F223" s="53"/>
      <c r="G223" s="4"/>
      <c r="H223" s="4"/>
      <c r="I223" s="4"/>
      <c r="J223" s="4"/>
      <c r="K223" s="4"/>
      <c r="L223" s="53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76"/>
      <c r="F224" s="53"/>
      <c r="G224" s="4"/>
      <c r="H224" s="4"/>
      <c r="I224" s="4"/>
      <c r="J224" s="4"/>
      <c r="K224" s="4"/>
      <c r="L224" s="53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76"/>
      <c r="F225" s="53"/>
      <c r="G225" s="4"/>
      <c r="H225" s="4"/>
      <c r="I225" s="4"/>
      <c r="J225" s="4"/>
      <c r="K225" s="4"/>
      <c r="L225" s="53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76"/>
      <c r="F226" s="53"/>
      <c r="G226" s="4"/>
      <c r="H226" s="4"/>
      <c r="I226" s="4"/>
      <c r="J226" s="4"/>
      <c r="K226" s="4"/>
      <c r="L226" s="53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76"/>
      <c r="F227" s="53"/>
      <c r="G227" s="4"/>
      <c r="H227" s="4"/>
      <c r="I227" s="4"/>
      <c r="J227" s="4"/>
      <c r="K227" s="4"/>
      <c r="L227" s="53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76"/>
      <c r="F228" s="53"/>
      <c r="G228" s="4"/>
      <c r="H228" s="4"/>
      <c r="I228" s="4"/>
      <c r="J228" s="4"/>
      <c r="K228" s="4"/>
      <c r="L228" s="53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76"/>
      <c r="F229" s="53"/>
      <c r="G229" s="4"/>
      <c r="H229" s="4"/>
      <c r="I229" s="4"/>
      <c r="J229" s="4"/>
      <c r="K229" s="4"/>
      <c r="L229" s="53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76"/>
      <c r="F230" s="53"/>
      <c r="G230" s="4"/>
      <c r="H230" s="4"/>
      <c r="I230" s="4"/>
      <c r="J230" s="4"/>
      <c r="K230" s="4"/>
      <c r="L230" s="53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76"/>
      <c r="F231" s="53"/>
      <c r="G231" s="4"/>
      <c r="H231" s="4"/>
      <c r="I231" s="4"/>
      <c r="J231" s="4"/>
      <c r="K231" s="4"/>
      <c r="L231" s="53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76"/>
      <c r="F232" s="53"/>
      <c r="G232" s="4"/>
      <c r="H232" s="4"/>
      <c r="I232" s="4"/>
      <c r="J232" s="4"/>
      <c r="K232" s="4"/>
      <c r="L232" s="53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76"/>
      <c r="F233" s="53"/>
      <c r="G233" s="4"/>
      <c r="H233" s="4"/>
      <c r="I233" s="4"/>
      <c r="J233" s="4"/>
      <c r="K233" s="4"/>
      <c r="L233" s="53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76"/>
      <c r="F234" s="53"/>
      <c r="G234" s="4"/>
      <c r="H234" s="4"/>
      <c r="I234" s="4"/>
      <c r="J234" s="4"/>
      <c r="K234" s="4"/>
      <c r="L234" s="53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76"/>
      <c r="F235" s="53"/>
      <c r="G235" s="4"/>
      <c r="H235" s="4"/>
      <c r="I235" s="4"/>
      <c r="J235" s="4"/>
      <c r="K235" s="4"/>
      <c r="L235" s="53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76"/>
      <c r="F236" s="53"/>
      <c r="G236" s="4"/>
      <c r="H236" s="4"/>
      <c r="I236" s="4"/>
      <c r="J236" s="4"/>
      <c r="K236" s="4"/>
      <c r="L236" s="53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76"/>
      <c r="F237" s="53"/>
      <c r="G237" s="4"/>
      <c r="H237" s="4"/>
      <c r="I237" s="4"/>
      <c r="J237" s="4"/>
      <c r="K237" s="4"/>
      <c r="L237" s="53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76"/>
      <c r="F238" s="53"/>
      <c r="G238" s="4"/>
      <c r="H238" s="4"/>
      <c r="I238" s="4"/>
      <c r="J238" s="4"/>
      <c r="K238" s="4"/>
      <c r="L238" s="53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76"/>
      <c r="F239" s="53"/>
      <c r="G239" s="4"/>
      <c r="H239" s="4"/>
      <c r="I239" s="4"/>
      <c r="J239" s="4"/>
      <c r="K239" s="4"/>
      <c r="L239" s="53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76"/>
      <c r="F240" s="53"/>
      <c r="G240" s="4"/>
      <c r="H240" s="4"/>
      <c r="I240" s="4"/>
      <c r="J240" s="4"/>
      <c r="K240" s="4"/>
      <c r="L240" s="53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76"/>
      <c r="F241" s="53"/>
      <c r="G241" s="4"/>
      <c r="H241" s="4"/>
      <c r="I241" s="4"/>
      <c r="J241" s="4"/>
      <c r="K241" s="4"/>
      <c r="L241" s="53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76"/>
      <c r="F242" s="53"/>
      <c r="G242" s="4"/>
      <c r="H242" s="4"/>
      <c r="I242" s="4"/>
      <c r="J242" s="4"/>
      <c r="K242" s="4"/>
      <c r="L242" s="53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76"/>
      <c r="F243" s="53"/>
      <c r="G243" s="4"/>
      <c r="H243" s="4"/>
      <c r="I243" s="4"/>
      <c r="J243" s="4"/>
      <c r="K243" s="4"/>
      <c r="L243" s="53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76"/>
      <c r="F244" s="53"/>
      <c r="G244" s="4"/>
      <c r="H244" s="4"/>
      <c r="I244" s="4"/>
      <c r="J244" s="4"/>
      <c r="K244" s="4"/>
      <c r="L244" s="53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76"/>
      <c r="F245" s="53"/>
      <c r="G245" s="4"/>
      <c r="H245" s="4"/>
      <c r="I245" s="4"/>
      <c r="J245" s="4"/>
      <c r="K245" s="4"/>
      <c r="L245" s="53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76"/>
      <c r="F246" s="53"/>
      <c r="G246" s="4"/>
      <c r="H246" s="4"/>
      <c r="I246" s="4"/>
      <c r="J246" s="4"/>
      <c r="K246" s="4"/>
      <c r="L246" s="53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76"/>
      <c r="F247" s="53"/>
      <c r="G247" s="4"/>
      <c r="H247" s="4"/>
      <c r="I247" s="4"/>
      <c r="J247" s="4"/>
      <c r="K247" s="4"/>
      <c r="L247" s="53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76"/>
      <c r="F248" s="53"/>
      <c r="G248" s="4"/>
      <c r="H248" s="4"/>
      <c r="I248" s="4"/>
      <c r="J248" s="4"/>
      <c r="K248" s="4"/>
      <c r="L248" s="53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76"/>
      <c r="F249" s="53"/>
      <c r="G249" s="4"/>
      <c r="H249" s="4"/>
      <c r="I249" s="4"/>
      <c r="J249" s="4"/>
      <c r="K249" s="4"/>
      <c r="L249" s="53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76"/>
      <c r="F250" s="53"/>
      <c r="G250" s="4"/>
      <c r="H250" s="4"/>
      <c r="I250" s="4"/>
      <c r="J250" s="4"/>
      <c r="K250" s="4"/>
      <c r="L250" s="53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76"/>
      <c r="F251" s="53"/>
      <c r="G251" s="4"/>
      <c r="H251" s="4"/>
      <c r="I251" s="4"/>
      <c r="J251" s="4"/>
      <c r="K251" s="4"/>
      <c r="L251" s="53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76"/>
      <c r="F252" s="53"/>
      <c r="G252" s="4"/>
      <c r="H252" s="4"/>
      <c r="I252" s="4"/>
      <c r="J252" s="4"/>
      <c r="K252" s="4"/>
      <c r="L252" s="53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76"/>
      <c r="F253" s="53"/>
      <c r="G253" s="4"/>
      <c r="H253" s="4"/>
      <c r="I253" s="4"/>
      <c r="J253" s="4"/>
      <c r="K253" s="4"/>
      <c r="L253" s="53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76"/>
      <c r="F254" s="53"/>
      <c r="G254" s="4"/>
      <c r="H254" s="4"/>
      <c r="I254" s="4"/>
      <c r="J254" s="4"/>
      <c r="K254" s="4"/>
      <c r="L254" s="53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76"/>
      <c r="F255" s="53"/>
      <c r="G255" s="4"/>
      <c r="H255" s="4"/>
      <c r="I255" s="4"/>
      <c r="J255" s="4"/>
      <c r="K255" s="4"/>
      <c r="L255" s="53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76"/>
      <c r="F256" s="53"/>
      <c r="G256" s="4"/>
      <c r="H256" s="4"/>
      <c r="I256" s="4"/>
      <c r="J256" s="4"/>
      <c r="K256" s="4"/>
      <c r="L256" s="53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76"/>
      <c r="F257" s="53"/>
      <c r="G257" s="4"/>
      <c r="H257" s="4"/>
      <c r="I257" s="4"/>
      <c r="J257" s="4"/>
      <c r="K257" s="4"/>
      <c r="L257" s="53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76"/>
      <c r="F258" s="53"/>
      <c r="G258" s="4"/>
      <c r="H258" s="4"/>
      <c r="I258" s="4"/>
      <c r="J258" s="4"/>
      <c r="K258" s="4"/>
      <c r="L258" s="53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76"/>
      <c r="F259" s="53"/>
      <c r="G259" s="4"/>
      <c r="H259" s="4"/>
      <c r="I259" s="4"/>
      <c r="J259" s="4"/>
      <c r="K259" s="4"/>
      <c r="L259" s="53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76"/>
      <c r="F260" s="53"/>
      <c r="G260" s="4"/>
      <c r="H260" s="4"/>
      <c r="I260" s="4"/>
      <c r="J260" s="4"/>
      <c r="K260" s="4"/>
      <c r="L260" s="53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76"/>
      <c r="F261" s="53"/>
      <c r="G261" s="4"/>
      <c r="H261" s="4"/>
      <c r="I261" s="4"/>
      <c r="J261" s="4"/>
      <c r="K261" s="4"/>
      <c r="L261" s="53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76"/>
      <c r="F262" s="53"/>
      <c r="G262" s="4"/>
      <c r="H262" s="4"/>
      <c r="I262" s="4"/>
      <c r="J262" s="4"/>
      <c r="K262" s="4"/>
      <c r="L262" s="53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76"/>
      <c r="F263" s="53"/>
      <c r="G263" s="4"/>
      <c r="H263" s="4"/>
      <c r="I263" s="4"/>
      <c r="J263" s="4"/>
      <c r="K263" s="4"/>
      <c r="L263" s="53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76"/>
      <c r="F264" s="53"/>
      <c r="G264" s="4"/>
      <c r="H264" s="4"/>
      <c r="I264" s="4"/>
      <c r="J264" s="4"/>
      <c r="K264" s="4"/>
      <c r="L264" s="53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76"/>
      <c r="F265" s="53"/>
      <c r="G265" s="4"/>
      <c r="H265" s="4"/>
      <c r="I265" s="4"/>
      <c r="J265" s="4"/>
      <c r="K265" s="4"/>
      <c r="L265" s="53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76"/>
      <c r="F266" s="53"/>
      <c r="G266" s="4"/>
      <c r="H266" s="4"/>
      <c r="I266" s="4"/>
      <c r="J266" s="4"/>
      <c r="K266" s="4"/>
      <c r="L266" s="53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76"/>
      <c r="F267" s="53"/>
      <c r="G267" s="4"/>
      <c r="H267" s="4"/>
      <c r="I267" s="4"/>
      <c r="J267" s="4"/>
      <c r="K267" s="4"/>
      <c r="L267" s="53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76"/>
      <c r="F268" s="53"/>
      <c r="G268" s="4"/>
      <c r="H268" s="4"/>
      <c r="I268" s="4"/>
      <c r="J268" s="4"/>
      <c r="K268" s="4"/>
      <c r="L268" s="53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76"/>
      <c r="F269" s="53"/>
      <c r="G269" s="4"/>
      <c r="H269" s="4"/>
      <c r="I269" s="4"/>
      <c r="J269" s="4"/>
      <c r="K269" s="4"/>
      <c r="L269" s="53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76"/>
      <c r="F270" s="53"/>
      <c r="G270" s="4"/>
      <c r="H270" s="4"/>
      <c r="I270" s="4"/>
      <c r="J270" s="4"/>
      <c r="K270" s="4"/>
      <c r="L270" s="53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76"/>
      <c r="F271" s="53"/>
      <c r="G271" s="4"/>
      <c r="H271" s="4"/>
      <c r="I271" s="4"/>
      <c r="J271" s="4"/>
      <c r="K271" s="4"/>
      <c r="L271" s="53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76"/>
      <c r="F272" s="53"/>
      <c r="G272" s="4"/>
      <c r="H272" s="4"/>
      <c r="I272" s="4"/>
      <c r="J272" s="4"/>
      <c r="K272" s="4"/>
      <c r="L272" s="53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76"/>
      <c r="F273" s="53"/>
      <c r="G273" s="4"/>
      <c r="H273" s="4"/>
      <c r="I273" s="4"/>
      <c r="J273" s="4"/>
      <c r="K273" s="4"/>
      <c r="L273" s="53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76"/>
      <c r="F274" s="53"/>
      <c r="G274" s="4"/>
      <c r="H274" s="4"/>
      <c r="I274" s="4"/>
      <c r="J274" s="4"/>
      <c r="K274" s="4"/>
      <c r="L274" s="53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76"/>
      <c r="F275" s="53"/>
      <c r="G275" s="4"/>
      <c r="H275" s="4"/>
      <c r="I275" s="4"/>
      <c r="J275" s="4"/>
      <c r="K275" s="4"/>
      <c r="L275" s="53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76"/>
      <c r="F276" s="53"/>
      <c r="G276" s="4"/>
      <c r="H276" s="4"/>
      <c r="I276" s="4"/>
      <c r="J276" s="4"/>
      <c r="K276" s="4"/>
      <c r="L276" s="53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76"/>
      <c r="F277" s="53"/>
      <c r="G277" s="4"/>
      <c r="H277" s="4"/>
      <c r="I277" s="4"/>
      <c r="J277" s="4"/>
      <c r="K277" s="4"/>
      <c r="L277" s="53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76"/>
      <c r="F278" s="53"/>
      <c r="G278" s="4"/>
      <c r="H278" s="4"/>
      <c r="I278" s="4"/>
      <c r="J278" s="4"/>
      <c r="K278" s="4"/>
      <c r="L278" s="53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76"/>
      <c r="F279" s="53"/>
      <c r="G279" s="4"/>
      <c r="H279" s="4"/>
      <c r="I279" s="4"/>
      <c r="J279" s="4"/>
      <c r="K279" s="4"/>
      <c r="L279" s="53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76"/>
      <c r="F280" s="53"/>
      <c r="G280" s="4"/>
      <c r="H280" s="4"/>
      <c r="I280" s="4"/>
      <c r="J280" s="4"/>
      <c r="K280" s="4"/>
      <c r="L280" s="53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76"/>
      <c r="F281" s="53"/>
      <c r="G281" s="4"/>
      <c r="H281" s="4"/>
      <c r="I281" s="4"/>
      <c r="J281" s="4"/>
      <c r="K281" s="4"/>
      <c r="L281" s="53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76"/>
      <c r="F282" s="53"/>
      <c r="G282" s="4"/>
      <c r="H282" s="4"/>
      <c r="I282" s="4"/>
      <c r="J282" s="4"/>
      <c r="K282" s="4"/>
      <c r="L282" s="53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76"/>
      <c r="F283" s="53"/>
      <c r="G283" s="4"/>
      <c r="H283" s="4"/>
      <c r="I283" s="4"/>
      <c r="J283" s="4"/>
      <c r="K283" s="4"/>
      <c r="L283" s="53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76"/>
      <c r="F284" s="53"/>
      <c r="G284" s="4"/>
      <c r="H284" s="4"/>
      <c r="I284" s="4"/>
      <c r="J284" s="4"/>
      <c r="K284" s="4"/>
      <c r="L284" s="53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76"/>
      <c r="F285" s="53"/>
      <c r="G285" s="4"/>
      <c r="H285" s="4"/>
      <c r="I285" s="4"/>
      <c r="J285" s="4"/>
      <c r="K285" s="4"/>
      <c r="L285" s="53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76"/>
      <c r="F286" s="53"/>
      <c r="G286" s="4"/>
      <c r="H286" s="4"/>
      <c r="I286" s="4"/>
      <c r="J286" s="4"/>
      <c r="K286" s="4"/>
      <c r="L286" s="53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76"/>
      <c r="F287" s="53"/>
      <c r="G287" s="4"/>
      <c r="H287" s="4"/>
      <c r="I287" s="4"/>
      <c r="J287" s="4"/>
      <c r="K287" s="4"/>
      <c r="L287" s="53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76"/>
      <c r="F288" s="53"/>
      <c r="G288" s="4"/>
      <c r="H288" s="4"/>
      <c r="I288" s="4"/>
      <c r="J288" s="4"/>
      <c r="K288" s="4"/>
      <c r="L288" s="53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76"/>
      <c r="F289" s="53"/>
      <c r="G289" s="4"/>
      <c r="H289" s="4"/>
      <c r="I289" s="4"/>
      <c r="J289" s="4"/>
      <c r="K289" s="4"/>
      <c r="L289" s="53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76"/>
      <c r="F290" s="53"/>
      <c r="G290" s="4"/>
      <c r="H290" s="4"/>
      <c r="I290" s="4"/>
      <c r="J290" s="4"/>
      <c r="K290" s="4"/>
      <c r="L290" s="53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76"/>
      <c r="F291" s="53"/>
      <c r="G291" s="4"/>
      <c r="H291" s="4"/>
      <c r="I291" s="4"/>
      <c r="J291" s="4"/>
      <c r="K291" s="4"/>
      <c r="L291" s="53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76"/>
      <c r="F292" s="53"/>
      <c r="G292" s="4"/>
      <c r="H292" s="4"/>
      <c r="I292" s="4"/>
      <c r="J292" s="4"/>
      <c r="K292" s="4"/>
      <c r="L292" s="53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76"/>
      <c r="F293" s="53"/>
      <c r="G293" s="4"/>
      <c r="H293" s="4"/>
      <c r="I293" s="4"/>
      <c r="J293" s="4"/>
      <c r="K293" s="4"/>
      <c r="L293" s="53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76"/>
      <c r="F294" s="53"/>
      <c r="G294" s="4"/>
      <c r="H294" s="4"/>
      <c r="I294" s="4"/>
      <c r="J294" s="4"/>
      <c r="K294" s="4"/>
      <c r="L294" s="53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76"/>
      <c r="F295" s="53"/>
      <c r="G295" s="4"/>
      <c r="H295" s="4"/>
      <c r="I295" s="4"/>
      <c r="J295" s="4"/>
      <c r="K295" s="4"/>
      <c r="L295" s="53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76"/>
      <c r="F296" s="53"/>
      <c r="G296" s="4"/>
      <c r="H296" s="4"/>
      <c r="I296" s="4"/>
      <c r="J296" s="4"/>
      <c r="K296" s="4"/>
      <c r="L296" s="53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76"/>
      <c r="F297" s="53"/>
      <c r="G297" s="4"/>
      <c r="H297" s="4"/>
      <c r="I297" s="4"/>
      <c r="J297" s="4"/>
      <c r="K297" s="4"/>
      <c r="L297" s="53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76"/>
      <c r="F298" s="53"/>
      <c r="G298" s="4"/>
      <c r="H298" s="4"/>
      <c r="I298" s="4"/>
      <c r="J298" s="4"/>
      <c r="K298" s="4"/>
      <c r="L298" s="53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76"/>
      <c r="F299" s="53"/>
      <c r="G299" s="4"/>
      <c r="H299" s="4"/>
      <c r="I299" s="4"/>
      <c r="J299" s="4"/>
      <c r="K299" s="4"/>
      <c r="L299" s="53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76"/>
      <c r="F300" s="53"/>
      <c r="G300" s="4"/>
      <c r="H300" s="4"/>
      <c r="I300" s="4"/>
      <c r="J300" s="4"/>
      <c r="K300" s="4"/>
      <c r="L300" s="53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76"/>
      <c r="F301" s="53"/>
      <c r="G301" s="4"/>
      <c r="H301" s="4"/>
      <c r="I301" s="4"/>
      <c r="J301" s="4"/>
      <c r="K301" s="4"/>
      <c r="L301" s="53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76"/>
      <c r="F302" s="53"/>
      <c r="G302" s="4"/>
      <c r="H302" s="4"/>
      <c r="I302" s="4"/>
      <c r="J302" s="4"/>
      <c r="K302" s="4"/>
      <c r="L302" s="53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76"/>
      <c r="F303" s="53"/>
      <c r="G303" s="4"/>
      <c r="H303" s="4"/>
      <c r="I303" s="4"/>
      <c r="J303" s="4"/>
      <c r="K303" s="4"/>
      <c r="L303" s="53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76"/>
      <c r="F304" s="53"/>
      <c r="G304" s="4"/>
      <c r="H304" s="4"/>
      <c r="I304" s="4"/>
      <c r="J304" s="4"/>
      <c r="K304" s="4"/>
      <c r="L304" s="53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76"/>
      <c r="F305" s="53"/>
      <c r="G305" s="4"/>
      <c r="H305" s="4"/>
      <c r="I305" s="4"/>
      <c r="J305" s="4"/>
      <c r="K305" s="4"/>
      <c r="L305" s="53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76"/>
      <c r="F306" s="53"/>
      <c r="G306" s="4"/>
      <c r="H306" s="4"/>
      <c r="I306" s="4"/>
      <c r="J306" s="4"/>
      <c r="K306" s="4"/>
      <c r="L306" s="53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76"/>
      <c r="F307" s="53"/>
      <c r="G307" s="4"/>
      <c r="H307" s="4"/>
      <c r="I307" s="4"/>
      <c r="J307" s="4"/>
      <c r="K307" s="4"/>
      <c r="L307" s="53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76"/>
      <c r="F308" s="53"/>
      <c r="G308" s="4"/>
      <c r="H308" s="4"/>
      <c r="I308" s="4"/>
      <c r="J308" s="4"/>
      <c r="K308" s="4"/>
      <c r="L308" s="53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76"/>
      <c r="F309" s="53"/>
      <c r="G309" s="4"/>
      <c r="H309" s="4"/>
      <c r="I309" s="4"/>
      <c r="J309" s="4"/>
      <c r="K309" s="4"/>
      <c r="L309" s="53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76"/>
      <c r="F310" s="53"/>
      <c r="G310" s="4"/>
      <c r="H310" s="4"/>
      <c r="I310" s="4"/>
      <c r="J310" s="4"/>
      <c r="K310" s="4"/>
      <c r="L310" s="53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76"/>
      <c r="F311" s="53"/>
      <c r="G311" s="4"/>
      <c r="H311" s="4"/>
      <c r="I311" s="4"/>
      <c r="J311" s="4"/>
      <c r="K311" s="4"/>
      <c r="L311" s="53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76"/>
      <c r="F312" s="53"/>
      <c r="G312" s="4"/>
      <c r="H312" s="4"/>
      <c r="I312" s="4"/>
      <c r="J312" s="4"/>
      <c r="K312" s="4"/>
      <c r="L312" s="53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76"/>
      <c r="F313" s="53"/>
      <c r="G313" s="4"/>
      <c r="H313" s="4"/>
      <c r="I313" s="4"/>
      <c r="J313" s="4"/>
      <c r="K313" s="4"/>
      <c r="L313" s="53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76"/>
      <c r="F314" s="53"/>
      <c r="G314" s="4"/>
      <c r="H314" s="4"/>
      <c r="I314" s="4"/>
      <c r="J314" s="4"/>
      <c r="K314" s="4"/>
      <c r="L314" s="53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76"/>
      <c r="F315" s="53"/>
      <c r="G315" s="4"/>
      <c r="H315" s="4"/>
      <c r="I315" s="4"/>
      <c r="J315" s="4"/>
      <c r="K315" s="4"/>
      <c r="L315" s="53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76"/>
      <c r="F316" s="53"/>
      <c r="G316" s="4"/>
      <c r="H316" s="4"/>
      <c r="I316" s="4"/>
      <c r="J316" s="4"/>
      <c r="K316" s="4"/>
      <c r="L316" s="53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76"/>
      <c r="F317" s="53"/>
      <c r="G317" s="4"/>
      <c r="H317" s="4"/>
      <c r="I317" s="4"/>
      <c r="J317" s="4"/>
      <c r="K317" s="4"/>
      <c r="L317" s="53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76"/>
      <c r="F318" s="53"/>
      <c r="G318" s="4"/>
      <c r="H318" s="4"/>
      <c r="I318" s="4"/>
      <c r="J318" s="4"/>
      <c r="K318" s="4"/>
      <c r="L318" s="53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76"/>
      <c r="F319" s="53"/>
      <c r="G319" s="4"/>
      <c r="H319" s="4"/>
      <c r="I319" s="4"/>
      <c r="J319" s="4"/>
      <c r="K319" s="4"/>
      <c r="L319" s="53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76"/>
      <c r="F320" s="53"/>
      <c r="G320" s="4"/>
      <c r="H320" s="4"/>
      <c r="I320" s="4"/>
      <c r="J320" s="4"/>
      <c r="K320" s="4"/>
      <c r="L320" s="53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76"/>
      <c r="F321" s="53"/>
      <c r="G321" s="4"/>
      <c r="H321" s="4"/>
      <c r="I321" s="4"/>
      <c r="J321" s="4"/>
      <c r="K321" s="4"/>
      <c r="L321" s="53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76"/>
      <c r="F322" s="53"/>
      <c r="G322" s="4"/>
      <c r="H322" s="4"/>
      <c r="I322" s="4"/>
      <c r="J322" s="4"/>
      <c r="K322" s="4"/>
      <c r="L322" s="53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76"/>
      <c r="F323" s="53"/>
      <c r="G323" s="4"/>
      <c r="H323" s="4"/>
      <c r="I323" s="4"/>
      <c r="J323" s="4"/>
      <c r="K323" s="4"/>
      <c r="L323" s="53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76"/>
      <c r="F324" s="53"/>
      <c r="G324" s="4"/>
      <c r="H324" s="4"/>
      <c r="I324" s="4"/>
      <c r="J324" s="4"/>
      <c r="K324" s="4"/>
      <c r="L324" s="53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76"/>
      <c r="F325" s="53"/>
      <c r="G325" s="4"/>
      <c r="H325" s="4"/>
      <c r="I325" s="4"/>
      <c r="J325" s="4"/>
      <c r="K325" s="4"/>
      <c r="L325" s="53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76"/>
      <c r="F326" s="53"/>
      <c r="G326" s="4"/>
      <c r="H326" s="4"/>
      <c r="I326" s="4"/>
      <c r="J326" s="4"/>
      <c r="K326" s="4"/>
      <c r="L326" s="53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76"/>
      <c r="F327" s="53"/>
      <c r="G327" s="4"/>
      <c r="H327" s="4"/>
      <c r="I327" s="4"/>
      <c r="J327" s="4"/>
      <c r="K327" s="4"/>
      <c r="L327" s="53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76"/>
      <c r="F328" s="53"/>
      <c r="G328" s="4"/>
      <c r="H328" s="4"/>
      <c r="I328" s="4"/>
      <c r="J328" s="4"/>
      <c r="K328" s="4"/>
      <c r="L328" s="53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76"/>
      <c r="F329" s="53"/>
      <c r="G329" s="4"/>
      <c r="H329" s="4"/>
      <c r="I329" s="4"/>
      <c r="J329" s="4"/>
      <c r="K329" s="4"/>
      <c r="L329" s="53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76"/>
      <c r="F330" s="53"/>
      <c r="G330" s="4"/>
      <c r="H330" s="4"/>
      <c r="I330" s="4"/>
      <c r="J330" s="4"/>
      <c r="K330" s="4"/>
      <c r="L330" s="53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76"/>
      <c r="F331" s="53"/>
      <c r="G331" s="4"/>
      <c r="H331" s="4"/>
      <c r="I331" s="4"/>
      <c r="J331" s="4"/>
      <c r="K331" s="4"/>
      <c r="L331" s="53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76"/>
      <c r="F332" s="53"/>
      <c r="G332" s="4"/>
      <c r="H332" s="4"/>
      <c r="I332" s="4"/>
      <c r="J332" s="4"/>
      <c r="K332" s="4"/>
      <c r="L332" s="53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76"/>
      <c r="F333" s="53"/>
      <c r="G333" s="4"/>
      <c r="H333" s="4"/>
      <c r="I333" s="4"/>
      <c r="J333" s="4"/>
      <c r="K333" s="4"/>
      <c r="L333" s="53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76"/>
      <c r="F334" s="53"/>
      <c r="G334" s="4"/>
      <c r="H334" s="4"/>
      <c r="I334" s="4"/>
      <c r="J334" s="4"/>
      <c r="K334" s="4"/>
      <c r="L334" s="53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76"/>
      <c r="F335" s="53"/>
      <c r="G335" s="4"/>
      <c r="H335" s="4"/>
      <c r="I335" s="4"/>
      <c r="J335" s="4"/>
      <c r="K335" s="4"/>
      <c r="L335" s="53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76"/>
      <c r="F336" s="53"/>
      <c r="G336" s="4"/>
      <c r="H336" s="4"/>
      <c r="I336" s="4"/>
      <c r="J336" s="4"/>
      <c r="K336" s="4"/>
      <c r="L336" s="53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76"/>
      <c r="F337" s="53"/>
      <c r="G337" s="4"/>
      <c r="H337" s="4"/>
      <c r="I337" s="4"/>
      <c r="J337" s="4"/>
      <c r="K337" s="4"/>
      <c r="L337" s="53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76"/>
      <c r="F338" s="53"/>
      <c r="G338" s="4"/>
      <c r="H338" s="4"/>
      <c r="I338" s="4"/>
      <c r="J338" s="4"/>
      <c r="K338" s="4"/>
      <c r="L338" s="53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76"/>
      <c r="F339" s="53"/>
      <c r="G339" s="4"/>
      <c r="H339" s="4"/>
      <c r="I339" s="4"/>
      <c r="J339" s="4"/>
      <c r="K339" s="4"/>
      <c r="L339" s="53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76"/>
      <c r="F340" s="53"/>
      <c r="G340" s="4"/>
      <c r="H340" s="4"/>
      <c r="I340" s="4"/>
      <c r="J340" s="4"/>
      <c r="K340" s="4"/>
      <c r="L340" s="53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76"/>
      <c r="F341" s="53"/>
      <c r="G341" s="4"/>
      <c r="H341" s="4"/>
      <c r="I341" s="4"/>
      <c r="J341" s="4"/>
      <c r="K341" s="4"/>
      <c r="L341" s="53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76"/>
      <c r="F342" s="53"/>
      <c r="G342" s="4"/>
      <c r="H342" s="4"/>
      <c r="I342" s="4"/>
      <c r="J342" s="4"/>
      <c r="K342" s="4"/>
      <c r="L342" s="53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76"/>
      <c r="F343" s="53"/>
      <c r="G343" s="4"/>
      <c r="H343" s="4"/>
      <c r="I343" s="4"/>
      <c r="J343" s="4"/>
      <c r="K343" s="4"/>
      <c r="L343" s="53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76"/>
      <c r="F344" s="53"/>
      <c r="G344" s="4"/>
      <c r="H344" s="4"/>
      <c r="I344" s="4"/>
      <c r="J344" s="4"/>
      <c r="K344" s="4"/>
      <c r="L344" s="53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76"/>
      <c r="F345" s="53"/>
      <c r="G345" s="4"/>
      <c r="H345" s="4"/>
      <c r="I345" s="4"/>
      <c r="J345" s="4"/>
      <c r="K345" s="4"/>
      <c r="L345" s="53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76"/>
      <c r="F346" s="53"/>
      <c r="G346" s="4"/>
      <c r="H346" s="4"/>
      <c r="I346" s="4"/>
      <c r="J346" s="4"/>
      <c r="K346" s="4"/>
      <c r="L346" s="53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76"/>
      <c r="F347" s="53"/>
      <c r="G347" s="4"/>
      <c r="H347" s="4"/>
      <c r="I347" s="4"/>
      <c r="J347" s="4"/>
      <c r="K347" s="4"/>
      <c r="L347" s="53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76"/>
      <c r="F348" s="53"/>
      <c r="G348" s="4"/>
      <c r="H348" s="4"/>
      <c r="I348" s="4"/>
      <c r="J348" s="4"/>
      <c r="K348" s="4"/>
      <c r="L348" s="53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76"/>
      <c r="F349" s="53"/>
      <c r="G349" s="4"/>
      <c r="H349" s="4"/>
      <c r="I349" s="4"/>
      <c r="J349" s="4"/>
      <c r="K349" s="4"/>
      <c r="L349" s="53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76"/>
      <c r="F350" s="53"/>
      <c r="G350" s="4"/>
      <c r="H350" s="4"/>
      <c r="I350" s="4"/>
      <c r="J350" s="4"/>
      <c r="K350" s="4"/>
      <c r="L350" s="53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76"/>
      <c r="F351" s="53"/>
      <c r="G351" s="4"/>
      <c r="H351" s="4"/>
      <c r="I351" s="4"/>
      <c r="J351" s="4"/>
      <c r="K351" s="4"/>
      <c r="L351" s="53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76"/>
      <c r="F352" s="53"/>
      <c r="G352" s="4"/>
      <c r="H352" s="4"/>
      <c r="I352" s="4"/>
      <c r="J352" s="4"/>
      <c r="K352" s="4"/>
      <c r="L352" s="53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76"/>
      <c r="F353" s="53"/>
      <c r="G353" s="4"/>
      <c r="H353" s="4"/>
      <c r="I353" s="4"/>
      <c r="J353" s="4"/>
      <c r="K353" s="4"/>
      <c r="L353" s="53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76"/>
      <c r="F354" s="53"/>
      <c r="G354" s="4"/>
      <c r="H354" s="4"/>
      <c r="I354" s="4"/>
      <c r="J354" s="4"/>
      <c r="K354" s="4"/>
      <c r="L354" s="53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76"/>
      <c r="F355" s="53"/>
      <c r="G355" s="4"/>
      <c r="H355" s="4"/>
      <c r="I355" s="4"/>
      <c r="J355" s="4"/>
      <c r="K355" s="4"/>
      <c r="L355" s="53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76"/>
      <c r="F356" s="53"/>
      <c r="G356" s="4"/>
      <c r="H356" s="4"/>
      <c r="I356" s="4"/>
      <c r="J356" s="4"/>
      <c r="K356" s="4"/>
      <c r="L356" s="53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76"/>
      <c r="F357" s="53"/>
      <c r="G357" s="4"/>
      <c r="H357" s="4"/>
      <c r="I357" s="4"/>
      <c r="J357" s="4"/>
      <c r="K357" s="4"/>
      <c r="L357" s="53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76"/>
      <c r="F358" s="53"/>
      <c r="G358" s="4"/>
      <c r="H358" s="4"/>
      <c r="I358" s="4"/>
      <c r="J358" s="4"/>
      <c r="K358" s="4"/>
      <c r="L358" s="53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76"/>
      <c r="F359" s="53"/>
      <c r="G359" s="4"/>
      <c r="H359" s="4"/>
      <c r="I359" s="4"/>
      <c r="J359" s="4"/>
      <c r="K359" s="4"/>
      <c r="L359" s="53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76"/>
      <c r="F360" s="53"/>
      <c r="G360" s="4"/>
      <c r="H360" s="4"/>
      <c r="I360" s="4"/>
      <c r="J360" s="4"/>
      <c r="K360" s="4"/>
      <c r="L360" s="53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76"/>
      <c r="F361" s="53"/>
      <c r="G361" s="4"/>
      <c r="H361" s="4"/>
      <c r="I361" s="4"/>
      <c r="J361" s="4"/>
      <c r="K361" s="4"/>
      <c r="L361" s="53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76"/>
      <c r="F362" s="53"/>
      <c r="G362" s="4"/>
      <c r="H362" s="4"/>
      <c r="I362" s="4"/>
      <c r="J362" s="4"/>
      <c r="K362" s="4"/>
      <c r="L362" s="53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76"/>
      <c r="F363" s="53"/>
      <c r="G363" s="4"/>
      <c r="H363" s="4"/>
      <c r="I363" s="4"/>
      <c r="J363" s="4"/>
      <c r="K363" s="4"/>
      <c r="L363" s="53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76"/>
      <c r="F364" s="53"/>
      <c r="G364" s="4"/>
      <c r="H364" s="4"/>
      <c r="I364" s="4"/>
      <c r="J364" s="4"/>
      <c r="K364" s="4"/>
      <c r="L364" s="53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76"/>
      <c r="F365" s="53"/>
      <c r="G365" s="4"/>
      <c r="H365" s="4"/>
      <c r="I365" s="4"/>
      <c r="J365" s="4"/>
      <c r="K365" s="4"/>
      <c r="L365" s="53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76"/>
      <c r="F366" s="53"/>
      <c r="G366" s="4"/>
      <c r="H366" s="4"/>
      <c r="I366" s="4"/>
      <c r="J366" s="4"/>
      <c r="K366" s="4"/>
      <c r="L366" s="53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76"/>
      <c r="F367" s="53"/>
      <c r="G367" s="4"/>
      <c r="H367" s="4"/>
      <c r="I367" s="4"/>
      <c r="J367" s="4"/>
      <c r="K367" s="4"/>
      <c r="L367" s="53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76"/>
      <c r="F368" s="53"/>
      <c r="G368" s="4"/>
      <c r="H368" s="4"/>
      <c r="I368" s="4"/>
      <c r="J368" s="4"/>
      <c r="K368" s="4"/>
      <c r="L368" s="53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76"/>
      <c r="F369" s="53"/>
      <c r="G369" s="4"/>
      <c r="H369" s="4"/>
      <c r="I369" s="4"/>
      <c r="J369" s="4"/>
      <c r="K369" s="4"/>
      <c r="L369" s="53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76"/>
      <c r="F370" s="53"/>
      <c r="G370" s="4"/>
      <c r="H370" s="4"/>
      <c r="I370" s="4"/>
      <c r="J370" s="4"/>
      <c r="K370" s="4"/>
      <c r="L370" s="53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76"/>
      <c r="F371" s="53"/>
      <c r="G371" s="4"/>
      <c r="H371" s="4"/>
      <c r="I371" s="4"/>
      <c r="J371" s="4"/>
      <c r="K371" s="4"/>
      <c r="L371" s="53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76"/>
      <c r="F372" s="53"/>
      <c r="G372" s="4"/>
      <c r="H372" s="4"/>
      <c r="I372" s="4"/>
      <c r="J372" s="4"/>
      <c r="K372" s="4"/>
      <c r="L372" s="53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76"/>
      <c r="F373" s="53"/>
      <c r="G373" s="4"/>
      <c r="H373" s="4"/>
      <c r="I373" s="4"/>
      <c r="J373" s="4"/>
      <c r="K373" s="4"/>
      <c r="L373" s="53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76"/>
      <c r="F374" s="53"/>
      <c r="G374" s="4"/>
      <c r="H374" s="4"/>
      <c r="I374" s="4"/>
      <c r="J374" s="4"/>
      <c r="K374" s="4"/>
      <c r="L374" s="53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76"/>
      <c r="F375" s="53"/>
      <c r="G375" s="4"/>
      <c r="H375" s="4"/>
      <c r="I375" s="4"/>
      <c r="J375" s="4"/>
      <c r="K375" s="4"/>
      <c r="L375" s="53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76"/>
      <c r="F376" s="53"/>
      <c r="G376" s="4"/>
      <c r="H376" s="4"/>
      <c r="I376" s="4"/>
      <c r="J376" s="4"/>
      <c r="K376" s="4"/>
      <c r="L376" s="53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76"/>
      <c r="F377" s="53"/>
      <c r="G377" s="4"/>
      <c r="H377" s="4"/>
      <c r="I377" s="4"/>
      <c r="J377" s="4"/>
      <c r="K377" s="4"/>
      <c r="L377" s="53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76"/>
      <c r="F378" s="53"/>
      <c r="G378" s="4"/>
      <c r="H378" s="4"/>
      <c r="I378" s="4"/>
      <c r="J378" s="4"/>
      <c r="K378" s="4"/>
      <c r="L378" s="53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76"/>
      <c r="F379" s="53"/>
      <c r="G379" s="4"/>
      <c r="H379" s="4"/>
      <c r="I379" s="4"/>
      <c r="J379" s="4"/>
      <c r="K379" s="4"/>
      <c r="L379" s="53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76"/>
      <c r="F380" s="53"/>
      <c r="G380" s="4"/>
      <c r="H380" s="4"/>
      <c r="I380" s="4"/>
      <c r="J380" s="4"/>
      <c r="K380" s="4"/>
      <c r="L380" s="53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76"/>
      <c r="F381" s="53"/>
      <c r="G381" s="4"/>
      <c r="H381" s="4"/>
      <c r="I381" s="4"/>
      <c r="J381" s="4"/>
      <c r="K381" s="4"/>
      <c r="L381" s="53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76"/>
      <c r="F382" s="53"/>
      <c r="G382" s="4"/>
      <c r="H382" s="4"/>
      <c r="I382" s="4"/>
      <c r="J382" s="4"/>
      <c r="K382" s="4"/>
      <c r="L382" s="53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76"/>
      <c r="F383" s="53"/>
      <c r="G383" s="4"/>
      <c r="H383" s="4"/>
      <c r="I383" s="4"/>
      <c r="J383" s="4"/>
      <c r="K383" s="4"/>
      <c r="L383" s="53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76"/>
      <c r="F384" s="53"/>
      <c r="G384" s="4"/>
      <c r="H384" s="4"/>
      <c r="I384" s="4"/>
      <c r="J384" s="4"/>
      <c r="K384" s="4"/>
      <c r="L384" s="53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76"/>
      <c r="F385" s="53"/>
      <c r="G385" s="4"/>
      <c r="H385" s="4"/>
      <c r="I385" s="4"/>
      <c r="J385" s="4"/>
      <c r="K385" s="4"/>
      <c r="L385" s="53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76"/>
      <c r="F386" s="53"/>
      <c r="G386" s="4"/>
      <c r="H386" s="4"/>
      <c r="I386" s="4"/>
      <c r="J386" s="4"/>
      <c r="K386" s="4"/>
      <c r="L386" s="53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76"/>
      <c r="F387" s="53"/>
      <c r="G387" s="4"/>
      <c r="H387" s="4"/>
      <c r="I387" s="4"/>
      <c r="J387" s="4"/>
      <c r="K387" s="4"/>
      <c r="L387" s="53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76"/>
      <c r="F388" s="53"/>
      <c r="G388" s="4"/>
      <c r="H388" s="4"/>
      <c r="I388" s="4"/>
      <c r="J388" s="4"/>
      <c r="K388" s="4"/>
      <c r="L388" s="53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76"/>
      <c r="F389" s="53"/>
      <c r="G389" s="4"/>
      <c r="H389" s="4"/>
      <c r="I389" s="4"/>
      <c r="J389" s="4"/>
      <c r="K389" s="4"/>
      <c r="L389" s="53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76"/>
      <c r="F390" s="53"/>
      <c r="G390" s="4"/>
      <c r="H390" s="4"/>
      <c r="I390" s="4"/>
      <c r="J390" s="4"/>
      <c r="K390" s="4"/>
      <c r="L390" s="53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76"/>
      <c r="F391" s="53"/>
      <c r="G391" s="4"/>
      <c r="H391" s="4"/>
      <c r="I391" s="4"/>
      <c r="J391" s="4"/>
      <c r="K391" s="4"/>
      <c r="L391" s="53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76"/>
      <c r="F392" s="53"/>
      <c r="G392" s="4"/>
      <c r="H392" s="4"/>
      <c r="I392" s="4"/>
      <c r="J392" s="4"/>
      <c r="K392" s="4"/>
      <c r="L392" s="53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76"/>
      <c r="F393" s="53"/>
      <c r="G393" s="4"/>
      <c r="H393" s="4"/>
      <c r="I393" s="4"/>
      <c r="J393" s="4"/>
      <c r="K393" s="4"/>
      <c r="L393" s="53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76"/>
      <c r="F394" s="53"/>
      <c r="G394" s="4"/>
      <c r="H394" s="4"/>
      <c r="I394" s="4"/>
      <c r="J394" s="4"/>
      <c r="K394" s="4"/>
      <c r="L394" s="53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76"/>
      <c r="F395" s="53"/>
      <c r="G395" s="4"/>
      <c r="H395" s="4"/>
      <c r="I395" s="4"/>
      <c r="J395" s="4"/>
      <c r="K395" s="4"/>
      <c r="L395" s="53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76"/>
      <c r="F396" s="53"/>
      <c r="G396" s="4"/>
      <c r="H396" s="4"/>
      <c r="I396" s="4"/>
      <c r="J396" s="4"/>
      <c r="K396" s="4"/>
      <c r="L396" s="53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76"/>
      <c r="F397" s="53"/>
      <c r="G397" s="4"/>
      <c r="H397" s="4"/>
      <c r="I397" s="4"/>
      <c r="J397" s="4"/>
      <c r="K397" s="4"/>
      <c r="L397" s="53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76"/>
      <c r="F398" s="53"/>
      <c r="G398" s="4"/>
      <c r="H398" s="4"/>
      <c r="I398" s="4"/>
      <c r="J398" s="4"/>
      <c r="K398" s="4"/>
      <c r="L398" s="53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76"/>
      <c r="F399" s="53"/>
      <c r="G399" s="4"/>
      <c r="H399" s="4"/>
      <c r="I399" s="4"/>
      <c r="J399" s="4"/>
      <c r="K399" s="4"/>
      <c r="L399" s="53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76"/>
      <c r="F400" s="53"/>
      <c r="G400" s="4"/>
      <c r="H400" s="4"/>
      <c r="I400" s="4"/>
      <c r="J400" s="4"/>
      <c r="K400" s="4"/>
      <c r="L400" s="53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76"/>
      <c r="F401" s="53"/>
      <c r="G401" s="4"/>
      <c r="H401" s="4"/>
      <c r="I401" s="4"/>
      <c r="J401" s="4"/>
      <c r="K401" s="4"/>
      <c r="L401" s="53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76"/>
      <c r="F402" s="53"/>
      <c r="G402" s="4"/>
      <c r="H402" s="4"/>
      <c r="I402" s="4"/>
      <c r="J402" s="4"/>
      <c r="K402" s="4"/>
      <c r="L402" s="53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76"/>
      <c r="F403" s="53"/>
      <c r="G403" s="4"/>
      <c r="H403" s="4"/>
      <c r="I403" s="4"/>
      <c r="J403" s="4"/>
      <c r="K403" s="4"/>
      <c r="L403" s="53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76"/>
      <c r="F404" s="53"/>
      <c r="G404" s="4"/>
      <c r="H404" s="4"/>
      <c r="I404" s="4"/>
      <c r="J404" s="4"/>
      <c r="K404" s="4"/>
      <c r="L404" s="53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76"/>
      <c r="F405" s="53"/>
      <c r="G405" s="4"/>
      <c r="H405" s="4"/>
      <c r="I405" s="4"/>
      <c r="J405" s="4"/>
      <c r="K405" s="4"/>
      <c r="L405" s="53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76"/>
      <c r="F406" s="53"/>
      <c r="G406" s="4"/>
      <c r="H406" s="4"/>
      <c r="I406" s="4"/>
      <c r="J406" s="4"/>
      <c r="K406" s="4"/>
      <c r="L406" s="53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76"/>
      <c r="F407" s="53"/>
      <c r="G407" s="4"/>
      <c r="H407" s="4"/>
      <c r="I407" s="4"/>
      <c r="J407" s="4"/>
      <c r="K407" s="4"/>
      <c r="L407" s="53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76"/>
      <c r="F408" s="53"/>
      <c r="G408" s="4"/>
      <c r="H408" s="4"/>
      <c r="I408" s="4"/>
      <c r="J408" s="4"/>
      <c r="K408" s="4"/>
      <c r="L408" s="53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76"/>
      <c r="F409" s="53"/>
      <c r="G409" s="4"/>
      <c r="H409" s="4"/>
      <c r="I409" s="4"/>
      <c r="J409" s="4"/>
      <c r="K409" s="4"/>
      <c r="L409" s="53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76"/>
      <c r="F410" s="53"/>
      <c r="G410" s="4"/>
      <c r="H410" s="4"/>
      <c r="I410" s="4"/>
      <c r="J410" s="4"/>
      <c r="K410" s="4"/>
      <c r="L410" s="53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76"/>
      <c r="F411" s="53"/>
      <c r="G411" s="4"/>
      <c r="H411" s="4"/>
      <c r="I411" s="4"/>
      <c r="J411" s="4"/>
      <c r="K411" s="4"/>
      <c r="L411" s="53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76"/>
      <c r="F412" s="53"/>
      <c r="G412" s="4"/>
      <c r="H412" s="4"/>
      <c r="I412" s="4"/>
      <c r="J412" s="4"/>
      <c r="K412" s="4"/>
      <c r="L412" s="53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76"/>
      <c r="F413" s="53"/>
      <c r="G413" s="4"/>
      <c r="H413" s="4"/>
      <c r="I413" s="4"/>
      <c r="J413" s="4"/>
      <c r="K413" s="4"/>
      <c r="L413" s="53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76"/>
      <c r="F414" s="53"/>
      <c r="G414" s="4"/>
      <c r="H414" s="4"/>
      <c r="I414" s="4"/>
      <c r="J414" s="4"/>
      <c r="K414" s="4"/>
      <c r="L414" s="53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76"/>
      <c r="F415" s="53"/>
      <c r="G415" s="4"/>
      <c r="H415" s="4"/>
      <c r="I415" s="4"/>
      <c r="J415" s="4"/>
      <c r="K415" s="4"/>
      <c r="L415" s="53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76"/>
      <c r="F416" s="53"/>
      <c r="G416" s="4"/>
      <c r="H416" s="4"/>
      <c r="I416" s="4"/>
      <c r="J416" s="4"/>
      <c r="K416" s="4"/>
      <c r="L416" s="53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76"/>
      <c r="F417" s="53"/>
      <c r="G417" s="4"/>
      <c r="H417" s="4"/>
      <c r="I417" s="4"/>
      <c r="J417" s="4"/>
      <c r="K417" s="4"/>
      <c r="L417" s="53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76"/>
      <c r="F418" s="53"/>
      <c r="G418" s="4"/>
      <c r="H418" s="4"/>
      <c r="I418" s="4"/>
      <c r="J418" s="4"/>
      <c r="K418" s="4"/>
      <c r="L418" s="53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76"/>
      <c r="F419" s="53"/>
      <c r="G419" s="4"/>
      <c r="H419" s="4"/>
      <c r="I419" s="4"/>
      <c r="J419" s="4"/>
      <c r="K419" s="4"/>
      <c r="L419" s="53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76"/>
      <c r="F420" s="53"/>
      <c r="G420" s="4"/>
      <c r="H420" s="4"/>
      <c r="I420" s="4"/>
      <c r="J420" s="4"/>
      <c r="K420" s="4"/>
      <c r="L420" s="53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76"/>
      <c r="F421" s="53"/>
      <c r="G421" s="4"/>
      <c r="H421" s="4"/>
      <c r="I421" s="4"/>
      <c r="J421" s="4"/>
      <c r="K421" s="4"/>
      <c r="L421" s="53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76"/>
      <c r="F422" s="53"/>
      <c r="G422" s="4"/>
      <c r="H422" s="4"/>
      <c r="I422" s="4"/>
      <c r="J422" s="4"/>
      <c r="K422" s="4"/>
      <c r="L422" s="53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76"/>
      <c r="F423" s="53"/>
      <c r="G423" s="4"/>
      <c r="H423" s="4"/>
      <c r="I423" s="4"/>
      <c r="J423" s="4"/>
      <c r="K423" s="4"/>
      <c r="L423" s="53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76"/>
      <c r="F424" s="53"/>
      <c r="G424" s="4"/>
      <c r="H424" s="4"/>
      <c r="I424" s="4"/>
      <c r="J424" s="4"/>
      <c r="K424" s="4"/>
      <c r="L424" s="53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76"/>
      <c r="F425" s="53"/>
      <c r="G425" s="4"/>
      <c r="H425" s="4"/>
      <c r="I425" s="4"/>
      <c r="J425" s="4"/>
      <c r="K425" s="4"/>
      <c r="L425" s="53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76"/>
      <c r="F426" s="53"/>
      <c r="G426" s="4"/>
      <c r="H426" s="4"/>
      <c r="I426" s="4"/>
      <c r="J426" s="4"/>
      <c r="K426" s="4"/>
      <c r="L426" s="53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76"/>
      <c r="F427" s="53"/>
      <c r="G427" s="4"/>
      <c r="H427" s="4"/>
      <c r="I427" s="4"/>
      <c r="J427" s="4"/>
      <c r="K427" s="4"/>
      <c r="L427" s="53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76"/>
      <c r="F428" s="53"/>
      <c r="G428" s="4"/>
      <c r="H428" s="4"/>
      <c r="I428" s="4"/>
      <c r="J428" s="4"/>
      <c r="K428" s="4"/>
      <c r="L428" s="53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76"/>
      <c r="F429" s="53"/>
      <c r="G429" s="4"/>
      <c r="H429" s="4"/>
      <c r="I429" s="4"/>
      <c r="J429" s="4"/>
      <c r="K429" s="4"/>
      <c r="L429" s="53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76"/>
      <c r="F430" s="53"/>
      <c r="G430" s="4"/>
      <c r="H430" s="4"/>
      <c r="I430" s="4"/>
      <c r="J430" s="4"/>
      <c r="K430" s="4"/>
      <c r="L430" s="53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76"/>
      <c r="F431" s="53"/>
      <c r="G431" s="4"/>
      <c r="H431" s="4"/>
      <c r="I431" s="4"/>
      <c r="J431" s="4"/>
      <c r="K431" s="4"/>
      <c r="L431" s="53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76"/>
      <c r="F432" s="53"/>
      <c r="G432" s="4"/>
      <c r="H432" s="4"/>
      <c r="I432" s="4"/>
      <c r="J432" s="4"/>
      <c r="K432" s="4"/>
      <c r="L432" s="53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76"/>
      <c r="F433" s="53"/>
      <c r="G433" s="4"/>
      <c r="H433" s="4"/>
      <c r="I433" s="4"/>
      <c r="J433" s="4"/>
      <c r="K433" s="4"/>
      <c r="L433" s="53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76"/>
      <c r="F434" s="53"/>
      <c r="G434" s="4"/>
      <c r="H434" s="4"/>
      <c r="I434" s="4"/>
      <c r="J434" s="4"/>
      <c r="K434" s="4"/>
      <c r="L434" s="53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76"/>
      <c r="F435" s="53"/>
      <c r="G435" s="4"/>
      <c r="H435" s="4"/>
      <c r="I435" s="4"/>
      <c r="J435" s="4"/>
      <c r="K435" s="4"/>
      <c r="L435" s="53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76"/>
      <c r="F436" s="53"/>
      <c r="G436" s="4"/>
      <c r="H436" s="4"/>
      <c r="I436" s="4"/>
      <c r="J436" s="4"/>
      <c r="K436" s="4"/>
      <c r="L436" s="53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76"/>
      <c r="F437" s="53"/>
      <c r="G437" s="4"/>
      <c r="H437" s="4"/>
      <c r="I437" s="4"/>
      <c r="J437" s="4"/>
      <c r="K437" s="4"/>
      <c r="L437" s="53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76"/>
      <c r="F438" s="53"/>
      <c r="G438" s="4"/>
      <c r="H438" s="4"/>
      <c r="I438" s="4"/>
      <c r="J438" s="4"/>
      <c r="K438" s="4"/>
      <c r="L438" s="53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76"/>
      <c r="F439" s="53"/>
      <c r="G439" s="4"/>
      <c r="H439" s="4"/>
      <c r="I439" s="4"/>
      <c r="J439" s="4"/>
      <c r="K439" s="4"/>
      <c r="L439" s="53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76"/>
      <c r="F440" s="53"/>
      <c r="G440" s="4"/>
      <c r="H440" s="4"/>
      <c r="I440" s="4"/>
      <c r="J440" s="4"/>
      <c r="K440" s="4"/>
      <c r="L440" s="53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76"/>
      <c r="F441" s="53"/>
      <c r="G441" s="4"/>
      <c r="H441" s="4"/>
      <c r="I441" s="4"/>
      <c r="J441" s="4"/>
      <c r="K441" s="4"/>
      <c r="L441" s="53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76"/>
      <c r="F442" s="53"/>
      <c r="G442" s="4"/>
      <c r="H442" s="4"/>
      <c r="I442" s="4"/>
      <c r="J442" s="4"/>
      <c r="K442" s="4"/>
      <c r="L442" s="53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76"/>
      <c r="F443" s="53"/>
      <c r="G443" s="4"/>
      <c r="H443" s="4"/>
      <c r="I443" s="4"/>
      <c r="J443" s="4"/>
      <c r="K443" s="4"/>
      <c r="L443" s="53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76"/>
      <c r="F444" s="53"/>
      <c r="G444" s="4"/>
      <c r="H444" s="4"/>
      <c r="I444" s="4"/>
      <c r="J444" s="4"/>
      <c r="K444" s="4"/>
      <c r="L444" s="53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76"/>
      <c r="F445" s="53"/>
      <c r="G445" s="4"/>
      <c r="H445" s="4"/>
      <c r="I445" s="4"/>
      <c r="J445" s="4"/>
      <c r="K445" s="4"/>
      <c r="L445" s="53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76"/>
      <c r="F446" s="53"/>
      <c r="G446" s="4"/>
      <c r="H446" s="4"/>
      <c r="I446" s="4"/>
      <c r="J446" s="4"/>
      <c r="K446" s="4"/>
      <c r="L446" s="53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76"/>
      <c r="F447" s="53"/>
      <c r="G447" s="4"/>
      <c r="H447" s="4"/>
      <c r="I447" s="4"/>
      <c r="J447" s="4"/>
      <c r="K447" s="4"/>
      <c r="L447" s="53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76"/>
      <c r="F448" s="53"/>
      <c r="G448" s="4"/>
      <c r="H448" s="4"/>
      <c r="I448" s="4"/>
      <c r="J448" s="4"/>
      <c r="K448" s="4"/>
      <c r="L448" s="53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76"/>
      <c r="F449" s="53"/>
      <c r="G449" s="4"/>
      <c r="H449" s="4"/>
      <c r="I449" s="4"/>
      <c r="J449" s="4"/>
      <c r="K449" s="4"/>
      <c r="L449" s="53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76"/>
      <c r="F450" s="53"/>
      <c r="G450" s="4"/>
      <c r="H450" s="4"/>
      <c r="I450" s="4"/>
      <c r="J450" s="4"/>
      <c r="K450" s="4"/>
      <c r="L450" s="53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76"/>
      <c r="F451" s="53"/>
      <c r="G451" s="4"/>
      <c r="H451" s="4"/>
      <c r="I451" s="4"/>
      <c r="J451" s="4"/>
      <c r="K451" s="4"/>
      <c r="L451" s="53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76"/>
      <c r="F452" s="53"/>
      <c r="G452" s="4"/>
      <c r="H452" s="4"/>
      <c r="I452" s="4"/>
      <c r="J452" s="4"/>
      <c r="K452" s="4"/>
      <c r="L452" s="53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76"/>
      <c r="F453" s="53"/>
      <c r="G453" s="4"/>
      <c r="H453" s="4"/>
      <c r="I453" s="4"/>
      <c r="J453" s="4"/>
      <c r="K453" s="4"/>
      <c r="L453" s="53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76"/>
      <c r="F454" s="53"/>
      <c r="G454" s="4"/>
      <c r="H454" s="4"/>
      <c r="I454" s="4"/>
      <c r="J454" s="4"/>
      <c r="K454" s="4"/>
      <c r="L454" s="53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76"/>
      <c r="F455" s="53"/>
      <c r="G455" s="4"/>
      <c r="H455" s="4"/>
      <c r="I455" s="4"/>
      <c r="J455" s="4"/>
      <c r="K455" s="4"/>
      <c r="L455" s="53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76"/>
      <c r="F456" s="53"/>
      <c r="G456" s="4"/>
      <c r="H456" s="4"/>
      <c r="I456" s="4"/>
      <c r="J456" s="4"/>
      <c r="K456" s="4"/>
      <c r="L456" s="53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76"/>
      <c r="F457" s="53"/>
      <c r="G457" s="4"/>
      <c r="H457" s="4"/>
      <c r="I457" s="4"/>
      <c r="J457" s="4"/>
      <c r="K457" s="4"/>
      <c r="L457" s="53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76"/>
      <c r="F458" s="53"/>
      <c r="G458" s="4"/>
      <c r="H458" s="4"/>
      <c r="I458" s="4"/>
      <c r="J458" s="4"/>
      <c r="K458" s="4"/>
      <c r="L458" s="53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76"/>
      <c r="F459" s="53"/>
      <c r="G459" s="4"/>
      <c r="H459" s="4"/>
      <c r="I459" s="4"/>
      <c r="J459" s="4"/>
      <c r="K459" s="4"/>
      <c r="L459" s="53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76"/>
      <c r="F460" s="53"/>
      <c r="G460" s="4"/>
      <c r="H460" s="4"/>
      <c r="I460" s="4"/>
      <c r="J460" s="4"/>
      <c r="K460" s="4"/>
      <c r="L460" s="53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76"/>
      <c r="F461" s="53"/>
      <c r="G461" s="4"/>
      <c r="H461" s="4"/>
      <c r="I461" s="4"/>
      <c r="J461" s="4"/>
      <c r="K461" s="4"/>
      <c r="L461" s="53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76"/>
      <c r="F462" s="53"/>
      <c r="G462" s="4"/>
      <c r="H462" s="4"/>
      <c r="I462" s="4"/>
      <c r="J462" s="4"/>
      <c r="K462" s="4"/>
      <c r="L462" s="53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76"/>
      <c r="F463" s="53"/>
      <c r="G463" s="4"/>
      <c r="H463" s="4"/>
      <c r="I463" s="4"/>
      <c r="J463" s="4"/>
      <c r="K463" s="4"/>
      <c r="L463" s="53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76"/>
      <c r="F464" s="53"/>
      <c r="G464" s="4"/>
      <c r="H464" s="4"/>
      <c r="I464" s="4"/>
      <c r="J464" s="4"/>
      <c r="K464" s="4"/>
      <c r="L464" s="53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76"/>
      <c r="F465" s="53"/>
      <c r="G465" s="4"/>
      <c r="H465" s="4"/>
      <c r="I465" s="4"/>
      <c r="J465" s="4"/>
      <c r="K465" s="4"/>
      <c r="L465" s="53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76"/>
      <c r="F466" s="53"/>
      <c r="G466" s="4"/>
      <c r="H466" s="4"/>
      <c r="I466" s="4"/>
      <c r="J466" s="4"/>
      <c r="K466" s="4"/>
      <c r="L466" s="53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76"/>
      <c r="F467" s="53"/>
      <c r="G467" s="4"/>
      <c r="H467" s="4"/>
      <c r="I467" s="4"/>
      <c r="J467" s="4"/>
      <c r="K467" s="4"/>
      <c r="L467" s="53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76"/>
      <c r="F468" s="53"/>
      <c r="G468" s="4"/>
      <c r="H468" s="4"/>
      <c r="I468" s="4"/>
      <c r="J468" s="4"/>
      <c r="K468" s="4"/>
      <c r="L468" s="53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76"/>
      <c r="F469" s="53"/>
      <c r="G469" s="4"/>
      <c r="H469" s="4"/>
      <c r="I469" s="4"/>
      <c r="J469" s="4"/>
      <c r="K469" s="4"/>
      <c r="L469" s="53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76"/>
      <c r="F470" s="53"/>
      <c r="G470" s="4"/>
      <c r="H470" s="4"/>
      <c r="I470" s="4"/>
      <c r="J470" s="4"/>
      <c r="K470" s="4"/>
      <c r="L470" s="53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76"/>
      <c r="F471" s="53"/>
      <c r="G471" s="4"/>
      <c r="H471" s="4"/>
      <c r="I471" s="4"/>
      <c r="J471" s="4"/>
      <c r="K471" s="4"/>
      <c r="L471" s="53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76"/>
      <c r="F472" s="53"/>
      <c r="G472" s="4"/>
      <c r="H472" s="4"/>
      <c r="I472" s="4"/>
      <c r="J472" s="4"/>
      <c r="K472" s="4"/>
      <c r="L472" s="53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76"/>
      <c r="F473" s="53"/>
      <c r="G473" s="4"/>
      <c r="H473" s="4"/>
      <c r="I473" s="4"/>
      <c r="J473" s="4"/>
      <c r="K473" s="4"/>
      <c r="L473" s="53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76"/>
      <c r="F474" s="53"/>
      <c r="G474" s="4"/>
      <c r="H474" s="4"/>
      <c r="I474" s="4"/>
      <c r="J474" s="4"/>
      <c r="K474" s="4"/>
      <c r="L474" s="53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76"/>
      <c r="F475" s="53"/>
      <c r="G475" s="4"/>
      <c r="H475" s="4"/>
      <c r="I475" s="4"/>
      <c r="J475" s="4"/>
      <c r="K475" s="4"/>
      <c r="L475" s="53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76"/>
      <c r="F476" s="53"/>
      <c r="G476" s="4"/>
      <c r="H476" s="4"/>
      <c r="I476" s="4"/>
      <c r="J476" s="4"/>
      <c r="K476" s="4"/>
      <c r="L476" s="53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76"/>
      <c r="F477" s="53"/>
      <c r="G477" s="4"/>
      <c r="H477" s="4"/>
      <c r="I477" s="4"/>
      <c r="J477" s="4"/>
      <c r="K477" s="4"/>
      <c r="L477" s="53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76"/>
      <c r="F478" s="53"/>
      <c r="G478" s="4"/>
      <c r="H478" s="4"/>
      <c r="I478" s="4"/>
      <c r="J478" s="4"/>
      <c r="K478" s="4"/>
      <c r="L478" s="53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76"/>
      <c r="F479" s="53"/>
      <c r="G479" s="4"/>
      <c r="H479" s="4"/>
      <c r="I479" s="4"/>
      <c r="J479" s="4"/>
      <c r="K479" s="4"/>
      <c r="L479" s="53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76"/>
      <c r="F480" s="53"/>
      <c r="G480" s="4"/>
      <c r="H480" s="4"/>
      <c r="I480" s="4"/>
      <c r="J480" s="4"/>
      <c r="K480" s="4"/>
      <c r="L480" s="53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76"/>
      <c r="F481" s="53"/>
      <c r="G481" s="4"/>
      <c r="H481" s="4"/>
      <c r="I481" s="4"/>
      <c r="J481" s="4"/>
      <c r="K481" s="4"/>
      <c r="L481" s="53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76"/>
      <c r="F482" s="53"/>
      <c r="G482" s="4"/>
      <c r="H482" s="4"/>
      <c r="I482" s="4"/>
      <c r="J482" s="4"/>
      <c r="K482" s="4"/>
      <c r="L482" s="53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76"/>
      <c r="F483" s="53"/>
      <c r="G483" s="4"/>
      <c r="H483" s="4"/>
      <c r="I483" s="4"/>
      <c r="J483" s="4"/>
      <c r="K483" s="4"/>
      <c r="L483" s="53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76"/>
      <c r="F484" s="53"/>
      <c r="G484" s="4"/>
      <c r="H484" s="4"/>
      <c r="I484" s="4"/>
      <c r="J484" s="4"/>
      <c r="K484" s="4"/>
      <c r="L484" s="53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76"/>
      <c r="F485" s="53"/>
      <c r="G485" s="4"/>
      <c r="H485" s="4"/>
      <c r="I485" s="4"/>
      <c r="J485" s="4"/>
      <c r="K485" s="4"/>
      <c r="L485" s="53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76"/>
      <c r="F486" s="53"/>
      <c r="G486" s="4"/>
      <c r="H486" s="4"/>
      <c r="I486" s="4"/>
      <c r="J486" s="4"/>
      <c r="K486" s="4"/>
      <c r="L486" s="53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76"/>
      <c r="F487" s="53"/>
      <c r="G487" s="4"/>
      <c r="H487" s="4"/>
      <c r="I487" s="4"/>
      <c r="J487" s="4"/>
      <c r="K487" s="4"/>
      <c r="L487" s="53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76"/>
      <c r="F488" s="53"/>
      <c r="G488" s="4"/>
      <c r="H488" s="4"/>
      <c r="I488" s="4"/>
      <c r="J488" s="4"/>
      <c r="K488" s="4"/>
      <c r="L488" s="53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76"/>
      <c r="F489" s="53"/>
      <c r="G489" s="4"/>
      <c r="H489" s="4"/>
      <c r="I489" s="4"/>
      <c r="J489" s="4"/>
      <c r="K489" s="4"/>
      <c r="L489" s="53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76"/>
      <c r="F490" s="53"/>
      <c r="G490" s="4"/>
      <c r="H490" s="4"/>
      <c r="I490" s="4"/>
      <c r="J490" s="4"/>
      <c r="K490" s="4"/>
      <c r="L490" s="53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76"/>
      <c r="F491" s="53"/>
      <c r="G491" s="4"/>
      <c r="H491" s="4"/>
      <c r="I491" s="4"/>
      <c r="J491" s="4"/>
      <c r="K491" s="4"/>
      <c r="L491" s="53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76"/>
      <c r="F492" s="53"/>
      <c r="G492" s="4"/>
      <c r="H492" s="4"/>
      <c r="I492" s="4"/>
      <c r="J492" s="4"/>
      <c r="K492" s="4"/>
      <c r="L492" s="53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76"/>
      <c r="F493" s="53"/>
      <c r="G493" s="4"/>
      <c r="H493" s="4"/>
      <c r="I493" s="4"/>
      <c r="J493" s="4"/>
      <c r="K493" s="4"/>
      <c r="L493" s="53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76"/>
      <c r="F494" s="53"/>
      <c r="G494" s="4"/>
      <c r="H494" s="4"/>
      <c r="I494" s="4"/>
      <c r="J494" s="4"/>
      <c r="K494" s="4"/>
      <c r="L494" s="53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76"/>
      <c r="F495" s="53"/>
      <c r="G495" s="4"/>
      <c r="H495" s="4"/>
      <c r="I495" s="4"/>
      <c r="J495" s="4"/>
      <c r="K495" s="4"/>
      <c r="L495" s="53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76"/>
      <c r="F496" s="53"/>
      <c r="G496" s="4"/>
      <c r="H496" s="4"/>
      <c r="I496" s="4"/>
      <c r="J496" s="4"/>
      <c r="K496" s="4"/>
      <c r="L496" s="53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76"/>
      <c r="F497" s="53"/>
      <c r="G497" s="4"/>
      <c r="H497" s="4"/>
      <c r="I497" s="4"/>
      <c r="J497" s="4"/>
      <c r="K497" s="4"/>
      <c r="L497" s="53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76"/>
      <c r="F498" s="53"/>
      <c r="G498" s="4"/>
      <c r="H498" s="4"/>
      <c r="I498" s="4"/>
      <c r="J498" s="4"/>
      <c r="K498" s="4"/>
      <c r="L498" s="53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76"/>
      <c r="F499" s="53"/>
      <c r="G499" s="4"/>
      <c r="H499" s="4"/>
      <c r="I499" s="4"/>
      <c r="J499" s="4"/>
      <c r="K499" s="4"/>
      <c r="L499" s="53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76"/>
      <c r="F500" s="53"/>
      <c r="G500" s="4"/>
      <c r="H500" s="4"/>
      <c r="I500" s="4"/>
      <c r="J500" s="4"/>
      <c r="K500" s="4"/>
      <c r="L500" s="53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76"/>
      <c r="F501" s="53"/>
      <c r="G501" s="4"/>
      <c r="H501" s="4"/>
      <c r="I501" s="4"/>
      <c r="J501" s="4"/>
      <c r="K501" s="4"/>
      <c r="L501" s="53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76"/>
      <c r="F502" s="53"/>
      <c r="G502" s="4"/>
      <c r="H502" s="4"/>
      <c r="I502" s="4"/>
      <c r="J502" s="4"/>
      <c r="K502" s="4"/>
      <c r="L502" s="53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76"/>
      <c r="F503" s="53"/>
      <c r="G503" s="4"/>
      <c r="H503" s="4"/>
      <c r="I503" s="4"/>
      <c r="J503" s="4"/>
      <c r="K503" s="4"/>
      <c r="L503" s="53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76"/>
      <c r="F504" s="53"/>
      <c r="G504" s="4"/>
      <c r="H504" s="4"/>
      <c r="I504" s="4"/>
      <c r="J504" s="4"/>
      <c r="K504" s="4"/>
      <c r="L504" s="53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76"/>
      <c r="F505" s="53"/>
      <c r="G505" s="4"/>
      <c r="H505" s="4"/>
      <c r="I505" s="4"/>
      <c r="J505" s="4"/>
      <c r="K505" s="4"/>
      <c r="L505" s="53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76"/>
      <c r="F506" s="53"/>
      <c r="G506" s="4"/>
      <c r="H506" s="4"/>
      <c r="I506" s="4"/>
      <c r="J506" s="4"/>
      <c r="K506" s="4"/>
      <c r="L506" s="53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76"/>
      <c r="F507" s="53"/>
      <c r="G507" s="4"/>
      <c r="H507" s="4"/>
      <c r="I507" s="4"/>
      <c r="J507" s="4"/>
      <c r="K507" s="4"/>
      <c r="L507" s="53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76"/>
      <c r="F508" s="53"/>
      <c r="G508" s="4"/>
      <c r="H508" s="4"/>
      <c r="I508" s="4"/>
      <c r="J508" s="4"/>
      <c r="K508" s="4"/>
      <c r="L508" s="53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76"/>
      <c r="F509" s="53"/>
      <c r="G509" s="4"/>
      <c r="H509" s="4"/>
      <c r="I509" s="4"/>
      <c r="J509" s="4"/>
      <c r="K509" s="4"/>
      <c r="L509" s="53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76"/>
      <c r="F510" s="53"/>
      <c r="G510" s="4"/>
      <c r="H510" s="4"/>
      <c r="I510" s="4"/>
      <c r="J510" s="4"/>
      <c r="K510" s="4"/>
      <c r="L510" s="53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76"/>
      <c r="F511" s="53"/>
      <c r="G511" s="4"/>
      <c r="H511" s="4"/>
      <c r="I511" s="4"/>
      <c r="J511" s="4"/>
      <c r="K511" s="4"/>
      <c r="L511" s="53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76"/>
      <c r="F512" s="53"/>
      <c r="G512" s="4"/>
      <c r="H512" s="4"/>
      <c r="I512" s="4"/>
      <c r="J512" s="4"/>
      <c r="K512" s="4"/>
      <c r="L512" s="53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76"/>
      <c r="F513" s="53"/>
      <c r="G513" s="4"/>
      <c r="H513" s="4"/>
      <c r="I513" s="4"/>
      <c r="J513" s="4"/>
      <c r="K513" s="4"/>
      <c r="L513" s="53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76"/>
      <c r="F514" s="53"/>
      <c r="G514" s="4"/>
      <c r="H514" s="4"/>
      <c r="I514" s="4"/>
      <c r="J514" s="4"/>
      <c r="K514" s="4"/>
      <c r="L514" s="53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76"/>
      <c r="F515" s="53"/>
      <c r="G515" s="4"/>
      <c r="H515" s="4"/>
      <c r="I515" s="4"/>
      <c r="J515" s="4"/>
      <c r="K515" s="4"/>
      <c r="L515" s="53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76"/>
      <c r="F516" s="53"/>
      <c r="G516" s="4"/>
      <c r="H516" s="4"/>
      <c r="I516" s="4"/>
      <c r="J516" s="4"/>
      <c r="K516" s="4"/>
      <c r="L516" s="53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76"/>
      <c r="F517" s="53"/>
      <c r="G517" s="4"/>
      <c r="H517" s="4"/>
      <c r="I517" s="4"/>
      <c r="J517" s="4"/>
      <c r="K517" s="4"/>
      <c r="L517" s="53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76"/>
      <c r="F518" s="53"/>
      <c r="G518" s="4"/>
      <c r="H518" s="4"/>
      <c r="I518" s="4"/>
      <c r="J518" s="4"/>
      <c r="K518" s="4"/>
      <c r="L518" s="53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76"/>
      <c r="F519" s="53"/>
      <c r="G519" s="4"/>
      <c r="H519" s="4"/>
      <c r="I519" s="4"/>
      <c r="J519" s="4"/>
      <c r="K519" s="4"/>
      <c r="L519" s="53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76"/>
      <c r="F520" s="53"/>
      <c r="G520" s="4"/>
      <c r="H520" s="4"/>
      <c r="I520" s="4"/>
      <c r="J520" s="4"/>
      <c r="K520" s="4"/>
      <c r="L520" s="53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76"/>
      <c r="F521" s="53"/>
      <c r="G521" s="4"/>
      <c r="H521" s="4"/>
      <c r="I521" s="4"/>
      <c r="J521" s="4"/>
      <c r="K521" s="4"/>
      <c r="L521" s="53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76"/>
      <c r="F522" s="53"/>
      <c r="G522" s="4"/>
      <c r="H522" s="4"/>
      <c r="I522" s="4"/>
      <c r="J522" s="4"/>
      <c r="K522" s="4"/>
      <c r="L522" s="53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76"/>
      <c r="F523" s="53"/>
      <c r="G523" s="4"/>
      <c r="H523" s="4"/>
      <c r="I523" s="4"/>
      <c r="J523" s="4"/>
      <c r="K523" s="4"/>
      <c r="L523" s="53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76"/>
      <c r="F524" s="53"/>
      <c r="G524" s="4"/>
      <c r="H524" s="4"/>
      <c r="I524" s="4"/>
      <c r="J524" s="4"/>
      <c r="K524" s="4"/>
      <c r="L524" s="53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76"/>
      <c r="F525" s="53"/>
      <c r="G525" s="4"/>
      <c r="H525" s="4"/>
      <c r="I525" s="4"/>
      <c r="J525" s="4"/>
      <c r="K525" s="4"/>
      <c r="L525" s="53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76"/>
      <c r="F526" s="53"/>
      <c r="G526" s="4"/>
      <c r="H526" s="4"/>
      <c r="I526" s="4"/>
      <c r="J526" s="4"/>
      <c r="K526" s="4"/>
      <c r="L526" s="53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76"/>
      <c r="F527" s="53"/>
      <c r="G527" s="4"/>
      <c r="H527" s="4"/>
      <c r="I527" s="4"/>
      <c r="J527" s="4"/>
      <c r="K527" s="4"/>
      <c r="L527" s="53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76"/>
      <c r="F528" s="53"/>
      <c r="G528" s="4"/>
      <c r="H528" s="4"/>
      <c r="I528" s="4"/>
      <c r="J528" s="4"/>
      <c r="K528" s="4"/>
      <c r="L528" s="53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76"/>
      <c r="F529" s="53"/>
      <c r="G529" s="4"/>
      <c r="H529" s="4"/>
      <c r="I529" s="4"/>
      <c r="J529" s="4"/>
      <c r="K529" s="4"/>
      <c r="L529" s="53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76"/>
      <c r="F530" s="53"/>
      <c r="G530" s="4"/>
      <c r="H530" s="4"/>
      <c r="I530" s="4"/>
      <c r="J530" s="4"/>
      <c r="K530" s="4"/>
      <c r="L530" s="53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76"/>
      <c r="F531" s="53"/>
      <c r="G531" s="4"/>
      <c r="H531" s="4"/>
      <c r="I531" s="4"/>
      <c r="J531" s="4"/>
      <c r="K531" s="4"/>
      <c r="L531" s="53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76"/>
      <c r="F532" s="53"/>
      <c r="G532" s="4"/>
      <c r="H532" s="4"/>
      <c r="I532" s="4"/>
      <c r="J532" s="4"/>
      <c r="K532" s="4"/>
      <c r="L532" s="53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76"/>
      <c r="F533" s="53"/>
      <c r="G533" s="4"/>
      <c r="H533" s="4"/>
      <c r="I533" s="4"/>
      <c r="J533" s="4"/>
      <c r="K533" s="4"/>
      <c r="L533" s="53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76"/>
      <c r="F534" s="53"/>
      <c r="G534" s="4"/>
      <c r="H534" s="4"/>
      <c r="I534" s="4"/>
      <c r="J534" s="4"/>
      <c r="K534" s="4"/>
      <c r="L534" s="53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76"/>
      <c r="F535" s="53"/>
      <c r="G535" s="4"/>
      <c r="H535" s="4"/>
      <c r="I535" s="4"/>
      <c r="J535" s="4"/>
      <c r="K535" s="4"/>
      <c r="L535" s="53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76"/>
      <c r="F536" s="53"/>
      <c r="G536" s="4"/>
      <c r="H536" s="4"/>
      <c r="I536" s="4"/>
      <c r="J536" s="4"/>
      <c r="K536" s="4"/>
      <c r="L536" s="53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76"/>
      <c r="F537" s="53"/>
      <c r="G537" s="4"/>
      <c r="H537" s="4"/>
      <c r="I537" s="4"/>
      <c r="J537" s="4"/>
      <c r="K537" s="4"/>
      <c r="L537" s="53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76"/>
      <c r="F538" s="53"/>
      <c r="G538" s="4"/>
      <c r="H538" s="4"/>
      <c r="I538" s="4"/>
      <c r="J538" s="4"/>
      <c r="K538" s="4"/>
      <c r="L538" s="53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76"/>
      <c r="F539" s="53"/>
      <c r="G539" s="4"/>
      <c r="H539" s="4"/>
      <c r="I539" s="4"/>
      <c r="J539" s="4"/>
      <c r="K539" s="4"/>
      <c r="L539" s="53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76"/>
      <c r="F540" s="53"/>
      <c r="G540" s="4"/>
      <c r="H540" s="4"/>
      <c r="I540" s="4"/>
      <c r="J540" s="4"/>
      <c r="K540" s="4"/>
      <c r="L540" s="53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76"/>
      <c r="F541" s="53"/>
      <c r="G541" s="4"/>
      <c r="H541" s="4"/>
      <c r="I541" s="4"/>
      <c r="J541" s="4"/>
      <c r="K541" s="4"/>
      <c r="L541" s="53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76"/>
      <c r="F542" s="53"/>
      <c r="G542" s="4"/>
      <c r="H542" s="4"/>
      <c r="I542" s="4"/>
      <c r="J542" s="4"/>
      <c r="K542" s="4"/>
      <c r="L542" s="53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76"/>
      <c r="F543" s="53"/>
      <c r="G543" s="4"/>
      <c r="H543" s="4"/>
      <c r="I543" s="4"/>
      <c r="J543" s="4"/>
      <c r="K543" s="4"/>
      <c r="L543" s="53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76"/>
      <c r="F544" s="53"/>
      <c r="G544" s="4"/>
      <c r="H544" s="4"/>
      <c r="I544" s="4"/>
      <c r="J544" s="4"/>
      <c r="K544" s="4"/>
      <c r="L544" s="53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76"/>
      <c r="F545" s="53"/>
      <c r="G545" s="4"/>
      <c r="H545" s="4"/>
      <c r="I545" s="4"/>
      <c r="J545" s="4"/>
      <c r="K545" s="4"/>
      <c r="L545" s="53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76"/>
      <c r="F546" s="53"/>
      <c r="G546" s="4"/>
      <c r="H546" s="4"/>
      <c r="I546" s="4"/>
      <c r="J546" s="4"/>
      <c r="K546" s="4"/>
      <c r="L546" s="53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76"/>
      <c r="F547" s="53"/>
      <c r="G547" s="4"/>
      <c r="H547" s="4"/>
      <c r="I547" s="4"/>
      <c r="J547" s="4"/>
      <c r="K547" s="4"/>
      <c r="L547" s="53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76"/>
      <c r="F548" s="53"/>
      <c r="G548" s="4"/>
      <c r="H548" s="4"/>
      <c r="I548" s="4"/>
      <c r="J548" s="4"/>
      <c r="K548" s="4"/>
      <c r="L548" s="53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76"/>
      <c r="F549" s="53"/>
      <c r="G549" s="4"/>
      <c r="H549" s="4"/>
      <c r="I549" s="4"/>
      <c r="J549" s="4"/>
      <c r="K549" s="4"/>
      <c r="L549" s="53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76"/>
      <c r="F550" s="53"/>
      <c r="G550" s="4"/>
      <c r="H550" s="4"/>
      <c r="I550" s="4"/>
      <c r="J550" s="4"/>
      <c r="K550" s="4"/>
      <c r="L550" s="53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76"/>
      <c r="F551" s="53"/>
      <c r="G551" s="4"/>
      <c r="H551" s="4"/>
      <c r="I551" s="4"/>
      <c r="J551" s="4"/>
      <c r="K551" s="4"/>
      <c r="L551" s="53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76"/>
      <c r="F552" s="53"/>
      <c r="G552" s="4"/>
      <c r="H552" s="4"/>
      <c r="I552" s="4"/>
      <c r="J552" s="4"/>
      <c r="K552" s="4"/>
      <c r="L552" s="53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76"/>
      <c r="F553" s="53"/>
      <c r="G553" s="4"/>
      <c r="H553" s="4"/>
      <c r="I553" s="4"/>
      <c r="J553" s="4"/>
      <c r="K553" s="4"/>
      <c r="L553" s="53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76"/>
      <c r="F554" s="53"/>
      <c r="G554" s="4"/>
      <c r="H554" s="4"/>
      <c r="I554" s="4"/>
      <c r="J554" s="4"/>
      <c r="K554" s="4"/>
      <c r="L554" s="53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76"/>
      <c r="F555" s="53"/>
      <c r="G555" s="4"/>
      <c r="H555" s="4"/>
      <c r="I555" s="4"/>
      <c r="J555" s="4"/>
      <c r="K555" s="4"/>
      <c r="L555" s="53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76"/>
      <c r="F556" s="53"/>
      <c r="G556" s="4"/>
      <c r="H556" s="4"/>
      <c r="I556" s="4"/>
      <c r="J556" s="4"/>
      <c r="K556" s="4"/>
      <c r="L556" s="53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76"/>
      <c r="F557" s="53"/>
      <c r="G557" s="4"/>
      <c r="H557" s="4"/>
      <c r="I557" s="4"/>
      <c r="J557" s="4"/>
      <c r="K557" s="4"/>
      <c r="L557" s="53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76"/>
      <c r="F558" s="53"/>
      <c r="G558" s="4"/>
      <c r="H558" s="4"/>
      <c r="I558" s="4"/>
      <c r="J558" s="4"/>
      <c r="K558" s="4"/>
      <c r="L558" s="53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76"/>
      <c r="F559" s="53"/>
      <c r="G559" s="4"/>
      <c r="H559" s="4"/>
      <c r="I559" s="4"/>
      <c r="J559" s="4"/>
      <c r="K559" s="4"/>
      <c r="L559" s="53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76"/>
      <c r="F560" s="53"/>
      <c r="G560" s="4"/>
      <c r="H560" s="4"/>
      <c r="I560" s="4"/>
      <c r="J560" s="4"/>
      <c r="K560" s="4"/>
      <c r="L560" s="53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76"/>
      <c r="F561" s="53"/>
      <c r="G561" s="4"/>
      <c r="H561" s="4"/>
      <c r="I561" s="4"/>
      <c r="J561" s="4"/>
      <c r="K561" s="4"/>
      <c r="L561" s="53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76"/>
      <c r="F562" s="53"/>
      <c r="G562" s="4"/>
      <c r="H562" s="4"/>
      <c r="I562" s="4"/>
      <c r="J562" s="4"/>
      <c r="K562" s="4"/>
      <c r="L562" s="53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76"/>
      <c r="F563" s="53"/>
      <c r="G563" s="4"/>
      <c r="H563" s="4"/>
      <c r="I563" s="4"/>
      <c r="J563" s="4"/>
      <c r="K563" s="4"/>
      <c r="L563" s="53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76"/>
      <c r="F564" s="53"/>
      <c r="G564" s="4"/>
      <c r="H564" s="4"/>
      <c r="I564" s="4"/>
      <c r="J564" s="4"/>
      <c r="K564" s="4"/>
      <c r="L564" s="53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76"/>
      <c r="F565" s="53"/>
      <c r="G565" s="4"/>
      <c r="H565" s="4"/>
      <c r="I565" s="4"/>
      <c r="J565" s="4"/>
      <c r="K565" s="4"/>
      <c r="L565" s="53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76"/>
      <c r="F566" s="53"/>
      <c r="G566" s="4"/>
      <c r="H566" s="4"/>
      <c r="I566" s="4"/>
      <c r="J566" s="4"/>
      <c r="K566" s="4"/>
      <c r="L566" s="53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76"/>
      <c r="F567" s="53"/>
      <c r="G567" s="4"/>
      <c r="H567" s="4"/>
      <c r="I567" s="4"/>
      <c r="J567" s="4"/>
      <c r="K567" s="4"/>
      <c r="L567" s="53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76"/>
      <c r="F568" s="53"/>
      <c r="G568" s="4"/>
      <c r="H568" s="4"/>
      <c r="I568" s="4"/>
      <c r="J568" s="4"/>
      <c r="K568" s="4"/>
      <c r="L568" s="53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76"/>
      <c r="F569" s="53"/>
      <c r="G569" s="4"/>
      <c r="H569" s="4"/>
      <c r="I569" s="4"/>
      <c r="J569" s="4"/>
      <c r="K569" s="4"/>
      <c r="L569" s="53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76"/>
      <c r="F570" s="53"/>
      <c r="G570" s="4"/>
      <c r="H570" s="4"/>
      <c r="I570" s="4"/>
      <c r="J570" s="4"/>
      <c r="K570" s="4"/>
      <c r="L570" s="53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76"/>
      <c r="F571" s="53"/>
      <c r="G571" s="4"/>
      <c r="H571" s="4"/>
      <c r="I571" s="4"/>
      <c r="J571" s="4"/>
      <c r="K571" s="4"/>
      <c r="L571" s="53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76"/>
      <c r="F572" s="53"/>
      <c r="G572" s="4"/>
      <c r="H572" s="4"/>
      <c r="I572" s="4"/>
      <c r="J572" s="4"/>
      <c r="K572" s="4"/>
      <c r="L572" s="53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76"/>
      <c r="F573" s="53"/>
      <c r="G573" s="4"/>
      <c r="H573" s="4"/>
      <c r="I573" s="4"/>
      <c r="J573" s="4"/>
      <c r="K573" s="4"/>
      <c r="L573" s="53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76"/>
      <c r="F574" s="53"/>
      <c r="G574" s="4"/>
      <c r="H574" s="4"/>
      <c r="I574" s="4"/>
      <c r="J574" s="4"/>
      <c r="K574" s="4"/>
      <c r="L574" s="53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76"/>
      <c r="F575" s="53"/>
      <c r="G575" s="4"/>
      <c r="H575" s="4"/>
      <c r="I575" s="4"/>
      <c r="J575" s="4"/>
      <c r="K575" s="4"/>
      <c r="L575" s="53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76"/>
      <c r="F576" s="53"/>
      <c r="G576" s="4"/>
      <c r="H576" s="4"/>
      <c r="I576" s="4"/>
      <c r="J576" s="4"/>
      <c r="K576" s="4"/>
      <c r="L576" s="53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76"/>
      <c r="F577" s="53"/>
      <c r="G577" s="4"/>
      <c r="H577" s="4"/>
      <c r="I577" s="4"/>
      <c r="J577" s="4"/>
      <c r="K577" s="4"/>
      <c r="L577" s="53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76"/>
      <c r="F578" s="53"/>
      <c r="G578" s="4"/>
      <c r="H578" s="4"/>
      <c r="I578" s="4"/>
      <c r="J578" s="4"/>
      <c r="K578" s="4"/>
      <c r="L578" s="53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76"/>
      <c r="F579" s="53"/>
      <c r="G579" s="4"/>
      <c r="H579" s="4"/>
      <c r="I579" s="4"/>
      <c r="J579" s="4"/>
      <c r="K579" s="4"/>
      <c r="L579" s="53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76"/>
      <c r="F580" s="53"/>
      <c r="G580" s="4"/>
      <c r="H580" s="4"/>
      <c r="I580" s="4"/>
      <c r="J580" s="4"/>
      <c r="K580" s="4"/>
      <c r="L580" s="53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76"/>
      <c r="F581" s="53"/>
      <c r="G581" s="4"/>
      <c r="H581" s="4"/>
      <c r="I581" s="4"/>
      <c r="J581" s="4"/>
      <c r="K581" s="4"/>
      <c r="L581" s="53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76"/>
      <c r="F582" s="53"/>
      <c r="G582" s="4"/>
      <c r="H582" s="4"/>
      <c r="I582" s="4"/>
      <c r="J582" s="4"/>
      <c r="K582" s="4"/>
      <c r="L582" s="53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76"/>
      <c r="F583" s="53"/>
      <c r="G583" s="4"/>
      <c r="H583" s="4"/>
      <c r="I583" s="4"/>
      <c r="J583" s="4"/>
      <c r="K583" s="4"/>
      <c r="L583" s="53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76"/>
      <c r="F584" s="53"/>
      <c r="G584" s="4"/>
      <c r="H584" s="4"/>
      <c r="I584" s="4"/>
      <c r="J584" s="4"/>
      <c r="K584" s="4"/>
      <c r="L584" s="53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76"/>
      <c r="F585" s="53"/>
      <c r="G585" s="4"/>
      <c r="H585" s="4"/>
      <c r="I585" s="4"/>
      <c r="J585" s="4"/>
      <c r="K585" s="4"/>
      <c r="L585" s="53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76"/>
      <c r="F586" s="53"/>
      <c r="G586" s="4"/>
      <c r="H586" s="4"/>
      <c r="I586" s="4"/>
      <c r="J586" s="4"/>
      <c r="K586" s="4"/>
      <c r="L586" s="53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76"/>
      <c r="F587" s="53"/>
      <c r="G587" s="4"/>
      <c r="H587" s="4"/>
      <c r="I587" s="4"/>
      <c r="J587" s="4"/>
      <c r="K587" s="4"/>
      <c r="L587" s="53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76"/>
      <c r="F588" s="53"/>
      <c r="G588" s="4"/>
      <c r="H588" s="4"/>
      <c r="I588" s="4"/>
      <c r="J588" s="4"/>
      <c r="K588" s="4"/>
      <c r="L588" s="53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76"/>
      <c r="F589" s="53"/>
      <c r="G589" s="4"/>
      <c r="H589" s="4"/>
      <c r="I589" s="4"/>
      <c r="J589" s="4"/>
      <c r="K589" s="4"/>
      <c r="L589" s="53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76"/>
      <c r="F590" s="53"/>
      <c r="G590" s="4"/>
      <c r="H590" s="4"/>
      <c r="I590" s="4"/>
      <c r="J590" s="4"/>
      <c r="K590" s="4"/>
      <c r="L590" s="53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76"/>
      <c r="F591" s="53"/>
      <c r="G591" s="4"/>
      <c r="H591" s="4"/>
      <c r="I591" s="4"/>
      <c r="J591" s="4"/>
      <c r="K591" s="4"/>
      <c r="L591" s="53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76"/>
      <c r="F592" s="53"/>
      <c r="G592" s="4"/>
      <c r="H592" s="4"/>
      <c r="I592" s="4"/>
      <c r="J592" s="4"/>
      <c r="K592" s="4"/>
      <c r="L592" s="53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76"/>
      <c r="F593" s="53"/>
      <c r="G593" s="4"/>
      <c r="H593" s="4"/>
      <c r="I593" s="4"/>
      <c r="J593" s="4"/>
      <c r="K593" s="4"/>
      <c r="L593" s="53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76"/>
      <c r="F594" s="53"/>
      <c r="G594" s="4"/>
      <c r="H594" s="4"/>
      <c r="I594" s="4"/>
      <c r="J594" s="4"/>
      <c r="K594" s="4"/>
      <c r="L594" s="53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76"/>
      <c r="F595" s="53"/>
      <c r="G595" s="4"/>
      <c r="H595" s="4"/>
      <c r="I595" s="4"/>
      <c r="J595" s="4"/>
      <c r="K595" s="4"/>
      <c r="L595" s="53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76"/>
      <c r="F596" s="53"/>
      <c r="G596" s="4"/>
      <c r="H596" s="4"/>
      <c r="I596" s="4"/>
      <c r="J596" s="4"/>
      <c r="K596" s="4"/>
      <c r="L596" s="53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76"/>
      <c r="F597" s="53"/>
      <c r="G597" s="4"/>
      <c r="H597" s="4"/>
      <c r="I597" s="4"/>
      <c r="J597" s="4"/>
      <c r="K597" s="4"/>
      <c r="L597" s="53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76"/>
      <c r="F598" s="53"/>
      <c r="G598" s="4"/>
      <c r="H598" s="4"/>
      <c r="I598" s="4"/>
      <c r="J598" s="4"/>
      <c r="K598" s="4"/>
      <c r="L598" s="53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76"/>
      <c r="F599" s="53"/>
      <c r="G599" s="4"/>
      <c r="H599" s="4"/>
      <c r="I599" s="4"/>
      <c r="J599" s="4"/>
      <c r="K599" s="4"/>
      <c r="L599" s="53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76"/>
      <c r="F600" s="53"/>
      <c r="G600" s="4"/>
      <c r="H600" s="4"/>
      <c r="I600" s="4"/>
      <c r="J600" s="4"/>
      <c r="K600" s="4"/>
      <c r="L600" s="53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76"/>
      <c r="F601" s="53"/>
      <c r="G601" s="4"/>
      <c r="H601" s="4"/>
      <c r="I601" s="4"/>
      <c r="J601" s="4"/>
      <c r="K601" s="4"/>
      <c r="L601" s="53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76"/>
      <c r="F602" s="53"/>
      <c r="G602" s="4"/>
      <c r="H602" s="4"/>
      <c r="I602" s="4"/>
      <c r="J602" s="4"/>
      <c r="K602" s="4"/>
      <c r="L602" s="53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76"/>
      <c r="F603" s="53"/>
      <c r="G603" s="4"/>
      <c r="H603" s="4"/>
      <c r="I603" s="4"/>
      <c r="J603" s="4"/>
      <c r="K603" s="4"/>
      <c r="L603" s="53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76"/>
      <c r="F604" s="53"/>
      <c r="G604" s="4"/>
      <c r="H604" s="4"/>
      <c r="I604" s="4"/>
      <c r="J604" s="4"/>
      <c r="K604" s="4"/>
      <c r="L604" s="53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76"/>
      <c r="F605" s="53"/>
      <c r="G605" s="4"/>
      <c r="H605" s="4"/>
      <c r="I605" s="4"/>
      <c r="J605" s="4"/>
      <c r="K605" s="4"/>
      <c r="L605" s="53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76"/>
      <c r="F606" s="53"/>
      <c r="G606" s="4"/>
      <c r="H606" s="4"/>
      <c r="I606" s="4"/>
      <c r="J606" s="4"/>
      <c r="K606" s="4"/>
      <c r="L606" s="53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76"/>
      <c r="F607" s="53"/>
      <c r="G607" s="4"/>
      <c r="H607" s="4"/>
      <c r="I607" s="4"/>
      <c r="J607" s="4"/>
      <c r="K607" s="4"/>
      <c r="L607" s="53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76"/>
      <c r="F608" s="53"/>
      <c r="G608" s="4"/>
      <c r="H608" s="4"/>
      <c r="I608" s="4"/>
      <c r="J608" s="4"/>
      <c r="K608" s="4"/>
      <c r="L608" s="53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76"/>
      <c r="F609" s="53"/>
      <c r="G609" s="4"/>
      <c r="H609" s="4"/>
      <c r="I609" s="4"/>
      <c r="J609" s="4"/>
      <c r="K609" s="4"/>
      <c r="L609" s="53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76"/>
      <c r="F610" s="53"/>
      <c r="G610" s="4"/>
      <c r="H610" s="4"/>
      <c r="I610" s="4"/>
      <c r="J610" s="4"/>
      <c r="K610" s="4"/>
      <c r="L610" s="53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76"/>
      <c r="F611" s="53"/>
      <c r="G611" s="4"/>
      <c r="H611" s="4"/>
      <c r="I611" s="4"/>
      <c r="J611" s="4"/>
      <c r="K611" s="4"/>
      <c r="L611" s="53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76"/>
      <c r="F612" s="53"/>
      <c r="G612" s="4"/>
      <c r="H612" s="4"/>
      <c r="I612" s="4"/>
      <c r="J612" s="4"/>
      <c r="K612" s="4"/>
      <c r="L612" s="53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76"/>
      <c r="F613" s="53"/>
      <c r="G613" s="4"/>
      <c r="H613" s="4"/>
      <c r="I613" s="4"/>
      <c r="J613" s="4"/>
      <c r="K613" s="4"/>
      <c r="L613" s="53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76"/>
      <c r="F614" s="53"/>
      <c r="G614" s="4"/>
      <c r="H614" s="4"/>
      <c r="I614" s="4"/>
      <c r="J614" s="4"/>
      <c r="K614" s="4"/>
      <c r="L614" s="53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76"/>
      <c r="F615" s="53"/>
      <c r="G615" s="4"/>
      <c r="H615" s="4"/>
      <c r="I615" s="4"/>
      <c r="J615" s="4"/>
      <c r="K615" s="4"/>
      <c r="L615" s="53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76"/>
      <c r="F616" s="53"/>
      <c r="G616" s="4"/>
      <c r="H616" s="4"/>
      <c r="I616" s="4"/>
      <c r="J616" s="4"/>
      <c r="K616" s="4"/>
      <c r="L616" s="53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76"/>
      <c r="F617" s="53"/>
      <c r="G617" s="4"/>
      <c r="H617" s="4"/>
      <c r="I617" s="4"/>
      <c r="J617" s="4"/>
      <c r="K617" s="4"/>
      <c r="L617" s="53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76"/>
      <c r="F618" s="53"/>
      <c r="G618" s="4"/>
      <c r="H618" s="4"/>
      <c r="I618" s="4"/>
      <c r="J618" s="4"/>
      <c r="K618" s="4"/>
      <c r="L618" s="53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76"/>
      <c r="F619" s="53"/>
      <c r="G619" s="4"/>
      <c r="H619" s="4"/>
      <c r="I619" s="4"/>
      <c r="J619" s="4"/>
      <c r="K619" s="4"/>
      <c r="L619" s="53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76"/>
      <c r="F620" s="53"/>
      <c r="G620" s="4"/>
      <c r="H620" s="4"/>
      <c r="I620" s="4"/>
      <c r="J620" s="4"/>
      <c r="K620" s="4"/>
      <c r="L620" s="53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76"/>
      <c r="F621" s="53"/>
      <c r="G621" s="4"/>
      <c r="H621" s="4"/>
      <c r="I621" s="4"/>
      <c r="J621" s="4"/>
      <c r="K621" s="4"/>
      <c r="L621" s="53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76"/>
      <c r="F622" s="53"/>
      <c r="G622" s="4"/>
      <c r="H622" s="4"/>
      <c r="I622" s="4"/>
      <c r="J622" s="4"/>
      <c r="K622" s="4"/>
      <c r="L622" s="53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76"/>
      <c r="F623" s="53"/>
      <c r="G623" s="4"/>
      <c r="H623" s="4"/>
      <c r="I623" s="4"/>
      <c r="J623" s="4"/>
      <c r="K623" s="4"/>
      <c r="L623" s="53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76"/>
      <c r="F624" s="53"/>
      <c r="G624" s="4"/>
      <c r="H624" s="4"/>
      <c r="I624" s="4"/>
      <c r="J624" s="4"/>
      <c r="K624" s="4"/>
      <c r="L624" s="53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76"/>
      <c r="F625" s="53"/>
      <c r="G625" s="4"/>
      <c r="H625" s="4"/>
      <c r="I625" s="4"/>
      <c r="J625" s="4"/>
      <c r="K625" s="4"/>
      <c r="L625" s="53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76"/>
      <c r="F626" s="53"/>
      <c r="G626" s="4"/>
      <c r="H626" s="4"/>
      <c r="I626" s="4"/>
      <c r="J626" s="4"/>
      <c r="K626" s="4"/>
      <c r="L626" s="53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76"/>
      <c r="F627" s="53"/>
      <c r="G627" s="4"/>
      <c r="H627" s="4"/>
      <c r="I627" s="4"/>
      <c r="J627" s="4"/>
      <c r="K627" s="4"/>
      <c r="L627" s="53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76"/>
      <c r="F628" s="53"/>
      <c r="G628" s="4"/>
      <c r="H628" s="4"/>
      <c r="I628" s="4"/>
      <c r="J628" s="4"/>
      <c r="K628" s="4"/>
      <c r="L628" s="53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76"/>
      <c r="F629" s="53"/>
      <c r="G629" s="4"/>
      <c r="H629" s="4"/>
      <c r="I629" s="4"/>
      <c r="J629" s="4"/>
      <c r="K629" s="4"/>
      <c r="L629" s="53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76"/>
      <c r="F630" s="53"/>
      <c r="G630" s="4"/>
      <c r="H630" s="4"/>
      <c r="I630" s="4"/>
      <c r="J630" s="4"/>
      <c r="K630" s="4"/>
      <c r="L630" s="53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76"/>
      <c r="F631" s="53"/>
      <c r="G631" s="4"/>
      <c r="H631" s="4"/>
      <c r="I631" s="4"/>
      <c r="J631" s="4"/>
      <c r="K631" s="4"/>
      <c r="L631" s="53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76"/>
      <c r="F632" s="53"/>
      <c r="G632" s="4"/>
      <c r="H632" s="4"/>
      <c r="I632" s="4"/>
      <c r="J632" s="4"/>
      <c r="K632" s="4"/>
      <c r="L632" s="53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76"/>
      <c r="F633" s="53"/>
      <c r="G633" s="4"/>
      <c r="H633" s="4"/>
      <c r="I633" s="4"/>
      <c r="J633" s="4"/>
      <c r="K633" s="4"/>
      <c r="L633" s="53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76"/>
      <c r="F634" s="53"/>
      <c r="G634" s="4"/>
      <c r="H634" s="4"/>
      <c r="I634" s="4"/>
      <c r="J634" s="4"/>
      <c r="K634" s="4"/>
      <c r="L634" s="53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76"/>
      <c r="F635" s="53"/>
      <c r="G635" s="4"/>
      <c r="H635" s="4"/>
      <c r="I635" s="4"/>
      <c r="J635" s="4"/>
      <c r="K635" s="4"/>
      <c r="L635" s="53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76"/>
      <c r="F636" s="53"/>
      <c r="G636" s="4"/>
      <c r="H636" s="4"/>
      <c r="I636" s="4"/>
      <c r="J636" s="4"/>
      <c r="K636" s="4"/>
      <c r="L636" s="53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76"/>
      <c r="F637" s="53"/>
      <c r="G637" s="4"/>
      <c r="H637" s="4"/>
      <c r="I637" s="4"/>
      <c r="J637" s="4"/>
      <c r="K637" s="4"/>
      <c r="L637" s="53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76"/>
      <c r="F638" s="53"/>
      <c r="G638" s="4"/>
      <c r="H638" s="4"/>
      <c r="I638" s="4"/>
      <c r="J638" s="4"/>
      <c r="K638" s="4"/>
      <c r="L638" s="53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76"/>
      <c r="F639" s="53"/>
      <c r="G639" s="4"/>
      <c r="H639" s="4"/>
      <c r="I639" s="4"/>
      <c r="J639" s="4"/>
      <c r="K639" s="4"/>
      <c r="L639" s="53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76"/>
      <c r="F640" s="53"/>
      <c r="G640" s="4"/>
      <c r="H640" s="4"/>
      <c r="I640" s="4"/>
      <c r="J640" s="4"/>
      <c r="K640" s="4"/>
      <c r="L640" s="53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76"/>
      <c r="F641" s="53"/>
      <c r="G641" s="4"/>
      <c r="H641" s="4"/>
      <c r="I641" s="4"/>
      <c r="J641" s="4"/>
      <c r="K641" s="4"/>
      <c r="L641" s="53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76"/>
      <c r="F642" s="53"/>
      <c r="G642" s="4"/>
      <c r="H642" s="4"/>
      <c r="I642" s="4"/>
      <c r="J642" s="4"/>
      <c r="K642" s="4"/>
      <c r="L642" s="53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76"/>
      <c r="F643" s="53"/>
      <c r="G643" s="4"/>
      <c r="H643" s="4"/>
      <c r="I643" s="4"/>
      <c r="J643" s="4"/>
      <c r="K643" s="4"/>
      <c r="L643" s="53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76"/>
      <c r="F644" s="53"/>
      <c r="G644" s="4"/>
      <c r="H644" s="4"/>
      <c r="I644" s="4"/>
      <c r="J644" s="4"/>
      <c r="K644" s="4"/>
      <c r="L644" s="53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76"/>
      <c r="F645" s="53"/>
      <c r="G645" s="4"/>
      <c r="H645" s="4"/>
      <c r="I645" s="4"/>
      <c r="J645" s="4"/>
      <c r="K645" s="4"/>
      <c r="L645" s="53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76"/>
      <c r="F646" s="53"/>
      <c r="G646" s="4"/>
      <c r="H646" s="4"/>
      <c r="I646" s="4"/>
      <c r="J646" s="4"/>
      <c r="K646" s="4"/>
      <c r="L646" s="53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76"/>
      <c r="F647" s="53"/>
      <c r="G647" s="4"/>
      <c r="H647" s="4"/>
      <c r="I647" s="4"/>
      <c r="J647" s="4"/>
      <c r="K647" s="4"/>
      <c r="L647" s="53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76"/>
      <c r="F648" s="53"/>
      <c r="G648" s="4"/>
      <c r="H648" s="4"/>
      <c r="I648" s="4"/>
      <c r="J648" s="4"/>
      <c r="K648" s="4"/>
      <c r="L648" s="53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76"/>
      <c r="F649" s="53"/>
      <c r="G649" s="4"/>
      <c r="H649" s="4"/>
      <c r="I649" s="4"/>
      <c r="J649" s="4"/>
      <c r="K649" s="4"/>
      <c r="L649" s="53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76"/>
      <c r="F650" s="53"/>
      <c r="G650" s="4"/>
      <c r="H650" s="4"/>
      <c r="I650" s="4"/>
      <c r="J650" s="4"/>
      <c r="K650" s="4"/>
      <c r="L650" s="53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76"/>
      <c r="F651" s="53"/>
      <c r="G651" s="4"/>
      <c r="H651" s="4"/>
      <c r="I651" s="4"/>
      <c r="J651" s="4"/>
      <c r="K651" s="4"/>
      <c r="L651" s="53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76"/>
      <c r="F652" s="53"/>
      <c r="G652" s="4"/>
      <c r="H652" s="4"/>
      <c r="I652" s="4"/>
      <c r="J652" s="4"/>
      <c r="K652" s="4"/>
      <c r="L652" s="53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76"/>
      <c r="F653" s="53"/>
      <c r="G653" s="4"/>
      <c r="H653" s="4"/>
      <c r="I653" s="4"/>
      <c r="J653" s="4"/>
      <c r="K653" s="4"/>
      <c r="L653" s="53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76"/>
      <c r="F654" s="53"/>
      <c r="G654" s="4"/>
      <c r="H654" s="4"/>
      <c r="I654" s="4"/>
      <c r="J654" s="4"/>
      <c r="K654" s="4"/>
      <c r="L654" s="53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76"/>
      <c r="F655" s="53"/>
      <c r="G655" s="4"/>
      <c r="H655" s="4"/>
      <c r="I655" s="4"/>
      <c r="J655" s="4"/>
      <c r="K655" s="4"/>
      <c r="L655" s="53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76"/>
      <c r="F656" s="53"/>
      <c r="G656" s="4"/>
      <c r="H656" s="4"/>
      <c r="I656" s="4"/>
      <c r="J656" s="4"/>
      <c r="K656" s="4"/>
      <c r="L656" s="53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76"/>
      <c r="F657" s="53"/>
      <c r="G657" s="4"/>
      <c r="H657" s="4"/>
      <c r="I657" s="4"/>
      <c r="J657" s="4"/>
      <c r="K657" s="4"/>
      <c r="L657" s="53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76"/>
      <c r="F658" s="53"/>
      <c r="G658" s="4"/>
      <c r="H658" s="4"/>
      <c r="I658" s="4"/>
      <c r="J658" s="4"/>
      <c r="K658" s="4"/>
      <c r="L658" s="53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76"/>
      <c r="F659" s="53"/>
      <c r="G659" s="4"/>
      <c r="H659" s="4"/>
      <c r="I659" s="4"/>
      <c r="J659" s="4"/>
      <c r="K659" s="4"/>
      <c r="L659" s="53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76"/>
      <c r="F660" s="53"/>
      <c r="G660" s="4"/>
      <c r="H660" s="4"/>
      <c r="I660" s="4"/>
      <c r="J660" s="4"/>
      <c r="K660" s="4"/>
      <c r="L660" s="53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76"/>
      <c r="F661" s="53"/>
      <c r="G661" s="4"/>
      <c r="H661" s="4"/>
      <c r="I661" s="4"/>
      <c r="J661" s="4"/>
      <c r="K661" s="4"/>
      <c r="L661" s="53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76"/>
      <c r="F662" s="53"/>
      <c r="G662" s="4"/>
      <c r="H662" s="4"/>
      <c r="I662" s="4"/>
      <c r="J662" s="4"/>
      <c r="K662" s="4"/>
      <c r="L662" s="53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76"/>
      <c r="F663" s="53"/>
      <c r="G663" s="4"/>
      <c r="H663" s="4"/>
      <c r="I663" s="4"/>
      <c r="J663" s="4"/>
      <c r="K663" s="4"/>
      <c r="L663" s="53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76"/>
      <c r="F664" s="53"/>
      <c r="G664" s="4"/>
      <c r="H664" s="4"/>
      <c r="I664" s="4"/>
      <c r="J664" s="4"/>
      <c r="K664" s="4"/>
      <c r="L664" s="53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76"/>
      <c r="F665" s="53"/>
      <c r="G665" s="4"/>
      <c r="H665" s="4"/>
      <c r="I665" s="4"/>
      <c r="J665" s="4"/>
      <c r="K665" s="4"/>
      <c r="L665" s="53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76"/>
      <c r="F666" s="53"/>
      <c r="G666" s="4"/>
      <c r="H666" s="4"/>
      <c r="I666" s="4"/>
      <c r="J666" s="4"/>
      <c r="K666" s="4"/>
      <c r="L666" s="53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76"/>
      <c r="F667" s="53"/>
      <c r="G667" s="4"/>
      <c r="H667" s="4"/>
      <c r="I667" s="4"/>
      <c r="J667" s="4"/>
      <c r="K667" s="4"/>
      <c r="L667" s="53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76"/>
      <c r="F668" s="53"/>
      <c r="G668" s="4"/>
      <c r="H668" s="4"/>
      <c r="I668" s="4"/>
      <c r="J668" s="4"/>
      <c r="K668" s="4"/>
      <c r="L668" s="53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76"/>
      <c r="F669" s="53"/>
      <c r="G669" s="4"/>
      <c r="H669" s="4"/>
      <c r="I669" s="4"/>
      <c r="J669" s="4"/>
      <c r="K669" s="4"/>
      <c r="L669" s="53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76"/>
      <c r="F670" s="53"/>
      <c r="G670" s="4"/>
      <c r="H670" s="4"/>
      <c r="I670" s="4"/>
      <c r="J670" s="4"/>
      <c r="K670" s="4"/>
      <c r="L670" s="53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76"/>
      <c r="F671" s="53"/>
      <c r="G671" s="4"/>
      <c r="H671" s="4"/>
      <c r="I671" s="4"/>
      <c r="J671" s="4"/>
      <c r="K671" s="4"/>
      <c r="L671" s="53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76"/>
      <c r="F672" s="53"/>
      <c r="G672" s="4"/>
      <c r="H672" s="4"/>
      <c r="I672" s="4"/>
      <c r="J672" s="4"/>
      <c r="K672" s="4"/>
      <c r="L672" s="53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76"/>
      <c r="F673" s="53"/>
      <c r="G673" s="4"/>
      <c r="H673" s="4"/>
      <c r="I673" s="4"/>
      <c r="J673" s="4"/>
      <c r="K673" s="4"/>
      <c r="L673" s="53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76"/>
      <c r="F674" s="53"/>
      <c r="G674" s="4"/>
      <c r="H674" s="4"/>
      <c r="I674" s="4"/>
      <c r="J674" s="4"/>
      <c r="K674" s="4"/>
      <c r="L674" s="53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76"/>
      <c r="F675" s="53"/>
      <c r="G675" s="4"/>
      <c r="H675" s="4"/>
      <c r="I675" s="4"/>
      <c r="J675" s="4"/>
      <c r="K675" s="4"/>
      <c r="L675" s="53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76"/>
      <c r="F676" s="53"/>
      <c r="G676" s="4"/>
      <c r="H676" s="4"/>
      <c r="I676" s="4"/>
      <c r="J676" s="4"/>
      <c r="K676" s="4"/>
      <c r="L676" s="53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76"/>
      <c r="F677" s="53"/>
      <c r="G677" s="4"/>
      <c r="H677" s="4"/>
      <c r="I677" s="4"/>
      <c r="J677" s="4"/>
      <c r="K677" s="4"/>
      <c r="L677" s="53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76"/>
      <c r="F678" s="53"/>
      <c r="G678" s="4"/>
      <c r="H678" s="4"/>
      <c r="I678" s="4"/>
      <c r="J678" s="4"/>
      <c r="K678" s="4"/>
      <c r="L678" s="53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76"/>
      <c r="F679" s="53"/>
      <c r="G679" s="4"/>
      <c r="H679" s="4"/>
      <c r="I679" s="4"/>
      <c r="J679" s="4"/>
      <c r="K679" s="4"/>
      <c r="L679" s="53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76"/>
      <c r="F680" s="53"/>
      <c r="G680" s="4"/>
      <c r="H680" s="4"/>
      <c r="I680" s="4"/>
      <c r="J680" s="4"/>
      <c r="K680" s="4"/>
      <c r="L680" s="53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76"/>
      <c r="F681" s="53"/>
      <c r="G681" s="4"/>
      <c r="H681" s="4"/>
      <c r="I681" s="4"/>
      <c r="J681" s="4"/>
      <c r="K681" s="4"/>
      <c r="L681" s="53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76"/>
      <c r="F682" s="53"/>
      <c r="G682" s="4"/>
      <c r="H682" s="4"/>
      <c r="I682" s="4"/>
      <c r="J682" s="4"/>
      <c r="K682" s="4"/>
      <c r="L682" s="53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76"/>
      <c r="F683" s="53"/>
      <c r="G683" s="4"/>
      <c r="H683" s="4"/>
      <c r="I683" s="4"/>
      <c r="J683" s="4"/>
      <c r="K683" s="4"/>
      <c r="L683" s="53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76"/>
      <c r="F684" s="53"/>
      <c r="G684" s="4"/>
      <c r="H684" s="4"/>
      <c r="I684" s="4"/>
      <c r="J684" s="4"/>
      <c r="K684" s="4"/>
      <c r="L684" s="53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76"/>
      <c r="F685" s="53"/>
      <c r="G685" s="4"/>
      <c r="H685" s="4"/>
      <c r="I685" s="4"/>
      <c r="J685" s="4"/>
      <c r="K685" s="4"/>
      <c r="L685" s="53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76"/>
      <c r="F686" s="53"/>
      <c r="G686" s="4"/>
      <c r="H686" s="4"/>
      <c r="I686" s="4"/>
      <c r="J686" s="4"/>
      <c r="K686" s="4"/>
      <c r="L686" s="53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76"/>
      <c r="F687" s="53"/>
      <c r="G687" s="4"/>
      <c r="H687" s="4"/>
      <c r="I687" s="4"/>
      <c r="J687" s="4"/>
      <c r="K687" s="4"/>
      <c r="L687" s="53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76"/>
      <c r="F688" s="53"/>
      <c r="G688" s="4"/>
      <c r="H688" s="4"/>
      <c r="I688" s="4"/>
      <c r="J688" s="4"/>
      <c r="K688" s="4"/>
      <c r="L688" s="53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76"/>
      <c r="F689" s="53"/>
      <c r="G689" s="4"/>
      <c r="H689" s="4"/>
      <c r="I689" s="4"/>
      <c r="J689" s="4"/>
      <c r="K689" s="4"/>
      <c r="L689" s="53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76"/>
      <c r="F690" s="53"/>
      <c r="G690" s="4"/>
      <c r="H690" s="4"/>
      <c r="I690" s="4"/>
      <c r="J690" s="4"/>
      <c r="K690" s="4"/>
      <c r="L690" s="53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76"/>
      <c r="F691" s="53"/>
      <c r="G691" s="4"/>
      <c r="H691" s="4"/>
      <c r="I691" s="4"/>
      <c r="J691" s="4"/>
      <c r="K691" s="4"/>
      <c r="L691" s="53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76"/>
      <c r="F692" s="53"/>
      <c r="G692" s="4"/>
      <c r="H692" s="4"/>
      <c r="I692" s="4"/>
      <c r="J692" s="4"/>
      <c r="K692" s="4"/>
      <c r="L692" s="53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76"/>
      <c r="F693" s="53"/>
      <c r="G693" s="4"/>
      <c r="H693" s="4"/>
      <c r="I693" s="4"/>
      <c r="J693" s="4"/>
      <c r="K693" s="4"/>
      <c r="L693" s="53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76"/>
      <c r="F694" s="53"/>
      <c r="G694" s="4"/>
      <c r="H694" s="4"/>
      <c r="I694" s="4"/>
      <c r="J694" s="4"/>
      <c r="K694" s="4"/>
      <c r="L694" s="53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76"/>
      <c r="F695" s="53"/>
      <c r="G695" s="4"/>
      <c r="H695" s="4"/>
      <c r="I695" s="4"/>
      <c r="J695" s="4"/>
      <c r="K695" s="4"/>
      <c r="L695" s="53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76"/>
      <c r="F696" s="53"/>
      <c r="G696" s="4"/>
      <c r="H696" s="4"/>
      <c r="I696" s="4"/>
      <c r="J696" s="4"/>
      <c r="K696" s="4"/>
      <c r="L696" s="53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76"/>
      <c r="F697" s="53"/>
      <c r="G697" s="4"/>
      <c r="H697" s="4"/>
      <c r="I697" s="4"/>
      <c r="J697" s="4"/>
      <c r="K697" s="4"/>
      <c r="L697" s="53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76"/>
      <c r="F698" s="53"/>
      <c r="G698" s="4"/>
      <c r="H698" s="4"/>
      <c r="I698" s="4"/>
      <c r="J698" s="4"/>
      <c r="K698" s="4"/>
      <c r="L698" s="53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76"/>
      <c r="F699" s="53"/>
      <c r="G699" s="4"/>
      <c r="H699" s="4"/>
      <c r="I699" s="4"/>
      <c r="J699" s="4"/>
      <c r="K699" s="4"/>
      <c r="L699" s="53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76"/>
      <c r="F700" s="53"/>
      <c r="G700" s="4"/>
      <c r="H700" s="4"/>
      <c r="I700" s="4"/>
      <c r="J700" s="4"/>
      <c r="K700" s="4"/>
      <c r="L700" s="53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76"/>
      <c r="F701" s="53"/>
      <c r="G701" s="4"/>
      <c r="H701" s="4"/>
      <c r="I701" s="4"/>
      <c r="J701" s="4"/>
      <c r="K701" s="4"/>
      <c r="L701" s="53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76"/>
      <c r="F702" s="53"/>
      <c r="G702" s="4"/>
      <c r="H702" s="4"/>
      <c r="I702" s="4"/>
      <c r="J702" s="4"/>
      <c r="K702" s="4"/>
      <c r="L702" s="53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76"/>
      <c r="F703" s="53"/>
      <c r="G703" s="4"/>
      <c r="H703" s="4"/>
      <c r="I703" s="4"/>
      <c r="J703" s="4"/>
      <c r="K703" s="4"/>
      <c r="L703" s="53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76"/>
      <c r="F704" s="53"/>
      <c r="G704" s="4"/>
      <c r="H704" s="4"/>
      <c r="I704" s="4"/>
      <c r="J704" s="4"/>
      <c r="K704" s="4"/>
      <c r="L704" s="53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76"/>
      <c r="F705" s="53"/>
      <c r="G705" s="4"/>
      <c r="H705" s="4"/>
      <c r="I705" s="4"/>
      <c r="J705" s="4"/>
      <c r="K705" s="4"/>
      <c r="L705" s="53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76"/>
      <c r="F706" s="53"/>
      <c r="G706" s="4"/>
      <c r="H706" s="4"/>
      <c r="I706" s="4"/>
      <c r="J706" s="4"/>
      <c r="K706" s="4"/>
      <c r="L706" s="53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76"/>
      <c r="F707" s="53"/>
      <c r="G707" s="4"/>
      <c r="H707" s="4"/>
      <c r="I707" s="4"/>
      <c r="J707" s="4"/>
      <c r="K707" s="4"/>
      <c r="L707" s="53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76"/>
      <c r="F708" s="53"/>
      <c r="G708" s="4"/>
      <c r="H708" s="4"/>
      <c r="I708" s="4"/>
      <c r="J708" s="4"/>
      <c r="K708" s="4"/>
      <c r="L708" s="53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76"/>
      <c r="F709" s="53"/>
      <c r="G709" s="4"/>
      <c r="H709" s="4"/>
      <c r="I709" s="4"/>
      <c r="J709" s="4"/>
      <c r="K709" s="4"/>
      <c r="L709" s="53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76"/>
      <c r="F710" s="53"/>
      <c r="G710" s="4"/>
      <c r="H710" s="4"/>
      <c r="I710" s="4"/>
      <c r="J710" s="4"/>
      <c r="K710" s="4"/>
      <c r="L710" s="53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76"/>
      <c r="F711" s="53"/>
      <c r="G711" s="4"/>
      <c r="H711" s="4"/>
      <c r="I711" s="4"/>
      <c r="J711" s="4"/>
      <c r="K711" s="4"/>
      <c r="L711" s="53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76"/>
      <c r="F712" s="53"/>
      <c r="G712" s="4"/>
      <c r="H712" s="4"/>
      <c r="I712" s="4"/>
      <c r="J712" s="4"/>
      <c r="K712" s="4"/>
      <c r="L712" s="53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76"/>
      <c r="F713" s="53"/>
      <c r="G713" s="4"/>
      <c r="H713" s="4"/>
      <c r="I713" s="4"/>
      <c r="J713" s="4"/>
      <c r="K713" s="4"/>
      <c r="L713" s="53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76"/>
      <c r="F714" s="53"/>
      <c r="G714" s="4"/>
      <c r="H714" s="4"/>
      <c r="I714" s="4"/>
      <c r="J714" s="4"/>
      <c r="K714" s="4"/>
      <c r="L714" s="53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76"/>
      <c r="F715" s="53"/>
      <c r="G715" s="4"/>
      <c r="H715" s="4"/>
      <c r="I715" s="4"/>
      <c r="J715" s="4"/>
      <c r="K715" s="4"/>
      <c r="L715" s="53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76"/>
      <c r="F716" s="53"/>
      <c r="G716" s="4"/>
      <c r="H716" s="4"/>
      <c r="I716" s="4"/>
      <c r="J716" s="4"/>
      <c r="K716" s="4"/>
      <c r="L716" s="53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76"/>
      <c r="F717" s="53"/>
      <c r="G717" s="4"/>
      <c r="H717" s="4"/>
      <c r="I717" s="4"/>
      <c r="J717" s="4"/>
      <c r="K717" s="4"/>
      <c r="L717" s="53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76"/>
      <c r="F718" s="53"/>
      <c r="G718" s="4"/>
      <c r="H718" s="4"/>
      <c r="I718" s="4"/>
      <c r="J718" s="4"/>
      <c r="K718" s="4"/>
      <c r="L718" s="53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76"/>
      <c r="F719" s="53"/>
      <c r="G719" s="4"/>
      <c r="H719" s="4"/>
      <c r="I719" s="4"/>
      <c r="J719" s="4"/>
      <c r="K719" s="4"/>
      <c r="L719" s="53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76"/>
      <c r="F720" s="53"/>
      <c r="G720" s="4"/>
      <c r="H720" s="4"/>
      <c r="I720" s="4"/>
      <c r="J720" s="4"/>
      <c r="K720" s="4"/>
      <c r="L720" s="53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76"/>
      <c r="F721" s="53"/>
      <c r="G721" s="4"/>
      <c r="H721" s="4"/>
      <c r="I721" s="4"/>
      <c r="J721" s="4"/>
      <c r="K721" s="4"/>
      <c r="L721" s="53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76"/>
      <c r="F722" s="53"/>
      <c r="G722" s="4"/>
      <c r="H722" s="4"/>
      <c r="I722" s="4"/>
      <c r="J722" s="4"/>
      <c r="K722" s="4"/>
      <c r="L722" s="53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76"/>
      <c r="F723" s="53"/>
      <c r="G723" s="4"/>
      <c r="H723" s="4"/>
      <c r="I723" s="4"/>
      <c r="J723" s="4"/>
      <c r="K723" s="4"/>
      <c r="L723" s="53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76"/>
      <c r="F724" s="53"/>
      <c r="G724" s="4"/>
      <c r="H724" s="4"/>
      <c r="I724" s="4"/>
      <c r="J724" s="4"/>
      <c r="K724" s="4"/>
      <c r="L724" s="53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76"/>
      <c r="F725" s="53"/>
      <c r="G725" s="4"/>
      <c r="H725" s="4"/>
      <c r="I725" s="4"/>
      <c r="J725" s="4"/>
      <c r="K725" s="4"/>
      <c r="L725" s="53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76"/>
      <c r="F726" s="53"/>
      <c r="G726" s="4"/>
      <c r="H726" s="4"/>
      <c r="I726" s="4"/>
      <c r="J726" s="4"/>
      <c r="K726" s="4"/>
      <c r="L726" s="53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76"/>
      <c r="F727" s="53"/>
      <c r="G727" s="4"/>
      <c r="H727" s="4"/>
      <c r="I727" s="4"/>
      <c r="J727" s="4"/>
      <c r="K727" s="4"/>
      <c r="L727" s="53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76"/>
      <c r="F728" s="53"/>
      <c r="G728" s="4"/>
      <c r="H728" s="4"/>
      <c r="I728" s="4"/>
      <c r="J728" s="4"/>
      <c r="K728" s="4"/>
      <c r="L728" s="53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76"/>
      <c r="F729" s="53"/>
      <c r="G729" s="4"/>
      <c r="H729" s="4"/>
      <c r="I729" s="4"/>
      <c r="J729" s="4"/>
      <c r="K729" s="4"/>
      <c r="L729" s="53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76"/>
      <c r="F730" s="53"/>
      <c r="G730" s="4"/>
      <c r="H730" s="4"/>
      <c r="I730" s="4"/>
      <c r="J730" s="4"/>
      <c r="K730" s="4"/>
      <c r="L730" s="53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76"/>
      <c r="F731" s="53"/>
      <c r="G731" s="4"/>
      <c r="H731" s="4"/>
      <c r="I731" s="4"/>
      <c r="J731" s="4"/>
      <c r="K731" s="4"/>
      <c r="L731" s="53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76"/>
      <c r="F732" s="53"/>
      <c r="G732" s="4"/>
      <c r="H732" s="4"/>
      <c r="I732" s="4"/>
      <c r="J732" s="4"/>
      <c r="K732" s="4"/>
      <c r="L732" s="53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76"/>
      <c r="F733" s="53"/>
      <c r="G733" s="4"/>
      <c r="H733" s="4"/>
      <c r="I733" s="4"/>
      <c r="J733" s="4"/>
      <c r="K733" s="4"/>
      <c r="L733" s="53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76"/>
      <c r="F734" s="53"/>
      <c r="G734" s="4"/>
      <c r="H734" s="4"/>
      <c r="I734" s="4"/>
      <c r="J734" s="4"/>
      <c r="K734" s="4"/>
      <c r="L734" s="53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76"/>
      <c r="F735" s="53"/>
      <c r="G735" s="4"/>
      <c r="H735" s="4"/>
      <c r="I735" s="4"/>
      <c r="J735" s="4"/>
      <c r="K735" s="4"/>
      <c r="L735" s="53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76"/>
      <c r="F736" s="53"/>
      <c r="G736" s="4"/>
      <c r="H736" s="4"/>
      <c r="I736" s="4"/>
      <c r="J736" s="4"/>
      <c r="K736" s="4"/>
      <c r="L736" s="53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76"/>
      <c r="F737" s="53"/>
      <c r="G737" s="4"/>
      <c r="H737" s="4"/>
      <c r="I737" s="4"/>
      <c r="J737" s="4"/>
      <c r="K737" s="4"/>
      <c r="L737" s="53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76"/>
      <c r="F738" s="53"/>
      <c r="G738" s="4"/>
      <c r="H738" s="4"/>
      <c r="I738" s="4"/>
      <c r="J738" s="4"/>
      <c r="K738" s="4"/>
      <c r="L738" s="53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76"/>
      <c r="F739" s="53"/>
      <c r="G739" s="4"/>
      <c r="H739" s="4"/>
      <c r="I739" s="4"/>
      <c r="J739" s="4"/>
      <c r="K739" s="4"/>
      <c r="L739" s="53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76"/>
      <c r="F740" s="53"/>
      <c r="G740" s="4"/>
      <c r="H740" s="4"/>
      <c r="I740" s="4"/>
      <c r="J740" s="4"/>
      <c r="K740" s="4"/>
      <c r="L740" s="53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76"/>
      <c r="F741" s="53"/>
      <c r="G741" s="4"/>
      <c r="H741" s="4"/>
      <c r="I741" s="4"/>
      <c r="J741" s="4"/>
      <c r="K741" s="4"/>
      <c r="L741" s="53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76"/>
      <c r="F742" s="53"/>
      <c r="G742" s="4"/>
      <c r="H742" s="4"/>
      <c r="I742" s="4"/>
      <c r="J742" s="4"/>
      <c r="K742" s="4"/>
      <c r="L742" s="53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76"/>
      <c r="F743" s="53"/>
      <c r="G743" s="4"/>
      <c r="H743" s="4"/>
      <c r="I743" s="4"/>
      <c r="J743" s="4"/>
      <c r="K743" s="4"/>
      <c r="L743" s="53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76"/>
      <c r="F744" s="53"/>
      <c r="G744" s="4"/>
      <c r="H744" s="4"/>
      <c r="I744" s="4"/>
      <c r="J744" s="4"/>
      <c r="K744" s="4"/>
      <c r="L744" s="53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76"/>
      <c r="F745" s="53"/>
      <c r="G745" s="4"/>
      <c r="H745" s="4"/>
      <c r="I745" s="4"/>
      <c r="J745" s="4"/>
      <c r="K745" s="4"/>
      <c r="L745" s="53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76"/>
      <c r="F746" s="53"/>
      <c r="G746" s="4"/>
      <c r="H746" s="4"/>
      <c r="I746" s="4"/>
      <c r="J746" s="4"/>
      <c r="K746" s="4"/>
      <c r="L746" s="53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76"/>
      <c r="F747" s="53"/>
      <c r="G747" s="4"/>
      <c r="H747" s="4"/>
      <c r="I747" s="4"/>
      <c r="J747" s="4"/>
      <c r="K747" s="4"/>
      <c r="L747" s="53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76"/>
      <c r="F748" s="53"/>
      <c r="G748" s="4"/>
      <c r="H748" s="4"/>
      <c r="I748" s="4"/>
      <c r="J748" s="4"/>
      <c r="K748" s="4"/>
      <c r="L748" s="53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76"/>
      <c r="F749" s="53"/>
      <c r="G749" s="4"/>
      <c r="H749" s="4"/>
      <c r="I749" s="4"/>
      <c r="J749" s="4"/>
      <c r="K749" s="4"/>
      <c r="L749" s="53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76"/>
      <c r="F750" s="53"/>
      <c r="G750" s="4"/>
      <c r="H750" s="4"/>
      <c r="I750" s="4"/>
      <c r="J750" s="4"/>
      <c r="K750" s="4"/>
      <c r="L750" s="53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76"/>
      <c r="F751" s="53"/>
      <c r="G751" s="4"/>
      <c r="H751" s="4"/>
      <c r="I751" s="4"/>
      <c r="J751" s="4"/>
      <c r="K751" s="4"/>
      <c r="L751" s="53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76"/>
      <c r="F752" s="53"/>
      <c r="G752" s="4"/>
      <c r="H752" s="4"/>
      <c r="I752" s="4"/>
      <c r="J752" s="4"/>
      <c r="K752" s="4"/>
      <c r="L752" s="53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76"/>
      <c r="F753" s="53"/>
      <c r="G753" s="4"/>
      <c r="H753" s="4"/>
      <c r="I753" s="4"/>
      <c r="J753" s="4"/>
      <c r="K753" s="4"/>
      <c r="L753" s="53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76"/>
      <c r="F754" s="53"/>
      <c r="G754" s="4"/>
      <c r="H754" s="4"/>
      <c r="I754" s="4"/>
      <c r="J754" s="4"/>
      <c r="K754" s="4"/>
      <c r="L754" s="53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76"/>
      <c r="F755" s="53"/>
      <c r="G755" s="4"/>
      <c r="H755" s="4"/>
      <c r="I755" s="4"/>
      <c r="J755" s="4"/>
      <c r="K755" s="4"/>
      <c r="L755" s="53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76"/>
      <c r="F756" s="53"/>
      <c r="G756" s="4"/>
      <c r="H756" s="4"/>
      <c r="I756" s="4"/>
      <c r="J756" s="4"/>
      <c r="K756" s="4"/>
      <c r="L756" s="53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76"/>
      <c r="F757" s="53"/>
      <c r="G757" s="4"/>
      <c r="H757" s="4"/>
      <c r="I757" s="4"/>
      <c r="J757" s="4"/>
      <c r="K757" s="4"/>
      <c r="L757" s="53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76"/>
      <c r="F758" s="53"/>
      <c r="G758" s="4"/>
      <c r="H758" s="4"/>
      <c r="I758" s="4"/>
      <c r="J758" s="4"/>
      <c r="K758" s="4"/>
      <c r="L758" s="53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76"/>
      <c r="F759" s="53"/>
      <c r="G759" s="4"/>
      <c r="H759" s="4"/>
      <c r="I759" s="4"/>
      <c r="J759" s="4"/>
      <c r="K759" s="4"/>
      <c r="L759" s="53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76"/>
      <c r="F760" s="53"/>
      <c r="G760" s="4"/>
      <c r="H760" s="4"/>
      <c r="I760" s="4"/>
      <c r="J760" s="4"/>
      <c r="K760" s="4"/>
      <c r="L760" s="53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76"/>
      <c r="F761" s="53"/>
      <c r="G761" s="4"/>
      <c r="H761" s="4"/>
      <c r="I761" s="4"/>
      <c r="J761" s="4"/>
      <c r="K761" s="4"/>
      <c r="L761" s="53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76"/>
      <c r="F762" s="53"/>
      <c r="G762" s="4"/>
      <c r="H762" s="4"/>
      <c r="I762" s="4"/>
      <c r="J762" s="4"/>
      <c r="K762" s="4"/>
      <c r="L762" s="53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76"/>
      <c r="F763" s="53"/>
      <c r="G763" s="4"/>
      <c r="H763" s="4"/>
      <c r="I763" s="4"/>
      <c r="J763" s="4"/>
      <c r="K763" s="4"/>
      <c r="L763" s="53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76"/>
      <c r="F764" s="53"/>
      <c r="G764" s="4"/>
      <c r="H764" s="4"/>
      <c r="I764" s="4"/>
      <c r="J764" s="4"/>
      <c r="K764" s="4"/>
      <c r="L764" s="53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76"/>
      <c r="F765" s="53"/>
      <c r="G765" s="4"/>
      <c r="H765" s="4"/>
      <c r="I765" s="4"/>
      <c r="J765" s="4"/>
      <c r="K765" s="4"/>
      <c r="L765" s="53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76"/>
      <c r="F766" s="53"/>
      <c r="G766" s="4"/>
      <c r="H766" s="4"/>
      <c r="I766" s="4"/>
      <c r="J766" s="4"/>
      <c r="K766" s="4"/>
      <c r="L766" s="53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76"/>
      <c r="F767" s="53"/>
      <c r="G767" s="4"/>
      <c r="H767" s="4"/>
      <c r="I767" s="4"/>
      <c r="J767" s="4"/>
      <c r="K767" s="4"/>
      <c r="L767" s="53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76"/>
      <c r="F768" s="53"/>
      <c r="G768" s="4"/>
      <c r="H768" s="4"/>
      <c r="I768" s="4"/>
      <c r="J768" s="4"/>
      <c r="K768" s="4"/>
      <c r="L768" s="53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76"/>
      <c r="F769" s="53"/>
      <c r="G769" s="4"/>
      <c r="H769" s="4"/>
      <c r="I769" s="4"/>
      <c r="J769" s="4"/>
      <c r="K769" s="4"/>
      <c r="L769" s="53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76"/>
      <c r="F770" s="53"/>
      <c r="G770" s="4"/>
      <c r="H770" s="4"/>
      <c r="I770" s="4"/>
      <c r="J770" s="4"/>
      <c r="K770" s="4"/>
      <c r="L770" s="53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76"/>
      <c r="F771" s="53"/>
      <c r="G771" s="4"/>
      <c r="H771" s="4"/>
      <c r="I771" s="4"/>
      <c r="J771" s="4"/>
      <c r="K771" s="4"/>
      <c r="L771" s="53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76"/>
      <c r="F772" s="53"/>
      <c r="G772" s="4"/>
      <c r="H772" s="4"/>
      <c r="I772" s="4"/>
      <c r="J772" s="4"/>
      <c r="K772" s="4"/>
      <c r="L772" s="53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76"/>
      <c r="F773" s="53"/>
      <c r="G773" s="4"/>
      <c r="H773" s="4"/>
      <c r="I773" s="4"/>
      <c r="J773" s="4"/>
      <c r="K773" s="4"/>
      <c r="L773" s="53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76"/>
      <c r="F774" s="53"/>
      <c r="G774" s="4"/>
      <c r="H774" s="4"/>
      <c r="I774" s="4"/>
      <c r="J774" s="4"/>
      <c r="K774" s="4"/>
      <c r="L774" s="53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76"/>
      <c r="F775" s="53"/>
      <c r="G775" s="4"/>
      <c r="H775" s="4"/>
      <c r="I775" s="4"/>
      <c r="J775" s="4"/>
      <c r="K775" s="4"/>
      <c r="L775" s="53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76"/>
      <c r="F776" s="53"/>
      <c r="G776" s="4"/>
      <c r="H776" s="4"/>
      <c r="I776" s="4"/>
      <c r="J776" s="4"/>
      <c r="K776" s="4"/>
      <c r="L776" s="53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76"/>
      <c r="F777" s="53"/>
      <c r="G777" s="4"/>
      <c r="H777" s="4"/>
      <c r="I777" s="4"/>
      <c r="J777" s="4"/>
      <c r="K777" s="4"/>
      <c r="L777" s="53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76"/>
      <c r="F778" s="53"/>
      <c r="G778" s="4"/>
      <c r="H778" s="4"/>
      <c r="I778" s="4"/>
      <c r="J778" s="4"/>
      <c r="K778" s="4"/>
      <c r="L778" s="53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76"/>
      <c r="F779" s="53"/>
      <c r="G779" s="4"/>
      <c r="H779" s="4"/>
      <c r="I779" s="4"/>
      <c r="J779" s="4"/>
      <c r="K779" s="4"/>
      <c r="L779" s="53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76"/>
      <c r="F780" s="53"/>
      <c r="G780" s="4"/>
      <c r="H780" s="4"/>
      <c r="I780" s="4"/>
      <c r="J780" s="4"/>
      <c r="K780" s="4"/>
      <c r="L780" s="53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76"/>
      <c r="F781" s="53"/>
      <c r="G781" s="4"/>
      <c r="H781" s="4"/>
      <c r="I781" s="4"/>
      <c r="J781" s="4"/>
      <c r="K781" s="4"/>
      <c r="L781" s="53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76"/>
      <c r="F782" s="53"/>
      <c r="G782" s="4"/>
      <c r="H782" s="4"/>
      <c r="I782" s="4"/>
      <c r="J782" s="4"/>
      <c r="K782" s="4"/>
      <c r="L782" s="53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76"/>
      <c r="F783" s="53"/>
      <c r="G783" s="4"/>
      <c r="H783" s="4"/>
      <c r="I783" s="4"/>
      <c r="J783" s="4"/>
      <c r="K783" s="4"/>
      <c r="L783" s="53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76"/>
      <c r="F784" s="53"/>
      <c r="G784" s="4"/>
      <c r="H784" s="4"/>
      <c r="I784" s="4"/>
      <c r="J784" s="4"/>
      <c r="K784" s="4"/>
      <c r="L784" s="53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76"/>
      <c r="F785" s="53"/>
      <c r="G785" s="4"/>
      <c r="H785" s="4"/>
      <c r="I785" s="4"/>
      <c r="J785" s="4"/>
      <c r="K785" s="4"/>
      <c r="L785" s="53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76"/>
      <c r="F786" s="53"/>
      <c r="G786" s="4"/>
      <c r="H786" s="4"/>
      <c r="I786" s="4"/>
      <c r="J786" s="4"/>
      <c r="K786" s="4"/>
      <c r="L786" s="53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76"/>
      <c r="F787" s="53"/>
      <c r="G787" s="4"/>
      <c r="H787" s="4"/>
      <c r="I787" s="4"/>
      <c r="J787" s="4"/>
      <c r="K787" s="4"/>
      <c r="L787" s="53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76"/>
      <c r="F788" s="53"/>
      <c r="G788" s="4"/>
      <c r="H788" s="4"/>
      <c r="I788" s="4"/>
      <c r="J788" s="4"/>
      <c r="K788" s="4"/>
      <c r="L788" s="53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76"/>
      <c r="F789" s="53"/>
      <c r="G789" s="4"/>
      <c r="H789" s="4"/>
      <c r="I789" s="4"/>
      <c r="J789" s="4"/>
      <c r="K789" s="4"/>
      <c r="L789" s="53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76"/>
      <c r="F790" s="53"/>
      <c r="G790" s="4"/>
      <c r="H790" s="4"/>
      <c r="I790" s="4"/>
      <c r="J790" s="4"/>
      <c r="K790" s="4"/>
      <c r="L790" s="53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76"/>
      <c r="F791" s="53"/>
      <c r="G791" s="4"/>
      <c r="H791" s="4"/>
      <c r="I791" s="4"/>
      <c r="J791" s="4"/>
      <c r="K791" s="4"/>
      <c r="L791" s="53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76"/>
      <c r="F792" s="53"/>
      <c r="G792" s="4"/>
      <c r="H792" s="4"/>
      <c r="I792" s="4"/>
      <c r="J792" s="4"/>
      <c r="K792" s="4"/>
      <c r="L792" s="53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76"/>
      <c r="F793" s="53"/>
      <c r="G793" s="4"/>
      <c r="H793" s="4"/>
      <c r="I793" s="4"/>
      <c r="J793" s="4"/>
      <c r="K793" s="4"/>
      <c r="L793" s="53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76"/>
      <c r="F794" s="53"/>
      <c r="G794" s="4"/>
      <c r="H794" s="4"/>
      <c r="I794" s="4"/>
      <c r="J794" s="4"/>
      <c r="K794" s="4"/>
      <c r="L794" s="53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76"/>
      <c r="F795" s="53"/>
      <c r="G795" s="4"/>
      <c r="H795" s="4"/>
      <c r="I795" s="4"/>
      <c r="J795" s="4"/>
      <c r="K795" s="4"/>
      <c r="L795" s="53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76"/>
      <c r="F796" s="53"/>
      <c r="G796" s="4"/>
      <c r="H796" s="4"/>
      <c r="I796" s="4"/>
      <c r="J796" s="4"/>
      <c r="K796" s="4"/>
      <c r="L796" s="53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76"/>
      <c r="F797" s="53"/>
      <c r="G797" s="4"/>
      <c r="H797" s="4"/>
      <c r="I797" s="4"/>
      <c r="J797" s="4"/>
      <c r="K797" s="4"/>
      <c r="L797" s="53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76"/>
      <c r="F798" s="53"/>
      <c r="G798" s="4"/>
      <c r="H798" s="4"/>
      <c r="I798" s="4"/>
      <c r="J798" s="4"/>
      <c r="K798" s="4"/>
      <c r="L798" s="53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76"/>
      <c r="F799" s="53"/>
      <c r="G799" s="4"/>
      <c r="H799" s="4"/>
      <c r="I799" s="4"/>
      <c r="J799" s="4"/>
      <c r="K799" s="4"/>
      <c r="L799" s="53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76"/>
      <c r="F800" s="53"/>
      <c r="G800" s="4"/>
      <c r="H800" s="4"/>
      <c r="I800" s="4"/>
      <c r="J800" s="4"/>
      <c r="K800" s="4"/>
      <c r="L800" s="53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76"/>
      <c r="F801" s="53"/>
      <c r="G801" s="4"/>
      <c r="H801" s="4"/>
      <c r="I801" s="4"/>
      <c r="J801" s="4"/>
      <c r="K801" s="4"/>
      <c r="L801" s="53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76"/>
      <c r="F802" s="53"/>
      <c r="G802" s="4"/>
      <c r="H802" s="4"/>
      <c r="I802" s="4"/>
      <c r="J802" s="4"/>
      <c r="K802" s="4"/>
      <c r="L802" s="53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76"/>
      <c r="F803" s="53"/>
      <c r="G803" s="4"/>
      <c r="H803" s="4"/>
      <c r="I803" s="4"/>
      <c r="J803" s="4"/>
      <c r="K803" s="4"/>
      <c r="L803" s="53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76"/>
      <c r="F804" s="53"/>
      <c r="G804" s="4"/>
      <c r="H804" s="4"/>
      <c r="I804" s="4"/>
      <c r="J804" s="4"/>
      <c r="K804" s="4"/>
      <c r="L804" s="53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76"/>
      <c r="F805" s="53"/>
      <c r="G805" s="4"/>
      <c r="H805" s="4"/>
      <c r="I805" s="4"/>
      <c r="J805" s="4"/>
      <c r="K805" s="4"/>
      <c r="L805" s="53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76"/>
      <c r="F806" s="53"/>
      <c r="G806" s="4"/>
      <c r="H806" s="4"/>
      <c r="I806" s="4"/>
      <c r="J806" s="4"/>
      <c r="K806" s="4"/>
      <c r="L806" s="53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76"/>
      <c r="F807" s="53"/>
      <c r="G807" s="4"/>
      <c r="H807" s="4"/>
      <c r="I807" s="4"/>
      <c r="J807" s="4"/>
      <c r="K807" s="4"/>
      <c r="L807" s="53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76"/>
      <c r="F808" s="53"/>
      <c r="G808" s="4"/>
      <c r="H808" s="4"/>
      <c r="I808" s="4"/>
      <c r="J808" s="4"/>
      <c r="K808" s="4"/>
      <c r="L808" s="53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76"/>
      <c r="F809" s="53"/>
      <c r="G809" s="4"/>
      <c r="H809" s="4"/>
      <c r="I809" s="4"/>
      <c r="J809" s="4"/>
      <c r="K809" s="4"/>
      <c r="L809" s="53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76"/>
      <c r="F810" s="53"/>
      <c r="G810" s="4"/>
      <c r="H810" s="4"/>
      <c r="I810" s="4"/>
      <c r="J810" s="4"/>
      <c r="K810" s="4"/>
      <c r="L810" s="53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76"/>
      <c r="F811" s="53"/>
      <c r="G811" s="4"/>
      <c r="H811" s="4"/>
      <c r="I811" s="4"/>
      <c r="J811" s="4"/>
      <c r="K811" s="4"/>
      <c r="L811" s="53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76"/>
      <c r="F812" s="53"/>
      <c r="G812" s="4"/>
      <c r="H812" s="4"/>
      <c r="I812" s="4"/>
      <c r="J812" s="4"/>
      <c r="K812" s="4"/>
      <c r="L812" s="53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76"/>
      <c r="F813" s="53"/>
      <c r="G813" s="4"/>
      <c r="H813" s="4"/>
      <c r="I813" s="4"/>
      <c r="J813" s="4"/>
      <c r="K813" s="4"/>
      <c r="L813" s="53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76"/>
      <c r="F814" s="53"/>
      <c r="G814" s="4"/>
      <c r="H814" s="4"/>
      <c r="I814" s="4"/>
      <c r="J814" s="4"/>
      <c r="K814" s="4"/>
      <c r="L814" s="53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76"/>
      <c r="F815" s="53"/>
      <c r="G815" s="4"/>
      <c r="H815" s="4"/>
      <c r="I815" s="4"/>
      <c r="J815" s="4"/>
      <c r="K815" s="4"/>
      <c r="L815" s="53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76"/>
      <c r="F816" s="53"/>
      <c r="G816" s="4"/>
      <c r="H816" s="4"/>
      <c r="I816" s="4"/>
      <c r="J816" s="4"/>
      <c r="K816" s="4"/>
      <c r="L816" s="53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76"/>
      <c r="F817" s="53"/>
      <c r="G817" s="4"/>
      <c r="H817" s="4"/>
      <c r="I817" s="4"/>
      <c r="J817" s="4"/>
      <c r="K817" s="4"/>
      <c r="L817" s="53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76"/>
      <c r="F818" s="53"/>
      <c r="G818" s="4"/>
      <c r="H818" s="4"/>
      <c r="I818" s="4"/>
      <c r="J818" s="4"/>
      <c r="K818" s="4"/>
      <c r="L818" s="53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76"/>
      <c r="F819" s="53"/>
      <c r="G819" s="4"/>
      <c r="H819" s="4"/>
      <c r="I819" s="4"/>
      <c r="J819" s="4"/>
      <c r="K819" s="4"/>
      <c r="L819" s="53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76"/>
      <c r="F820" s="53"/>
      <c r="G820" s="4"/>
      <c r="H820" s="4"/>
      <c r="I820" s="4"/>
      <c r="J820" s="4"/>
      <c r="K820" s="4"/>
      <c r="L820" s="53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76"/>
      <c r="F821" s="53"/>
      <c r="G821" s="4"/>
      <c r="H821" s="4"/>
      <c r="I821" s="4"/>
      <c r="J821" s="4"/>
      <c r="K821" s="4"/>
      <c r="L821" s="53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76"/>
      <c r="F822" s="53"/>
      <c r="G822" s="4"/>
      <c r="H822" s="4"/>
      <c r="I822" s="4"/>
      <c r="J822" s="4"/>
      <c r="K822" s="4"/>
      <c r="L822" s="53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76"/>
      <c r="F823" s="53"/>
      <c r="G823" s="4"/>
      <c r="H823" s="4"/>
      <c r="I823" s="4"/>
      <c r="J823" s="4"/>
      <c r="K823" s="4"/>
      <c r="L823" s="53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76"/>
      <c r="F824" s="53"/>
      <c r="G824" s="4"/>
      <c r="H824" s="4"/>
      <c r="I824" s="4"/>
      <c r="J824" s="4"/>
      <c r="K824" s="4"/>
      <c r="L824" s="53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76"/>
      <c r="F825" s="53"/>
      <c r="G825" s="4"/>
      <c r="H825" s="4"/>
      <c r="I825" s="4"/>
      <c r="J825" s="4"/>
      <c r="K825" s="4"/>
      <c r="L825" s="53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76"/>
      <c r="F826" s="53"/>
      <c r="G826" s="4"/>
      <c r="H826" s="4"/>
      <c r="I826" s="4"/>
      <c r="J826" s="4"/>
      <c r="K826" s="4"/>
      <c r="L826" s="53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76"/>
      <c r="F827" s="53"/>
      <c r="G827" s="4"/>
      <c r="H827" s="4"/>
      <c r="I827" s="4"/>
      <c r="J827" s="4"/>
      <c r="K827" s="4"/>
      <c r="L827" s="53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76"/>
      <c r="F828" s="53"/>
      <c r="G828" s="4"/>
      <c r="H828" s="4"/>
      <c r="I828" s="4"/>
      <c r="J828" s="4"/>
      <c r="K828" s="4"/>
      <c r="L828" s="53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76"/>
      <c r="F829" s="53"/>
      <c r="G829" s="4"/>
      <c r="H829" s="4"/>
      <c r="I829" s="4"/>
      <c r="J829" s="4"/>
      <c r="K829" s="4"/>
      <c r="L829" s="53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76"/>
      <c r="F830" s="53"/>
      <c r="G830" s="4"/>
      <c r="H830" s="4"/>
      <c r="I830" s="4"/>
      <c r="J830" s="4"/>
      <c r="K830" s="4"/>
      <c r="L830" s="53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76"/>
      <c r="F831" s="53"/>
      <c r="G831" s="4"/>
      <c r="H831" s="4"/>
      <c r="I831" s="4"/>
      <c r="J831" s="4"/>
      <c r="K831" s="4"/>
      <c r="L831" s="53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76"/>
      <c r="F832" s="53"/>
      <c r="G832" s="4"/>
      <c r="H832" s="4"/>
      <c r="I832" s="4"/>
      <c r="J832" s="4"/>
      <c r="K832" s="4"/>
      <c r="L832" s="53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76"/>
      <c r="F833" s="53"/>
      <c r="G833" s="4"/>
      <c r="H833" s="4"/>
      <c r="I833" s="4"/>
      <c r="J833" s="4"/>
      <c r="K833" s="4"/>
      <c r="L833" s="53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76"/>
      <c r="F834" s="53"/>
      <c r="G834" s="4"/>
      <c r="H834" s="4"/>
      <c r="I834" s="4"/>
      <c r="J834" s="4"/>
      <c r="K834" s="4"/>
      <c r="L834" s="53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76"/>
      <c r="F835" s="53"/>
      <c r="G835" s="4"/>
      <c r="H835" s="4"/>
      <c r="I835" s="4"/>
      <c r="J835" s="4"/>
      <c r="K835" s="4"/>
      <c r="L835" s="53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76"/>
      <c r="F836" s="53"/>
      <c r="G836" s="4"/>
      <c r="H836" s="4"/>
      <c r="I836" s="4"/>
      <c r="J836" s="4"/>
      <c r="K836" s="4"/>
      <c r="L836" s="53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76"/>
      <c r="F837" s="53"/>
      <c r="G837" s="4"/>
      <c r="H837" s="4"/>
      <c r="I837" s="4"/>
      <c r="J837" s="4"/>
      <c r="K837" s="4"/>
      <c r="L837" s="53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76"/>
      <c r="F838" s="53"/>
      <c r="G838" s="4"/>
      <c r="H838" s="4"/>
      <c r="I838" s="4"/>
      <c r="J838" s="4"/>
      <c r="K838" s="4"/>
      <c r="L838" s="53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76"/>
      <c r="F839" s="53"/>
      <c r="G839" s="4"/>
      <c r="H839" s="4"/>
      <c r="I839" s="4"/>
      <c r="J839" s="4"/>
      <c r="K839" s="4"/>
      <c r="L839" s="53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76"/>
      <c r="F840" s="53"/>
      <c r="G840" s="4"/>
      <c r="H840" s="4"/>
      <c r="I840" s="4"/>
      <c r="J840" s="4"/>
      <c r="K840" s="4"/>
      <c r="L840" s="53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76"/>
      <c r="F841" s="53"/>
      <c r="G841" s="4"/>
      <c r="H841" s="4"/>
      <c r="I841" s="4"/>
      <c r="J841" s="4"/>
      <c r="K841" s="4"/>
      <c r="L841" s="53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76"/>
      <c r="F842" s="53"/>
      <c r="G842" s="4"/>
      <c r="H842" s="4"/>
      <c r="I842" s="4"/>
      <c r="J842" s="4"/>
      <c r="K842" s="4"/>
      <c r="L842" s="53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76"/>
      <c r="F843" s="53"/>
      <c r="G843" s="4"/>
      <c r="H843" s="4"/>
      <c r="I843" s="4"/>
      <c r="J843" s="4"/>
      <c r="K843" s="4"/>
      <c r="L843" s="53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76"/>
      <c r="F844" s="53"/>
      <c r="G844" s="4"/>
      <c r="H844" s="4"/>
      <c r="I844" s="4"/>
      <c r="J844" s="4"/>
      <c r="K844" s="4"/>
      <c r="L844" s="53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76"/>
      <c r="F845" s="53"/>
      <c r="G845" s="4"/>
      <c r="H845" s="4"/>
      <c r="I845" s="4"/>
      <c r="J845" s="4"/>
      <c r="K845" s="4"/>
      <c r="L845" s="53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76"/>
      <c r="F846" s="53"/>
      <c r="G846" s="4"/>
      <c r="H846" s="4"/>
      <c r="I846" s="4"/>
      <c r="J846" s="4"/>
      <c r="K846" s="4"/>
      <c r="L846" s="53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76"/>
      <c r="F847" s="53"/>
      <c r="G847" s="4"/>
      <c r="H847" s="4"/>
      <c r="I847" s="4"/>
      <c r="J847" s="4"/>
      <c r="K847" s="4"/>
      <c r="L847" s="53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76"/>
      <c r="F848" s="53"/>
      <c r="G848" s="4"/>
      <c r="H848" s="4"/>
      <c r="I848" s="4"/>
      <c r="J848" s="4"/>
      <c r="K848" s="4"/>
      <c r="L848" s="53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76"/>
      <c r="F849" s="53"/>
      <c r="G849" s="4"/>
      <c r="H849" s="4"/>
      <c r="I849" s="4"/>
      <c r="J849" s="4"/>
      <c r="K849" s="4"/>
      <c r="L849" s="53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76"/>
      <c r="F850" s="53"/>
      <c r="G850" s="4"/>
      <c r="H850" s="4"/>
      <c r="I850" s="4"/>
      <c r="J850" s="4"/>
      <c r="K850" s="4"/>
      <c r="L850" s="53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76"/>
      <c r="F851" s="53"/>
      <c r="G851" s="4"/>
      <c r="H851" s="4"/>
      <c r="I851" s="4"/>
      <c r="J851" s="4"/>
      <c r="K851" s="4"/>
      <c r="L851" s="53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76"/>
      <c r="F852" s="53"/>
      <c r="G852" s="4"/>
      <c r="H852" s="4"/>
      <c r="I852" s="4"/>
      <c r="J852" s="4"/>
      <c r="K852" s="4"/>
      <c r="L852" s="53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76"/>
      <c r="F853" s="53"/>
      <c r="G853" s="4"/>
      <c r="H853" s="4"/>
      <c r="I853" s="4"/>
      <c r="J853" s="4"/>
      <c r="K853" s="4"/>
      <c r="L853" s="53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76"/>
      <c r="F854" s="53"/>
      <c r="G854" s="4"/>
      <c r="H854" s="4"/>
      <c r="I854" s="4"/>
      <c r="J854" s="4"/>
      <c r="K854" s="4"/>
      <c r="L854" s="53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76"/>
      <c r="F855" s="53"/>
      <c r="G855" s="4"/>
      <c r="H855" s="4"/>
      <c r="I855" s="4"/>
      <c r="J855" s="4"/>
      <c r="K855" s="4"/>
      <c r="L855" s="53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76"/>
      <c r="F856" s="53"/>
      <c r="G856" s="4"/>
      <c r="H856" s="4"/>
      <c r="I856" s="4"/>
      <c r="J856" s="4"/>
      <c r="K856" s="4"/>
      <c r="L856" s="53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76"/>
      <c r="F857" s="53"/>
      <c r="G857" s="4"/>
      <c r="H857" s="4"/>
      <c r="I857" s="4"/>
      <c r="J857" s="4"/>
      <c r="K857" s="4"/>
      <c r="L857" s="53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76"/>
      <c r="F858" s="53"/>
      <c r="G858" s="4"/>
      <c r="H858" s="4"/>
      <c r="I858" s="4"/>
      <c r="J858" s="4"/>
      <c r="K858" s="4"/>
      <c r="L858" s="53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76"/>
      <c r="F859" s="53"/>
      <c r="G859" s="4"/>
      <c r="H859" s="4"/>
      <c r="I859" s="4"/>
      <c r="J859" s="4"/>
      <c r="K859" s="4"/>
      <c r="L859" s="53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76"/>
      <c r="F860" s="53"/>
      <c r="G860" s="4"/>
      <c r="H860" s="4"/>
      <c r="I860" s="4"/>
      <c r="J860" s="4"/>
      <c r="K860" s="4"/>
      <c r="L860" s="53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76"/>
      <c r="F861" s="53"/>
      <c r="G861" s="4"/>
      <c r="H861" s="4"/>
      <c r="I861" s="4"/>
      <c r="J861" s="4"/>
      <c r="K861" s="4"/>
      <c r="L861" s="53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76"/>
      <c r="F862" s="53"/>
      <c r="G862" s="4"/>
      <c r="H862" s="4"/>
      <c r="I862" s="4"/>
      <c r="J862" s="4"/>
      <c r="K862" s="4"/>
      <c r="L862" s="53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76"/>
      <c r="F863" s="53"/>
      <c r="G863" s="4"/>
      <c r="H863" s="4"/>
      <c r="I863" s="4"/>
      <c r="J863" s="4"/>
      <c r="K863" s="4"/>
      <c r="L863" s="53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76"/>
      <c r="F864" s="53"/>
      <c r="G864" s="4"/>
      <c r="H864" s="4"/>
      <c r="I864" s="4"/>
      <c r="J864" s="4"/>
      <c r="K864" s="4"/>
      <c r="L864" s="53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76"/>
      <c r="F865" s="53"/>
      <c r="G865" s="4"/>
      <c r="H865" s="4"/>
      <c r="I865" s="4"/>
      <c r="J865" s="4"/>
      <c r="K865" s="4"/>
      <c r="L865" s="53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76"/>
      <c r="F866" s="53"/>
      <c r="G866" s="4"/>
      <c r="H866" s="4"/>
      <c r="I866" s="4"/>
      <c r="J866" s="4"/>
      <c r="K866" s="4"/>
      <c r="L866" s="53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76"/>
      <c r="F867" s="53"/>
      <c r="G867" s="4"/>
      <c r="H867" s="4"/>
      <c r="I867" s="4"/>
      <c r="J867" s="4"/>
      <c r="K867" s="4"/>
      <c r="L867" s="53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76"/>
      <c r="F868" s="53"/>
      <c r="G868" s="4"/>
      <c r="H868" s="4"/>
      <c r="I868" s="4"/>
      <c r="J868" s="4"/>
      <c r="K868" s="4"/>
      <c r="L868" s="53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76"/>
      <c r="F869" s="53"/>
      <c r="G869" s="4"/>
      <c r="H869" s="4"/>
      <c r="I869" s="4"/>
      <c r="J869" s="4"/>
      <c r="K869" s="4"/>
      <c r="L869" s="53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76"/>
      <c r="F870" s="53"/>
      <c r="G870" s="4"/>
      <c r="H870" s="4"/>
      <c r="I870" s="4"/>
      <c r="J870" s="4"/>
      <c r="K870" s="4"/>
      <c r="L870" s="53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76"/>
      <c r="F871" s="53"/>
      <c r="G871" s="4"/>
      <c r="H871" s="4"/>
      <c r="I871" s="4"/>
      <c r="J871" s="4"/>
      <c r="K871" s="4"/>
      <c r="L871" s="53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76"/>
      <c r="F872" s="53"/>
      <c r="G872" s="4"/>
      <c r="H872" s="4"/>
      <c r="I872" s="4"/>
      <c r="J872" s="4"/>
      <c r="K872" s="4"/>
      <c r="L872" s="53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76"/>
      <c r="F873" s="53"/>
      <c r="G873" s="4"/>
      <c r="H873" s="4"/>
      <c r="I873" s="4"/>
      <c r="J873" s="4"/>
      <c r="K873" s="4"/>
      <c r="L873" s="53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76"/>
      <c r="F874" s="53"/>
      <c r="G874" s="4"/>
      <c r="H874" s="4"/>
      <c r="I874" s="4"/>
      <c r="J874" s="4"/>
      <c r="K874" s="4"/>
      <c r="L874" s="53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76"/>
      <c r="F875" s="53"/>
      <c r="G875" s="4"/>
      <c r="H875" s="4"/>
      <c r="I875" s="4"/>
      <c r="J875" s="4"/>
      <c r="K875" s="4"/>
      <c r="L875" s="53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76"/>
      <c r="F876" s="53"/>
      <c r="G876" s="4"/>
      <c r="H876" s="4"/>
      <c r="I876" s="4"/>
      <c r="J876" s="4"/>
      <c r="K876" s="4"/>
      <c r="L876" s="53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76"/>
      <c r="F877" s="53"/>
      <c r="G877" s="4"/>
      <c r="H877" s="4"/>
      <c r="I877" s="4"/>
      <c r="J877" s="4"/>
      <c r="K877" s="4"/>
      <c r="L877" s="53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76"/>
      <c r="F878" s="53"/>
      <c r="G878" s="4"/>
      <c r="H878" s="4"/>
      <c r="I878" s="4"/>
      <c r="J878" s="4"/>
      <c r="K878" s="4"/>
      <c r="L878" s="53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76"/>
      <c r="F879" s="53"/>
      <c r="G879" s="4"/>
      <c r="H879" s="4"/>
      <c r="I879" s="4"/>
      <c r="J879" s="4"/>
      <c r="K879" s="4"/>
      <c r="L879" s="53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76"/>
      <c r="F880" s="53"/>
      <c r="G880" s="4"/>
      <c r="H880" s="4"/>
      <c r="I880" s="4"/>
      <c r="J880" s="4"/>
      <c r="K880" s="4"/>
      <c r="L880" s="53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76"/>
      <c r="F881" s="53"/>
      <c r="G881" s="4"/>
      <c r="H881" s="4"/>
      <c r="I881" s="4"/>
      <c r="J881" s="4"/>
      <c r="K881" s="4"/>
      <c r="L881" s="53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76"/>
      <c r="F882" s="53"/>
      <c r="G882" s="4"/>
      <c r="H882" s="4"/>
      <c r="I882" s="4"/>
      <c r="J882" s="4"/>
      <c r="K882" s="4"/>
      <c r="L882" s="53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76"/>
      <c r="F883" s="53"/>
      <c r="G883" s="4"/>
      <c r="H883" s="4"/>
      <c r="I883" s="4"/>
      <c r="J883" s="4"/>
      <c r="K883" s="4"/>
      <c r="L883" s="53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76"/>
      <c r="F884" s="53"/>
      <c r="G884" s="4"/>
      <c r="H884" s="4"/>
      <c r="I884" s="4"/>
      <c r="J884" s="4"/>
      <c r="K884" s="4"/>
      <c r="L884" s="53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76"/>
      <c r="F885" s="53"/>
      <c r="G885" s="4"/>
      <c r="H885" s="4"/>
      <c r="I885" s="4"/>
      <c r="J885" s="4"/>
      <c r="K885" s="4"/>
      <c r="L885" s="53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76"/>
      <c r="F886" s="53"/>
      <c r="G886" s="4"/>
      <c r="H886" s="4"/>
      <c r="I886" s="4"/>
      <c r="J886" s="4"/>
      <c r="K886" s="4"/>
      <c r="L886" s="53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76"/>
      <c r="F887" s="53"/>
      <c r="G887" s="4"/>
      <c r="H887" s="4"/>
      <c r="I887" s="4"/>
      <c r="J887" s="4"/>
      <c r="K887" s="4"/>
      <c r="L887" s="53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76"/>
      <c r="F888" s="53"/>
      <c r="G888" s="4"/>
      <c r="H888" s="4"/>
      <c r="I888" s="4"/>
      <c r="J888" s="4"/>
      <c r="K888" s="4"/>
      <c r="L888" s="53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76"/>
      <c r="F889" s="53"/>
      <c r="G889" s="4"/>
      <c r="H889" s="4"/>
      <c r="I889" s="4"/>
      <c r="J889" s="4"/>
      <c r="K889" s="4"/>
      <c r="L889" s="53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76"/>
      <c r="F890" s="53"/>
      <c r="G890" s="4"/>
      <c r="H890" s="4"/>
      <c r="I890" s="4"/>
      <c r="J890" s="4"/>
      <c r="K890" s="4"/>
      <c r="L890" s="53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76"/>
      <c r="F891" s="53"/>
      <c r="G891" s="4"/>
      <c r="H891" s="4"/>
      <c r="I891" s="4"/>
      <c r="J891" s="4"/>
      <c r="K891" s="4"/>
      <c r="L891" s="53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76"/>
      <c r="F892" s="53"/>
      <c r="G892" s="4"/>
      <c r="H892" s="4"/>
      <c r="I892" s="4"/>
      <c r="J892" s="4"/>
      <c r="K892" s="4"/>
      <c r="L892" s="53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76"/>
      <c r="F893" s="53"/>
      <c r="G893" s="4"/>
      <c r="H893" s="4"/>
      <c r="I893" s="4"/>
      <c r="J893" s="4"/>
      <c r="K893" s="4"/>
      <c r="L893" s="53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76"/>
      <c r="F894" s="53"/>
      <c r="G894" s="4"/>
      <c r="H894" s="4"/>
      <c r="I894" s="4"/>
      <c r="J894" s="4"/>
      <c r="K894" s="4"/>
      <c r="L894" s="53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76"/>
      <c r="F895" s="53"/>
      <c r="G895" s="4"/>
      <c r="H895" s="4"/>
      <c r="I895" s="4"/>
      <c r="J895" s="4"/>
      <c r="K895" s="4"/>
      <c r="L895" s="53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76"/>
      <c r="F896" s="53"/>
      <c r="G896" s="4"/>
      <c r="H896" s="4"/>
      <c r="I896" s="4"/>
      <c r="J896" s="4"/>
      <c r="K896" s="4"/>
      <c r="L896" s="53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76"/>
      <c r="F897" s="53"/>
      <c r="G897" s="4"/>
      <c r="H897" s="4"/>
      <c r="I897" s="4"/>
      <c r="J897" s="4"/>
      <c r="K897" s="4"/>
      <c r="L897" s="53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76"/>
      <c r="F898" s="53"/>
      <c r="G898" s="4"/>
      <c r="H898" s="4"/>
      <c r="I898" s="4"/>
      <c r="J898" s="4"/>
      <c r="K898" s="4"/>
      <c r="L898" s="53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76"/>
      <c r="F899" s="53"/>
      <c r="G899" s="4"/>
      <c r="H899" s="4"/>
      <c r="I899" s="4"/>
      <c r="J899" s="4"/>
      <c r="K899" s="4"/>
      <c r="L899" s="53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76"/>
      <c r="F900" s="53"/>
      <c r="G900" s="4"/>
      <c r="H900" s="4"/>
      <c r="I900" s="4"/>
      <c r="J900" s="4"/>
      <c r="K900" s="4"/>
      <c r="L900" s="53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76"/>
      <c r="F901" s="53"/>
      <c r="G901" s="4"/>
      <c r="H901" s="4"/>
      <c r="I901" s="4"/>
      <c r="J901" s="4"/>
      <c r="K901" s="4"/>
      <c r="L901" s="53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76"/>
      <c r="F902" s="53"/>
      <c r="G902" s="4"/>
      <c r="H902" s="4"/>
      <c r="I902" s="4"/>
      <c r="J902" s="4"/>
      <c r="K902" s="4"/>
      <c r="L902" s="53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76"/>
      <c r="F903" s="53"/>
      <c r="G903" s="4"/>
      <c r="H903" s="4"/>
      <c r="I903" s="4"/>
      <c r="J903" s="4"/>
      <c r="K903" s="4"/>
      <c r="L903" s="53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76"/>
      <c r="F904" s="53"/>
      <c r="G904" s="4"/>
      <c r="H904" s="4"/>
      <c r="I904" s="4"/>
      <c r="J904" s="4"/>
      <c r="K904" s="4"/>
      <c r="L904" s="53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76"/>
      <c r="F905" s="53"/>
      <c r="G905" s="4"/>
      <c r="H905" s="4"/>
      <c r="I905" s="4"/>
      <c r="J905" s="4"/>
      <c r="K905" s="4"/>
      <c r="L905" s="53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76"/>
      <c r="F906" s="53"/>
      <c r="G906" s="4"/>
      <c r="H906" s="4"/>
      <c r="I906" s="4"/>
      <c r="J906" s="4"/>
      <c r="K906" s="4"/>
      <c r="L906" s="53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76"/>
      <c r="F907" s="53"/>
      <c r="G907" s="4"/>
      <c r="H907" s="4"/>
      <c r="I907" s="4"/>
      <c r="J907" s="4"/>
      <c r="K907" s="4"/>
      <c r="L907" s="53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76"/>
      <c r="F908" s="53"/>
      <c r="G908" s="4"/>
      <c r="H908" s="4"/>
      <c r="I908" s="4"/>
      <c r="J908" s="4"/>
      <c r="K908" s="4"/>
      <c r="L908" s="53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76"/>
      <c r="F909" s="53"/>
      <c r="G909" s="4"/>
      <c r="H909" s="4"/>
      <c r="I909" s="4"/>
      <c r="J909" s="4"/>
      <c r="K909" s="4"/>
      <c r="L909" s="53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76"/>
      <c r="F910" s="53"/>
      <c r="G910" s="4"/>
      <c r="H910" s="4"/>
      <c r="I910" s="4"/>
      <c r="J910" s="4"/>
      <c r="K910" s="4"/>
      <c r="L910" s="53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76"/>
      <c r="F911" s="53"/>
      <c r="G911" s="4"/>
      <c r="H911" s="4"/>
      <c r="I911" s="4"/>
      <c r="J911" s="4"/>
      <c r="K911" s="4"/>
      <c r="L911" s="53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76"/>
      <c r="F912" s="53"/>
      <c r="G912" s="4"/>
      <c r="H912" s="4"/>
      <c r="I912" s="4"/>
      <c r="J912" s="4"/>
      <c r="K912" s="4"/>
      <c r="L912" s="53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76"/>
      <c r="F913" s="53"/>
      <c r="G913" s="4"/>
      <c r="H913" s="4"/>
      <c r="I913" s="4"/>
      <c r="J913" s="4"/>
      <c r="K913" s="4"/>
      <c r="L913" s="53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76"/>
      <c r="F914" s="53"/>
      <c r="G914" s="4"/>
      <c r="H914" s="4"/>
      <c r="I914" s="4"/>
      <c r="J914" s="4"/>
      <c r="K914" s="4"/>
      <c r="L914" s="53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76"/>
      <c r="F915" s="53"/>
      <c r="G915" s="4"/>
      <c r="H915" s="4"/>
      <c r="I915" s="4"/>
      <c r="J915" s="4"/>
      <c r="K915" s="4"/>
      <c r="L915" s="53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76"/>
      <c r="F916" s="53"/>
      <c r="G916" s="4"/>
      <c r="H916" s="4"/>
      <c r="I916" s="4"/>
      <c r="J916" s="4"/>
      <c r="K916" s="4"/>
      <c r="L916" s="53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76"/>
      <c r="F917" s="53"/>
      <c r="G917" s="4"/>
      <c r="H917" s="4"/>
      <c r="I917" s="4"/>
      <c r="J917" s="4"/>
      <c r="K917" s="4"/>
      <c r="L917" s="53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76"/>
      <c r="F918" s="53"/>
      <c r="G918" s="4"/>
      <c r="H918" s="4"/>
      <c r="I918" s="4"/>
      <c r="J918" s="4"/>
      <c r="K918" s="4"/>
      <c r="L918" s="53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76"/>
      <c r="F919" s="53"/>
      <c r="G919" s="4"/>
      <c r="H919" s="4"/>
      <c r="I919" s="4"/>
      <c r="J919" s="4"/>
      <c r="K919" s="4"/>
      <c r="L919" s="53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76"/>
      <c r="F920" s="53"/>
      <c r="G920" s="4"/>
      <c r="H920" s="4"/>
      <c r="I920" s="4"/>
      <c r="J920" s="4"/>
      <c r="K920" s="4"/>
      <c r="L920" s="53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76"/>
      <c r="F921" s="53"/>
      <c r="G921" s="4"/>
      <c r="H921" s="4"/>
      <c r="I921" s="4"/>
      <c r="J921" s="4"/>
      <c r="K921" s="4"/>
      <c r="L921" s="53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76"/>
      <c r="F922" s="53"/>
      <c r="G922" s="4"/>
      <c r="H922" s="4"/>
      <c r="I922" s="4"/>
      <c r="J922" s="4"/>
      <c r="K922" s="4"/>
      <c r="L922" s="53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76"/>
      <c r="F923" s="53"/>
      <c r="G923" s="4"/>
      <c r="H923" s="4"/>
      <c r="I923" s="4"/>
      <c r="J923" s="4"/>
      <c r="K923" s="4"/>
      <c r="L923" s="53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76"/>
      <c r="F924" s="53"/>
      <c r="G924" s="4"/>
      <c r="H924" s="4"/>
      <c r="I924" s="4"/>
      <c r="J924" s="4"/>
      <c r="K924" s="4"/>
      <c r="L924" s="53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76"/>
      <c r="F925" s="53"/>
      <c r="G925" s="4"/>
      <c r="H925" s="4"/>
      <c r="I925" s="4"/>
      <c r="J925" s="4"/>
      <c r="K925" s="4"/>
      <c r="L925" s="53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76"/>
      <c r="F926" s="53"/>
      <c r="G926" s="4"/>
      <c r="H926" s="4"/>
      <c r="I926" s="4"/>
      <c r="J926" s="4"/>
      <c r="K926" s="4"/>
      <c r="L926" s="53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76"/>
      <c r="F927" s="53"/>
      <c r="G927" s="4"/>
      <c r="H927" s="4"/>
      <c r="I927" s="4"/>
      <c r="J927" s="4"/>
      <c r="K927" s="4"/>
      <c r="L927" s="53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76"/>
      <c r="F928" s="53"/>
      <c r="G928" s="4"/>
      <c r="H928" s="4"/>
      <c r="I928" s="4"/>
      <c r="J928" s="4"/>
      <c r="K928" s="4"/>
      <c r="L928" s="53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76"/>
      <c r="F929" s="53"/>
      <c r="G929" s="4"/>
      <c r="H929" s="4"/>
      <c r="I929" s="4"/>
      <c r="J929" s="4"/>
      <c r="K929" s="4"/>
      <c r="L929" s="53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76"/>
      <c r="F930" s="53"/>
      <c r="G930" s="4"/>
      <c r="H930" s="4"/>
      <c r="I930" s="4"/>
      <c r="J930" s="4"/>
      <c r="K930" s="4"/>
      <c r="L930" s="53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76"/>
      <c r="F931" s="53"/>
      <c r="G931" s="4"/>
      <c r="H931" s="4"/>
      <c r="I931" s="4"/>
      <c r="J931" s="4"/>
      <c r="K931" s="4"/>
      <c r="L931" s="53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76"/>
      <c r="F932" s="53"/>
      <c r="G932" s="4"/>
      <c r="H932" s="4"/>
      <c r="I932" s="4"/>
      <c r="J932" s="4"/>
      <c r="K932" s="4"/>
      <c r="L932" s="53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76"/>
      <c r="F933" s="53"/>
      <c r="G933" s="4"/>
      <c r="H933" s="4"/>
      <c r="I933" s="4"/>
      <c r="J933" s="4"/>
      <c r="K933" s="4"/>
      <c r="L933" s="53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76"/>
      <c r="F934" s="53"/>
      <c r="G934" s="4"/>
      <c r="H934" s="4"/>
      <c r="I934" s="4"/>
      <c r="J934" s="4"/>
      <c r="K934" s="4"/>
      <c r="L934" s="53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76"/>
      <c r="F935" s="53"/>
      <c r="G935" s="4"/>
      <c r="H935" s="4"/>
      <c r="I935" s="4"/>
      <c r="J935" s="4"/>
      <c r="K935" s="4"/>
      <c r="L935" s="53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76"/>
      <c r="F936" s="53"/>
      <c r="G936" s="4"/>
      <c r="H936" s="4"/>
      <c r="I936" s="4"/>
      <c r="J936" s="4"/>
      <c r="K936" s="4"/>
      <c r="L936" s="53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76"/>
      <c r="F937" s="53"/>
      <c r="G937" s="4"/>
      <c r="H937" s="4"/>
      <c r="I937" s="4"/>
      <c r="J937" s="4"/>
      <c r="K937" s="4"/>
      <c r="L937" s="53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76"/>
      <c r="F938" s="53"/>
      <c r="G938" s="4"/>
      <c r="H938" s="4"/>
      <c r="I938" s="4"/>
      <c r="J938" s="4"/>
      <c r="K938" s="4"/>
      <c r="L938" s="53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76"/>
      <c r="F939" s="53"/>
      <c r="G939" s="4"/>
      <c r="H939" s="4"/>
      <c r="I939" s="4"/>
      <c r="J939" s="4"/>
      <c r="K939" s="4"/>
      <c r="L939" s="53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76"/>
      <c r="F940" s="53"/>
      <c r="G940" s="4"/>
      <c r="H940" s="4"/>
      <c r="I940" s="4"/>
      <c r="J940" s="4"/>
      <c r="K940" s="4"/>
      <c r="L940" s="53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76"/>
      <c r="F941" s="53"/>
      <c r="G941" s="4"/>
      <c r="H941" s="4"/>
      <c r="I941" s="4"/>
      <c r="J941" s="4"/>
      <c r="K941" s="4"/>
      <c r="L941" s="53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76"/>
      <c r="F942" s="53"/>
      <c r="G942" s="4"/>
      <c r="H942" s="4"/>
      <c r="I942" s="4"/>
      <c r="J942" s="4"/>
      <c r="K942" s="4"/>
      <c r="L942" s="53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76"/>
      <c r="F943" s="53"/>
      <c r="G943" s="4"/>
      <c r="H943" s="4"/>
      <c r="I943" s="4"/>
      <c r="J943" s="4"/>
      <c r="K943" s="4"/>
      <c r="L943" s="53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76"/>
      <c r="F944" s="53"/>
      <c r="G944" s="4"/>
      <c r="H944" s="4"/>
      <c r="I944" s="4"/>
      <c r="J944" s="4"/>
      <c r="K944" s="4"/>
      <c r="L944" s="53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76"/>
      <c r="F945" s="53"/>
      <c r="G945" s="4"/>
      <c r="H945" s="4"/>
      <c r="I945" s="4"/>
      <c r="J945" s="4"/>
      <c r="K945" s="4"/>
      <c r="L945" s="53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76"/>
      <c r="F946" s="53"/>
      <c r="G946" s="4"/>
      <c r="H946" s="4"/>
      <c r="I946" s="4"/>
      <c r="J946" s="4"/>
      <c r="K946" s="4"/>
      <c r="L946" s="53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76"/>
      <c r="F947" s="53"/>
      <c r="G947" s="4"/>
      <c r="H947" s="4"/>
      <c r="I947" s="4"/>
      <c r="J947" s="4"/>
      <c r="K947" s="4"/>
      <c r="L947" s="53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76"/>
      <c r="F948" s="53"/>
      <c r="G948" s="4"/>
      <c r="H948" s="4"/>
      <c r="I948" s="4"/>
      <c r="J948" s="4"/>
      <c r="K948" s="4"/>
      <c r="L948" s="53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76"/>
      <c r="F949" s="53"/>
      <c r="G949" s="4"/>
      <c r="H949" s="4"/>
      <c r="I949" s="4"/>
      <c r="J949" s="4"/>
      <c r="K949" s="4"/>
      <c r="L949" s="53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76"/>
      <c r="F950" s="53"/>
      <c r="G950" s="4"/>
      <c r="H950" s="4"/>
      <c r="I950" s="4"/>
      <c r="J950" s="4"/>
      <c r="K950" s="4"/>
      <c r="L950" s="53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76"/>
      <c r="F951" s="53"/>
      <c r="G951" s="4"/>
      <c r="H951" s="4"/>
      <c r="I951" s="4"/>
      <c r="J951" s="4"/>
      <c r="K951" s="4"/>
      <c r="L951" s="53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76"/>
      <c r="F952" s="53"/>
      <c r="G952" s="4"/>
      <c r="H952" s="4"/>
      <c r="I952" s="4"/>
      <c r="J952" s="4"/>
      <c r="K952" s="4"/>
      <c r="L952" s="53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76"/>
      <c r="F953" s="53"/>
      <c r="G953" s="4"/>
      <c r="H953" s="4"/>
      <c r="I953" s="4"/>
      <c r="J953" s="4"/>
      <c r="K953" s="4"/>
      <c r="L953" s="53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76"/>
      <c r="F954" s="53"/>
      <c r="G954" s="4"/>
      <c r="H954" s="4"/>
      <c r="I954" s="4"/>
      <c r="J954" s="4"/>
      <c r="K954" s="4"/>
      <c r="L954" s="53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76"/>
      <c r="F955" s="53"/>
      <c r="G955" s="4"/>
      <c r="H955" s="4"/>
      <c r="I955" s="4"/>
      <c r="J955" s="4"/>
      <c r="K955" s="4"/>
      <c r="L955" s="53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76"/>
      <c r="F956" s="53"/>
      <c r="G956" s="4"/>
      <c r="H956" s="4"/>
      <c r="I956" s="4"/>
      <c r="J956" s="4"/>
      <c r="K956" s="4"/>
      <c r="L956" s="53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76"/>
      <c r="F957" s="53"/>
      <c r="G957" s="4"/>
      <c r="H957" s="4"/>
      <c r="I957" s="4"/>
      <c r="J957" s="4"/>
      <c r="K957" s="4"/>
      <c r="L957" s="53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76"/>
      <c r="F958" s="53"/>
      <c r="G958" s="4"/>
      <c r="H958" s="4"/>
      <c r="I958" s="4"/>
      <c r="J958" s="4"/>
      <c r="K958" s="4"/>
      <c r="L958" s="53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76"/>
      <c r="F959" s="53"/>
      <c r="G959" s="4"/>
      <c r="H959" s="4"/>
      <c r="I959" s="4"/>
      <c r="J959" s="4"/>
      <c r="K959" s="4"/>
      <c r="L959" s="53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76"/>
      <c r="F960" s="53"/>
      <c r="G960" s="4"/>
      <c r="H960" s="4"/>
      <c r="I960" s="4"/>
      <c r="J960" s="4"/>
      <c r="K960" s="4"/>
      <c r="L960" s="53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76"/>
      <c r="F961" s="53"/>
      <c r="G961" s="4"/>
      <c r="H961" s="4"/>
      <c r="I961" s="4"/>
      <c r="J961" s="4"/>
      <c r="K961" s="4"/>
      <c r="L961" s="53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76"/>
      <c r="F962" s="53"/>
      <c r="G962" s="4"/>
      <c r="H962" s="4"/>
      <c r="I962" s="4"/>
      <c r="J962" s="4"/>
      <c r="K962" s="4"/>
      <c r="L962" s="53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76"/>
      <c r="F963" s="53"/>
      <c r="G963" s="4"/>
      <c r="H963" s="4"/>
      <c r="I963" s="4"/>
      <c r="J963" s="4"/>
      <c r="K963" s="4"/>
      <c r="L963" s="53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76"/>
      <c r="F964" s="53"/>
      <c r="G964" s="4"/>
      <c r="H964" s="4"/>
      <c r="I964" s="4"/>
      <c r="J964" s="4"/>
      <c r="K964" s="4"/>
      <c r="L964" s="53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76"/>
      <c r="F965" s="53"/>
      <c r="G965" s="4"/>
      <c r="H965" s="4"/>
      <c r="I965" s="4"/>
      <c r="J965" s="4"/>
      <c r="K965" s="4"/>
      <c r="L965" s="53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76"/>
      <c r="F966" s="53"/>
      <c r="G966" s="4"/>
      <c r="H966" s="4"/>
      <c r="I966" s="4"/>
      <c r="J966" s="4"/>
      <c r="K966" s="4"/>
      <c r="L966" s="53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76"/>
      <c r="F967" s="53"/>
      <c r="G967" s="4"/>
      <c r="H967" s="4"/>
      <c r="I967" s="4"/>
      <c r="J967" s="4"/>
      <c r="K967" s="4"/>
      <c r="L967" s="53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76"/>
      <c r="F968" s="53"/>
      <c r="G968" s="4"/>
      <c r="H968" s="4"/>
      <c r="I968" s="4"/>
      <c r="J968" s="4"/>
      <c r="K968" s="4"/>
      <c r="L968" s="53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76"/>
      <c r="F969" s="53"/>
      <c r="G969" s="4"/>
      <c r="H969" s="4"/>
      <c r="I969" s="4"/>
      <c r="J969" s="4"/>
      <c r="K969" s="4"/>
      <c r="L969" s="53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76"/>
      <c r="F970" s="53"/>
      <c r="G970" s="4"/>
      <c r="H970" s="4"/>
      <c r="I970" s="4"/>
      <c r="J970" s="4"/>
      <c r="K970" s="4"/>
      <c r="L970" s="53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76"/>
      <c r="F971" s="53"/>
      <c r="G971" s="4"/>
      <c r="H971" s="4"/>
      <c r="I971" s="4"/>
      <c r="J971" s="4"/>
      <c r="K971" s="4"/>
      <c r="L971" s="53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76"/>
      <c r="F972" s="53"/>
      <c r="G972" s="4"/>
      <c r="H972" s="4"/>
      <c r="I972" s="4"/>
      <c r="J972" s="4"/>
      <c r="K972" s="4"/>
      <c r="L972" s="53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76"/>
      <c r="F973" s="53"/>
      <c r="G973" s="4"/>
      <c r="H973" s="4"/>
      <c r="I973" s="4"/>
      <c r="J973" s="4"/>
      <c r="K973" s="4"/>
      <c r="L973" s="53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76"/>
      <c r="F974" s="53"/>
      <c r="G974" s="4"/>
      <c r="H974" s="4"/>
      <c r="I974" s="4"/>
      <c r="J974" s="4"/>
      <c r="K974" s="4"/>
      <c r="L974" s="53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76"/>
      <c r="F975" s="53"/>
      <c r="G975" s="4"/>
      <c r="H975" s="4"/>
      <c r="I975" s="4"/>
      <c r="J975" s="4"/>
      <c r="K975" s="4"/>
      <c r="L975" s="53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76"/>
      <c r="F976" s="53"/>
      <c r="G976" s="4"/>
      <c r="H976" s="4"/>
      <c r="I976" s="4"/>
      <c r="J976" s="4"/>
      <c r="K976" s="4"/>
      <c r="L976" s="53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76"/>
      <c r="F977" s="53"/>
      <c r="G977" s="4"/>
      <c r="H977" s="4"/>
      <c r="I977" s="4"/>
      <c r="J977" s="4"/>
      <c r="K977" s="4"/>
      <c r="L977" s="53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76"/>
      <c r="F978" s="53"/>
      <c r="G978" s="4"/>
      <c r="H978" s="4"/>
      <c r="I978" s="4"/>
      <c r="J978" s="4"/>
      <c r="K978" s="4"/>
      <c r="L978" s="53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76"/>
      <c r="F979" s="53"/>
      <c r="G979" s="4"/>
      <c r="H979" s="4"/>
      <c r="I979" s="4"/>
      <c r="J979" s="4"/>
      <c r="K979" s="4"/>
      <c r="L979" s="53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76"/>
      <c r="F980" s="53"/>
      <c r="G980" s="4"/>
      <c r="H980" s="4"/>
      <c r="I980" s="4"/>
      <c r="J980" s="4"/>
      <c r="K980" s="4"/>
      <c r="L980" s="53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76"/>
      <c r="F981" s="53"/>
      <c r="G981" s="4"/>
      <c r="H981" s="4"/>
      <c r="I981" s="4"/>
      <c r="J981" s="4"/>
      <c r="K981" s="4"/>
      <c r="L981" s="53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76"/>
      <c r="F982" s="53"/>
      <c r="G982" s="4"/>
      <c r="H982" s="4"/>
      <c r="I982" s="4"/>
      <c r="J982" s="4"/>
      <c r="K982" s="4"/>
      <c r="L982" s="53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76"/>
      <c r="F983" s="53"/>
      <c r="G983" s="4"/>
      <c r="H983" s="4"/>
      <c r="I983" s="4"/>
      <c r="J983" s="4"/>
      <c r="K983" s="4"/>
      <c r="L983" s="53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76"/>
      <c r="F984" s="53"/>
      <c r="G984" s="4"/>
      <c r="H984" s="4"/>
      <c r="I984" s="4"/>
      <c r="J984" s="4"/>
      <c r="K984" s="4"/>
      <c r="L984" s="53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76"/>
      <c r="F985" s="53"/>
      <c r="G985" s="4"/>
      <c r="H985" s="4"/>
      <c r="I985" s="4"/>
      <c r="J985" s="4"/>
      <c r="K985" s="4"/>
      <c r="L985" s="53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76"/>
      <c r="F986" s="53"/>
      <c r="G986" s="4"/>
      <c r="H986" s="4"/>
      <c r="I986" s="4"/>
      <c r="J986" s="4"/>
      <c r="K986" s="4"/>
      <c r="L986" s="53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76"/>
      <c r="F987" s="53"/>
      <c r="G987" s="4"/>
      <c r="H987" s="4"/>
      <c r="I987" s="4"/>
      <c r="J987" s="4"/>
      <c r="K987" s="4"/>
      <c r="L987" s="53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76"/>
      <c r="F988" s="53"/>
      <c r="G988" s="4"/>
      <c r="H988" s="4"/>
      <c r="I988" s="4"/>
      <c r="J988" s="4"/>
      <c r="K988" s="4"/>
      <c r="L988" s="53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76"/>
      <c r="F989" s="53"/>
      <c r="G989" s="4"/>
      <c r="H989" s="4"/>
      <c r="I989" s="4"/>
      <c r="J989" s="4"/>
      <c r="K989" s="4"/>
      <c r="L989" s="53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76"/>
      <c r="F990" s="53"/>
      <c r="G990" s="4"/>
      <c r="H990" s="4"/>
      <c r="I990" s="4"/>
      <c r="J990" s="4"/>
      <c r="K990" s="4"/>
      <c r="L990" s="53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76"/>
      <c r="F991" s="53"/>
      <c r="G991" s="4"/>
      <c r="H991" s="4"/>
      <c r="I991" s="4"/>
      <c r="J991" s="4"/>
      <c r="K991" s="4"/>
      <c r="L991" s="53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76"/>
      <c r="F992" s="53"/>
      <c r="G992" s="4"/>
      <c r="H992" s="4"/>
      <c r="I992" s="4"/>
      <c r="J992" s="4"/>
      <c r="K992" s="4"/>
      <c r="L992" s="53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76"/>
      <c r="F993" s="53"/>
      <c r="G993" s="4"/>
      <c r="H993" s="4"/>
      <c r="I993" s="4"/>
      <c r="J993" s="4"/>
      <c r="K993" s="4"/>
      <c r="L993" s="53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76"/>
      <c r="F994" s="53"/>
      <c r="G994" s="4"/>
      <c r="H994" s="4"/>
      <c r="I994" s="4"/>
      <c r="J994" s="4"/>
      <c r="K994" s="4"/>
      <c r="L994" s="53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76"/>
      <c r="F995" s="53"/>
      <c r="G995" s="4"/>
      <c r="H995" s="4"/>
      <c r="I995" s="4"/>
      <c r="J995" s="4"/>
      <c r="K995" s="4"/>
      <c r="L995" s="53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76"/>
      <c r="F996" s="53"/>
      <c r="G996" s="4"/>
      <c r="H996" s="4"/>
      <c r="I996" s="4"/>
      <c r="J996" s="4"/>
      <c r="K996" s="4"/>
      <c r="L996" s="53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76"/>
      <c r="F997" s="53"/>
      <c r="G997" s="4"/>
      <c r="H997" s="4"/>
      <c r="I997" s="4"/>
      <c r="J997" s="4"/>
      <c r="K997" s="4"/>
      <c r="L997" s="53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76"/>
      <c r="F998" s="53"/>
      <c r="G998" s="4"/>
      <c r="H998" s="4"/>
      <c r="I998" s="4"/>
      <c r="J998" s="4"/>
      <c r="K998" s="4"/>
      <c r="L998" s="53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76"/>
      <c r="F999" s="53"/>
      <c r="G999" s="4"/>
      <c r="H999" s="4"/>
      <c r="I999" s="4"/>
      <c r="J999" s="4"/>
      <c r="K999" s="4"/>
      <c r="L999" s="53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76"/>
      <c r="F1000" s="53"/>
      <c r="G1000" s="4"/>
      <c r="H1000" s="4"/>
      <c r="I1000" s="4"/>
      <c r="J1000" s="4"/>
      <c r="K1000" s="4"/>
      <c r="L1000" s="53"/>
      <c r="P1000" s="4"/>
      <c r="Q1000" s="4"/>
      <c r="R1000" s="4"/>
      <c r="S1000" s="4"/>
      <c r="T1000" s="4"/>
      <c r="U1000" s="4"/>
      <c r="V1000" s="4"/>
    </row>
  </sheetData>
  <mergeCells count="2">
    <mergeCell ref="A1:H1"/>
    <mergeCell ref="A2:H2"/>
  </mergeCells>
  <conditionalFormatting sqref="D5:D25 D28:D39">
    <cfRule type="containsBlanks" dxfId="0" priority="1">
      <formula>LEN(TRIM(D5))=0</formula>
    </cfRule>
  </conditionalFormatting>
  <conditionalFormatting sqref="F5:F25 F28:F39">
    <cfRule type="cellIs" dxfId="1" priority="2" operator="equal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15" width="7.38"/>
  </cols>
  <sheetData>
    <row r="1">
      <c r="A1" s="91" t="s">
        <v>55</v>
      </c>
      <c r="B1" s="92" t="s">
        <v>6</v>
      </c>
      <c r="C1" s="93" t="s">
        <v>70</v>
      </c>
      <c r="D1" s="94" t="s">
        <v>71</v>
      </c>
      <c r="E1" s="94" t="s">
        <v>72</v>
      </c>
      <c r="F1" s="94" t="s">
        <v>73</v>
      </c>
      <c r="G1" s="94" t="s">
        <v>74</v>
      </c>
      <c r="H1" s="94" t="s">
        <v>75</v>
      </c>
      <c r="I1" s="94" t="s">
        <v>76</v>
      </c>
      <c r="J1" s="94" t="s">
        <v>77</v>
      </c>
      <c r="K1" s="94" t="s">
        <v>78</v>
      </c>
      <c r="L1" s="94" t="s">
        <v>79</v>
      </c>
      <c r="M1" s="94" t="s">
        <v>80</v>
      </c>
      <c r="N1" s="94" t="s">
        <v>81</v>
      </c>
      <c r="O1" s="95"/>
    </row>
    <row r="2" hidden="1">
      <c r="A2" s="96"/>
      <c r="B2" s="97" t="s">
        <v>48</v>
      </c>
      <c r="C2" s="98" t="s">
        <v>31</v>
      </c>
      <c r="D2" s="98" t="s">
        <v>31</v>
      </c>
      <c r="E2" s="98" t="s">
        <v>31</v>
      </c>
      <c r="F2" s="98" t="s">
        <v>31</v>
      </c>
      <c r="G2" s="98" t="s">
        <v>31</v>
      </c>
      <c r="H2" s="98" t="s">
        <v>31</v>
      </c>
      <c r="I2" s="98" t="s">
        <v>31</v>
      </c>
      <c r="J2" s="98" t="s">
        <v>31</v>
      </c>
      <c r="K2" s="98" t="s">
        <v>31</v>
      </c>
      <c r="L2" s="98" t="s">
        <v>31</v>
      </c>
      <c r="M2" s="98" t="s">
        <v>31</v>
      </c>
      <c r="N2" s="98" t="s">
        <v>31</v>
      </c>
      <c r="O2" s="99"/>
    </row>
    <row r="3">
      <c r="A3" s="100"/>
      <c r="B3" s="101" t="s">
        <v>54</v>
      </c>
      <c r="C3" s="102">
        <f>vlookup($B$3,JAN!$A$36:$F$36,6,false)</f>
        <v>0.5</v>
      </c>
      <c r="D3" s="103">
        <f>vlookup($B$3,FEB!$A$36:$F$36,6,false)</f>
        <v>0.5</v>
      </c>
      <c r="E3" s="102">
        <f>vlookup($B$3,MAR!$A$36:$F$36,6,false)</f>
        <v>0.5</v>
      </c>
      <c r="F3" s="104">
        <f>vlookup($B$3,APR!$A$36:$F$36,6,false)</f>
        <v>0.5</v>
      </c>
      <c r="G3" s="104">
        <f>vlookup($B$3,MAY!$A$36:$F$36,6,false)</f>
        <v>0</v>
      </c>
      <c r="H3" s="104">
        <f>vlookup($B$3,JUN!$A$36:$F$36,6,false)</f>
        <v>0</v>
      </c>
      <c r="I3" s="104">
        <f>vlookup($B$3,JUL!$A$36:$F$36,6,false)</f>
        <v>0</v>
      </c>
      <c r="J3" s="104">
        <f>vlookup($B$3,AUG!$A$36:$F$36,6,false)</f>
        <v>0.5</v>
      </c>
      <c r="K3" s="104">
        <f>vlookup($B$3,SEP!$A$36:$F$36,6,false)</f>
        <v>0</v>
      </c>
      <c r="L3" s="104">
        <f>vlookup($B$3,OCT!$A$36:$F$36,6,false)</f>
        <v>0</v>
      </c>
      <c r="M3" s="103">
        <f>vlookup($B$3,NOV!$A$36:$F$36,6,false)</f>
        <v>0</v>
      </c>
      <c r="N3" s="103">
        <f>vlookup($B$3,DEC!$A$36:$F$36,6,false)</f>
        <v>0</v>
      </c>
      <c r="O3" s="99"/>
    </row>
    <row r="4">
      <c r="A4" s="96"/>
      <c r="B4" s="97" t="s">
        <v>56</v>
      </c>
      <c r="C4" s="105">
        <f>vlookup($B$4,JAN!$A$37:$F$37,6,false)</f>
        <v>0</v>
      </c>
      <c r="D4" s="105">
        <f>vlookup($B$4,FEB!$A$37:$F$37,6,false)</f>
        <v>0</v>
      </c>
      <c r="E4" s="105">
        <f>vlookup($B$4,MAR!$A$37:$F$37,6,false)</f>
        <v>0.5</v>
      </c>
      <c r="F4" s="105">
        <f>vlookup($B$4,APR!$A$37:$F$37,6,false)</f>
        <v>0.5</v>
      </c>
      <c r="G4" s="105">
        <f>vlookup($B$4,MAY!$A$37:$F$37,6,false)</f>
        <v>0.5</v>
      </c>
      <c r="H4" s="105">
        <f>vlookup($B$4,JUN!$A$37:$F$37,6,false)</f>
        <v>0.5</v>
      </c>
      <c r="I4" s="105">
        <f>vlookup($B$4,JUL!$A$37:$F$37,6,false)</f>
        <v>0</v>
      </c>
      <c r="J4" s="105">
        <f>vlookup($B$4,AUG!$A$37:$F$37,6,false)</f>
        <v>0.5</v>
      </c>
      <c r="K4" s="105">
        <f>vlookup($B$4,SEP!$A$37:$F$37,6,false)</f>
        <v>0</v>
      </c>
      <c r="L4" s="105">
        <f>vlookup($B$4,OCT!$A$37:$F$37,6,false)</f>
        <v>0</v>
      </c>
      <c r="M4" s="105">
        <f>vlookup($B$4,NOV!$A$37:$F$37,6,false)</f>
        <v>0</v>
      </c>
      <c r="N4" s="105">
        <f>vlookup($B$4,DEC!$A$37:$F$37,6,false)</f>
        <v>0</v>
      </c>
      <c r="O4" s="99"/>
    </row>
    <row r="5">
      <c r="A5" s="100"/>
      <c r="B5" s="97" t="s">
        <v>57</v>
      </c>
      <c r="C5" s="105">
        <f>vlookup($B$5,JAN!$A$38:$F$38,6,false)</f>
        <v>0.5</v>
      </c>
      <c r="D5" s="105">
        <f>vlookup($B$5,FEB!$A$38:$F$38,6,false)</f>
        <v>0.5</v>
      </c>
      <c r="E5" s="105">
        <f>vlookup($B$5,MAR!$A$38:$F$38,6,false)</f>
        <v>0</v>
      </c>
      <c r="F5" s="105">
        <f>vlookup($B$5,APR!$A$38:$F$38,6,false)</f>
        <v>0.5</v>
      </c>
      <c r="G5" s="105">
        <f>vlookup($B$5,MAY!$A$38:$F$38,6,false)</f>
        <v>0.5</v>
      </c>
      <c r="H5" s="105">
        <f>vlookup($B$5,JUN!$A$38:$F$38,6,false)</f>
        <v>0.5</v>
      </c>
      <c r="I5" s="105">
        <f>vlookup($B$5,JUL!$A$38:$F$38,6,false)</f>
        <v>0</v>
      </c>
      <c r="J5" s="105">
        <f>vlookup($B$5,AUG!$A$38:$F$38,6,false)</f>
        <v>0.5</v>
      </c>
      <c r="K5" s="105">
        <f>vlookup($B$5,SEP!$A$38:$F$38,6,false)</f>
        <v>0</v>
      </c>
      <c r="L5" s="105">
        <f>vlookup($B$5,OCT!$A$38:$F$38,6,false)</f>
        <v>0</v>
      </c>
      <c r="M5" s="105">
        <f>vlookup($B$5,NOV!$A$38:$F$38,6,false)</f>
        <v>0</v>
      </c>
      <c r="N5" s="105">
        <f>vlookup($B$5,DEC!$A$38:$F$38,6,false)</f>
        <v>0</v>
      </c>
      <c r="O5" s="99"/>
    </row>
    <row r="6" hidden="1">
      <c r="A6" s="96"/>
      <c r="B6" s="97" t="s">
        <v>58</v>
      </c>
      <c r="C6" s="112">
        <f>vlookup($B$100,JAN!$A$39:$F$39,6,false)</f>
        <v>0</v>
      </c>
      <c r="D6" s="112">
        <f>vlookup($B$100,FEB!$A$39:$F$39,6,false)</f>
        <v>0</v>
      </c>
      <c r="E6" s="112">
        <f>vlookup($B$100,MAR!$A$39:$F$39,6,false)</f>
        <v>0</v>
      </c>
      <c r="F6" s="112">
        <f>vlookup($B$100,APR!$A$39:$F$39,6,false)</f>
        <v>0</v>
      </c>
      <c r="G6" s="112">
        <f>vlookup($B$100,MAY!$A$39:$F$39,6,false)</f>
        <v>0</v>
      </c>
      <c r="H6" s="112">
        <f>vlookup($B$100,JUN!$A$39:$F$39,6,false)</f>
        <v>0</v>
      </c>
      <c r="I6" s="112">
        <f>vlookup($B$100,JUL!$A$39:$F$39,6,false)</f>
        <v>0</v>
      </c>
      <c r="J6" s="112">
        <f>vlookup($B$100,AUG!$A$39:$F$39,6,false)</f>
        <v>0</v>
      </c>
      <c r="K6" s="112">
        <f>vlookup($B$100,SEP!$A$39:$F$39,6,false)</f>
        <v>0</v>
      </c>
      <c r="L6" s="112">
        <f>vlookup($B$100,OCT!$A$39:$F$39,6,false)</f>
        <v>0</v>
      </c>
      <c r="M6" s="112">
        <f>vlookup($B$100,NOV!$A$39:$F$39,6,false)</f>
        <v>0</v>
      </c>
      <c r="N6" s="112">
        <f>vlookup($B$100,DEC!$A$39:$F$39,6,false)</f>
        <v>0</v>
      </c>
      <c r="O6" s="99"/>
    </row>
    <row r="7" hidden="1">
      <c r="A7" s="113"/>
      <c r="B7" s="97" t="s">
        <v>34</v>
      </c>
      <c r="C7" s="112">
        <f>vlookup($B$7,JAN!$A$17:$F$17,6,false)</f>
        <v>0.5</v>
      </c>
      <c r="D7" s="112">
        <f>vlookup($B$7,FEB!$A$17:$F$17,6,false)</f>
        <v>0</v>
      </c>
      <c r="E7" s="112">
        <f>vlookup($B$7,MAR!$A$17:$F$17,6,false)</f>
        <v>0.5</v>
      </c>
      <c r="F7" s="112">
        <f>vlookup($B$7,MAY!$A$17:$F$17,6,false)</f>
        <v>0.5</v>
      </c>
      <c r="G7" s="112">
        <f>vlookup($B$7,MAY!$A$17:$F$17,6,false)</f>
        <v>0.5</v>
      </c>
      <c r="H7" s="112">
        <f>vlookup($B$7,JUN!$A$17:$F$17,6,false)</f>
        <v>0.5</v>
      </c>
      <c r="I7" s="112">
        <f>vlookup($B$7,JUL!$A$17:$F$17,6,false)</f>
        <v>0.5</v>
      </c>
      <c r="J7" s="112">
        <f>vlookup($B$7,AUG!$A$17:$F$17,6,false)</f>
        <v>0.5</v>
      </c>
      <c r="K7" s="112">
        <f>vlookup($B$7,SEP!$A$17:$F$17,6,false)</f>
        <v>0.5</v>
      </c>
      <c r="L7" s="112">
        <f>vlookup($B$7,OCT!$A$17:$F$17,6,false)</f>
        <v>0</v>
      </c>
      <c r="M7" s="112">
        <f>vlookup($B$7,NOV!$A$17:$F$17,6,false)</f>
        <v>0</v>
      </c>
      <c r="N7" s="112">
        <f>vlookup($B$7,DEC!$A$17:$F$17,6,false)</f>
        <v>0</v>
      </c>
      <c r="O7" s="99"/>
    </row>
    <row r="8" hidden="1">
      <c r="A8" s="114"/>
      <c r="B8" s="115" t="s">
        <v>43</v>
      </c>
      <c r="C8" s="112">
        <f>vlookup($B$60,JAN!$A$25:$F$25,6,false)</f>
        <v>0.5</v>
      </c>
      <c r="D8" s="112">
        <f>vlookup($B$60,FEB!$A$25:$F$25,6,false)</f>
        <v>0.5</v>
      </c>
      <c r="E8" s="112">
        <f>vlookup($B$60,MAR!$A$25:$F$25,6,false)</f>
        <v>0.5</v>
      </c>
      <c r="F8" s="112">
        <f>vlookup($B$60,APR!$A$25:$F$25,6,false)</f>
        <v>0.5</v>
      </c>
      <c r="G8" s="112">
        <f>vlookup($B$60,MAY!$A$25:$F$25,6,false)</f>
        <v>0</v>
      </c>
      <c r="H8" s="112">
        <f>vlookup($B$60,JUN!$A$25:$F$25,6,false)</f>
        <v>0.5</v>
      </c>
      <c r="I8" s="112">
        <f>vlookup($B$60,JUL!$A$25:$F$25,6,false)</f>
        <v>0.5</v>
      </c>
      <c r="J8" s="112">
        <f>vlookup($B$60,AUG!$A$25:$F$25,6,false)</f>
        <v>0.5</v>
      </c>
      <c r="K8" s="112">
        <f>vlookup($B$60,SEP!$A$25:$F$25,6,false)</f>
        <v>0</v>
      </c>
      <c r="L8" s="112">
        <f>vlookup($B$60,OCT!$A$25:$F$25,6,false)</f>
        <v>0</v>
      </c>
      <c r="M8" s="112">
        <f>vlookup($B$60,NOV!$A$25:$F$25,6,false)</f>
        <v>0</v>
      </c>
      <c r="N8" s="112">
        <f>vlookup($B$60,DEC!$A$25:$F$25,6,false)</f>
        <v>0</v>
      </c>
      <c r="O8" s="116"/>
    </row>
    <row r="9">
      <c r="A9" s="117" t="s">
        <v>89</v>
      </c>
      <c r="B9" s="118"/>
      <c r="C9" s="119">
        <f t="shared" ref="C9:N9" si="1">average(C3:C5)</f>
        <v>0.3333333333</v>
      </c>
      <c r="D9" s="119">
        <f t="shared" si="1"/>
        <v>0.3333333333</v>
      </c>
      <c r="E9" s="119">
        <f t="shared" si="1"/>
        <v>0.3333333333</v>
      </c>
      <c r="F9" s="119">
        <f t="shared" si="1"/>
        <v>0.5</v>
      </c>
      <c r="G9" s="119">
        <f t="shared" si="1"/>
        <v>0.3333333333</v>
      </c>
      <c r="H9" s="119">
        <f t="shared" si="1"/>
        <v>0.3333333333</v>
      </c>
      <c r="I9" s="119">
        <f t="shared" si="1"/>
        <v>0</v>
      </c>
      <c r="J9" s="119">
        <f t="shared" si="1"/>
        <v>0.5</v>
      </c>
      <c r="K9" s="119">
        <f t="shared" si="1"/>
        <v>0</v>
      </c>
      <c r="L9" s="119">
        <f t="shared" si="1"/>
        <v>0</v>
      </c>
      <c r="M9" s="119">
        <f t="shared" si="1"/>
        <v>0</v>
      </c>
      <c r="N9" s="119">
        <f t="shared" si="1"/>
        <v>0</v>
      </c>
      <c r="O9" s="116"/>
    </row>
    <row r="10">
      <c r="A10" s="120"/>
      <c r="B10" s="121"/>
      <c r="C10" s="122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</row>
    <row r="11" hidden="1">
      <c r="A11" s="123" t="s">
        <v>90</v>
      </c>
      <c r="B11" s="92" t="s">
        <v>6</v>
      </c>
      <c r="C11" s="93" t="s">
        <v>70</v>
      </c>
      <c r="D11" s="94" t="s">
        <v>71</v>
      </c>
      <c r="E11" s="94" t="s">
        <v>72</v>
      </c>
      <c r="F11" s="94" t="s">
        <v>73</v>
      </c>
      <c r="G11" s="94" t="s">
        <v>74</v>
      </c>
      <c r="H11" s="94" t="s">
        <v>75</v>
      </c>
      <c r="I11" s="94" t="s">
        <v>76</v>
      </c>
      <c r="J11" s="94" t="s">
        <v>77</v>
      </c>
      <c r="K11" s="94" t="s">
        <v>78</v>
      </c>
      <c r="L11" s="94" t="s">
        <v>79</v>
      </c>
      <c r="M11" s="94" t="s">
        <v>80</v>
      </c>
      <c r="N11" s="94" t="s">
        <v>81</v>
      </c>
      <c r="O11" s="95"/>
    </row>
    <row r="12" hidden="1">
      <c r="A12" s="100"/>
      <c r="B12" s="97" t="s">
        <v>58</v>
      </c>
      <c r="C12" s="98">
        <f>vlookup($B$12,JAN!$A$39:$F$39,6,false)</f>
        <v>0</v>
      </c>
      <c r="D12" s="98">
        <f>vlookup($B$12,FEB!$A$39:$F$39,6,false)</f>
        <v>0</v>
      </c>
      <c r="E12" s="98">
        <f>vlookup($B$12,MAR!$A$39:$F$39,6,false)</f>
        <v>0</v>
      </c>
      <c r="F12" s="98">
        <f>vlookup($B$12,APR!$A$39:$F$39,6,false)</f>
        <v>0</v>
      </c>
      <c r="G12" s="98">
        <f>vlookup($B$12,MAY!$A$39:$F$39,6,false)</f>
        <v>0</v>
      </c>
      <c r="H12" s="98">
        <f>vlookup($B$12,JUN!$A$39:$F$39,6,false)</f>
        <v>0</v>
      </c>
      <c r="I12" s="98">
        <f>vlookup($B$12,JUL!$A$39:$F$39,6,false)</f>
        <v>0</v>
      </c>
      <c r="J12" s="98">
        <f>vlookup($B$12,AUG!$A$39:$F$39,6,false)</f>
        <v>0</v>
      </c>
      <c r="K12" s="98">
        <f>vlookup($B$12,SEP!$A$39:$F$39,6,false)</f>
        <v>0</v>
      </c>
      <c r="L12" s="98">
        <f>vlookup($B$12,OCT!$A$39:$F$39,6,false)</f>
        <v>0</v>
      </c>
      <c r="M12" s="98">
        <f>vlookup($B$12,NOV!$A$39:$F$39,6,false)</f>
        <v>0</v>
      </c>
      <c r="N12" s="98">
        <f>vlookup($B$12,DEC!$A$39:$F$39,6,false)</f>
        <v>0</v>
      </c>
      <c r="O12" s="99"/>
    </row>
    <row r="13" hidden="1">
      <c r="A13" s="96"/>
      <c r="B13" s="97" t="s">
        <v>24</v>
      </c>
      <c r="C13" s="105">
        <f>vlookup($B$13,JAN!$A$10:$F$10,6,false)</f>
        <v>0.5</v>
      </c>
      <c r="D13" s="105">
        <f>vlookup($B$13,FEB!$A$10:$F$10,6,false)</f>
        <v>0.5</v>
      </c>
      <c r="E13" s="105">
        <f>vlookup($B$13,MAR!$A$10:$F$10,6,false)</f>
        <v>0.5</v>
      </c>
      <c r="F13" s="124">
        <v>0.5</v>
      </c>
      <c r="G13" s="105">
        <f>vlookup($B$13,MAY!$A$10:$F$10,6,false)</f>
        <v>0.5</v>
      </c>
      <c r="H13" s="105">
        <f>vlookup($B$13,JUN!$A$10:$F$10,6,false)</f>
        <v>0.5</v>
      </c>
      <c r="I13" s="105">
        <f>vlookup($B$13,JUL!$A$10:$F$10,6,false)</f>
        <v>0.5</v>
      </c>
      <c r="J13" s="105">
        <f>vlookup($B$13,AUG!$A$10:$F$10,6,false)</f>
        <v>0.5</v>
      </c>
      <c r="K13" s="105">
        <f>vlookup($B$13,SEP!$A$10:$F$10,6,false)</f>
        <v>0</v>
      </c>
      <c r="L13" s="105">
        <f>vlookup($B$13,OCT!$A$10:$F$10,6,false)</f>
        <v>0</v>
      </c>
      <c r="M13" s="104">
        <f>vlookup($B$13,NOV!$A$10:$F$10,6,false)</f>
        <v>0</v>
      </c>
      <c r="N13" s="104">
        <f>vlookup($B$13,DEC!$A$10:$F$10,6,false)</f>
        <v>0</v>
      </c>
      <c r="O13" s="99"/>
    </row>
    <row r="14" hidden="1">
      <c r="A14" s="113"/>
      <c r="B14" s="97" t="s">
        <v>26</v>
      </c>
      <c r="C14" s="105">
        <f>vlookup($B$14,JAN!$A$12:$F$12,6,false)</f>
        <v>0.5</v>
      </c>
      <c r="D14" s="105">
        <f>vlookup($B$14,FEB!$A$12:$F$12,6,false)</f>
        <v>0.5</v>
      </c>
      <c r="E14" s="105">
        <f>vlookup($B$14,MAR!$A$12:$F$12,6,false)</f>
        <v>0.5</v>
      </c>
      <c r="F14" s="124">
        <v>0.5</v>
      </c>
      <c r="G14" s="105">
        <f>vlookup($B$14,MAY!$A$12:$F$12,6,false)</f>
        <v>0.5</v>
      </c>
      <c r="H14" s="105">
        <f>vlookup($B$14,JUN!$A$12:$F$12,6,false)</f>
        <v>0.5</v>
      </c>
      <c r="I14" s="105">
        <f>vlookup($B$14,JUL!$A$12:$F$12,6,false)</f>
        <v>0.5</v>
      </c>
      <c r="J14" s="105">
        <f>vlookup($B$14,AUG!$A$12:$F$12,6,false)</f>
        <v>0.5</v>
      </c>
      <c r="K14" s="105">
        <f>vlookup($B$14,SEP!$A$12:$F$12,6,false)</f>
        <v>0.5</v>
      </c>
      <c r="L14" s="105">
        <f>vlookup($B$14,OCT!$A$12:$F$12,6,false)</f>
        <v>0</v>
      </c>
      <c r="M14" s="104">
        <f>vlookup($B$14,NOV!$A$12:$F$12,6,false)</f>
        <v>0</v>
      </c>
      <c r="N14" s="104">
        <f>vlookup($B$14,DEC!$A$12:$F$12,6,false)</f>
        <v>0</v>
      </c>
      <c r="O14" s="99"/>
    </row>
    <row r="15" hidden="1">
      <c r="A15" s="125" t="s">
        <v>89</v>
      </c>
      <c r="B15" s="126"/>
      <c r="C15" s="119">
        <f t="shared" ref="C15:N15" si="2">average(C12:C14)</f>
        <v>0.3333333333</v>
      </c>
      <c r="D15" s="119">
        <f t="shared" si="2"/>
        <v>0.3333333333</v>
      </c>
      <c r="E15" s="119">
        <f t="shared" si="2"/>
        <v>0.3333333333</v>
      </c>
      <c r="F15" s="119">
        <f t="shared" si="2"/>
        <v>0.3333333333</v>
      </c>
      <c r="G15" s="119">
        <f t="shared" si="2"/>
        <v>0.3333333333</v>
      </c>
      <c r="H15" s="119">
        <f t="shared" si="2"/>
        <v>0.3333333333</v>
      </c>
      <c r="I15" s="119">
        <f t="shared" si="2"/>
        <v>0.3333333333</v>
      </c>
      <c r="J15" s="119">
        <f t="shared" si="2"/>
        <v>0.3333333333</v>
      </c>
      <c r="K15" s="119">
        <f t="shared" si="2"/>
        <v>0.1666666667</v>
      </c>
      <c r="L15" s="119">
        <f t="shared" si="2"/>
        <v>0</v>
      </c>
      <c r="M15" s="119">
        <f t="shared" si="2"/>
        <v>0</v>
      </c>
      <c r="N15" s="119">
        <f t="shared" si="2"/>
        <v>0</v>
      </c>
      <c r="O15" s="116"/>
    </row>
    <row r="16">
      <c r="A16" s="120"/>
      <c r="B16" s="121"/>
      <c r="C16" s="122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</row>
    <row r="17">
      <c r="A17" s="123" t="s">
        <v>20</v>
      </c>
      <c r="B17" s="92" t="s">
        <v>6</v>
      </c>
      <c r="C17" s="93" t="s">
        <v>70</v>
      </c>
      <c r="D17" s="94" t="s">
        <v>71</v>
      </c>
      <c r="E17" s="94" t="s">
        <v>72</v>
      </c>
      <c r="F17" s="94" t="s">
        <v>73</v>
      </c>
      <c r="G17" s="94" t="s">
        <v>74</v>
      </c>
      <c r="H17" s="94" t="s">
        <v>75</v>
      </c>
      <c r="I17" s="94" t="s">
        <v>76</v>
      </c>
      <c r="J17" s="94" t="s">
        <v>77</v>
      </c>
      <c r="K17" s="94" t="s">
        <v>78</v>
      </c>
      <c r="L17" s="94" t="s">
        <v>79</v>
      </c>
      <c r="M17" s="94" t="s">
        <v>80</v>
      </c>
      <c r="N17" s="94" t="s">
        <v>81</v>
      </c>
      <c r="O17" s="95"/>
    </row>
    <row r="18">
      <c r="A18" s="100"/>
      <c r="B18" s="97" t="s">
        <v>45</v>
      </c>
      <c r="C18" s="105">
        <f>vlookup($B$18,JAN!$A$28:$F$28,6,false)</f>
        <v>0.5</v>
      </c>
      <c r="D18" s="105">
        <f>vlookup($B$18,FEB!$A$28:$F$28,6,false)</f>
        <v>0.5</v>
      </c>
      <c r="E18" s="105">
        <f>vlookup($B$18,MAR!$A$28:$F$28,6,false)</f>
        <v>0.5</v>
      </c>
      <c r="F18" s="105">
        <f>vlookup($B$18,APR!$A$28:$F$28,6,false)</f>
        <v>0.5</v>
      </c>
      <c r="G18" s="105">
        <f>vlookup($B$18,MAY!$A$28:$F$28,6,false)</f>
        <v>0.5</v>
      </c>
      <c r="H18" s="105">
        <f>vlookup($B$18,JUN!$A$28:$F$28,6,false)</f>
        <v>0.5</v>
      </c>
      <c r="I18" s="105">
        <f>vlookup($B$18,JUL!$A$28:$F$28,6,false)</f>
        <v>0.5</v>
      </c>
      <c r="J18" s="105">
        <f>vlookup($B$18,AUG!$A$28:$F$28,6,false)</f>
        <v>0.5</v>
      </c>
      <c r="K18" s="105">
        <f>vlookup($B$18,SEP!$A$28:$F$28,6,false)</f>
        <v>0</v>
      </c>
      <c r="L18" s="105">
        <f>vlookup($B$18,OCT!$A$28:$F$28,6,false)</f>
        <v>0</v>
      </c>
      <c r="M18" s="105">
        <f>vlookup($B$18,NOV!$A$28:$F$28,6,false)</f>
        <v>0</v>
      </c>
      <c r="N18" s="105">
        <f>vlookup($B$18,DEC!$A$28:$F$28,6,false)</f>
        <v>0</v>
      </c>
      <c r="O18" s="99"/>
    </row>
    <row r="19">
      <c r="A19" s="96"/>
      <c r="B19" s="97" t="s">
        <v>46</v>
      </c>
      <c r="C19" s="105">
        <f>vlookup($B$19,JAN!$A$29:$F$29,6,false)</f>
        <v>0.5</v>
      </c>
      <c r="D19" s="105">
        <f>vlookup($B$19,FEB!$A$29:$F$29,6,false)</f>
        <v>0.5</v>
      </c>
      <c r="E19" s="105">
        <f>vlookup($B$19,MAR!$A$29:$F$29,6,false)</f>
        <v>0.5</v>
      </c>
      <c r="F19" s="105">
        <f>vlookup($B$19,APR!$A$29:$F$29,6,false)</f>
        <v>0.5</v>
      </c>
      <c r="G19" s="105">
        <f>vlookup($B$19,MAY!$A$29:$F$29,6,false)</f>
        <v>0.5</v>
      </c>
      <c r="H19" s="105">
        <f>vlookup($B$19,JUN!$A$29:$F$29,6,false)</f>
        <v>0.5</v>
      </c>
      <c r="I19" s="105">
        <f>vlookup($B$19,JUL!$A$29:$F$29,6,false)</f>
        <v>0.5</v>
      </c>
      <c r="J19" s="105">
        <f>vlookup($B$19,AUG!$A$29:$F$29,6,false)</f>
        <v>0.5</v>
      </c>
      <c r="K19" s="105">
        <f>vlookup($B$19,SEP!$A$29:$F$29,6,false)</f>
        <v>0</v>
      </c>
      <c r="L19" s="105">
        <f>vlookup($B$19,OCT!$A$29:$F$29,6,false)</f>
        <v>0</v>
      </c>
      <c r="M19" s="105">
        <f>vlookup($B$19,NOV!$A$29:$F$29,6,false)</f>
        <v>0</v>
      </c>
      <c r="N19" s="105">
        <f>vlookup($B$19,DEC!$A$29:$F$29,6,false)</f>
        <v>0</v>
      </c>
      <c r="O19" s="99"/>
    </row>
    <row r="20">
      <c r="A20" s="100"/>
      <c r="B20" s="97" t="s">
        <v>51</v>
      </c>
      <c r="C20" s="103">
        <f>vlookup($B$20,JAN!$A$33:$F$33,6,false)</f>
        <v>0</v>
      </c>
      <c r="D20" s="103">
        <f>vlookup($B$20,FEB!$A$33:$F$33,6,false)</f>
        <v>0.5</v>
      </c>
      <c r="E20" s="103">
        <f>vlookup($B$20,MAR!$A$33:$F$33,6,false)</f>
        <v>0.5</v>
      </c>
      <c r="F20" s="103">
        <f>vlookup($B$20,APR!$A$33:$F$33,6,false)</f>
        <v>0.5</v>
      </c>
      <c r="G20" s="103">
        <f>vlookup($B$20,MAY!$A$33:$F$33,6,false)</f>
        <v>0</v>
      </c>
      <c r="H20" s="103">
        <f>vlookup($B$20,JUN!$A$33:$F$33,6,false)</f>
        <v>0.5</v>
      </c>
      <c r="I20" s="103">
        <f>vlookup($B$20,JUL!$A$33:$F$33,6,false)</f>
        <v>0.5</v>
      </c>
      <c r="J20" s="103">
        <f>vlookup($B$20,AUG!$A$33:$F$33,6,false)</f>
        <v>0.5</v>
      </c>
      <c r="K20" s="103">
        <f>vlookup($B$20,SEP!$A$33:$F$33,6,false)</f>
        <v>0.5</v>
      </c>
      <c r="L20" s="103">
        <f>vlookup($B$20,OCT!$A$33:$F$33,6,false)</f>
        <v>0</v>
      </c>
      <c r="M20" s="103">
        <f>vlookup($B$20,NOV!$A$33:$F$33,6,false)</f>
        <v>0</v>
      </c>
      <c r="N20" s="103">
        <f>vlookup($B$20,DEC!$A$33:$F$33,6,false)</f>
        <v>0</v>
      </c>
      <c r="O20" s="99"/>
    </row>
    <row r="21" hidden="1">
      <c r="A21" s="96"/>
      <c r="B21" s="97" t="s">
        <v>22</v>
      </c>
      <c r="C21" s="98" t="s">
        <v>31</v>
      </c>
      <c r="D21" s="98" t="s">
        <v>31</v>
      </c>
      <c r="E21" s="98" t="s">
        <v>31</v>
      </c>
      <c r="F21" s="98" t="s">
        <v>31</v>
      </c>
      <c r="G21" s="98" t="s">
        <v>31</v>
      </c>
      <c r="H21" s="98" t="s">
        <v>31</v>
      </c>
      <c r="I21" s="98" t="s">
        <v>31</v>
      </c>
      <c r="J21" s="98" t="s">
        <v>31</v>
      </c>
      <c r="K21" s="98" t="s">
        <v>31</v>
      </c>
      <c r="L21" s="98" t="s">
        <v>31</v>
      </c>
      <c r="M21" s="98" t="s">
        <v>31</v>
      </c>
      <c r="N21" s="98" t="s">
        <v>31</v>
      </c>
      <c r="O21" s="99"/>
    </row>
    <row r="22">
      <c r="A22" s="100"/>
      <c r="B22" s="115" t="s">
        <v>53</v>
      </c>
      <c r="C22" s="104">
        <f>vlookup($B$99,JAN!$A$35:$F$35,6,false)</f>
        <v>0.5</v>
      </c>
      <c r="D22" s="104">
        <f>vlookup($B$99,FEB!$A$35:$F$35,6,false)</f>
        <v>0</v>
      </c>
      <c r="E22" s="104">
        <f>vlookup($B$99,MAR!$A$35:$F$35,6,false)</f>
        <v>0.5</v>
      </c>
      <c r="F22" s="104">
        <f>vlookup($B$99,APR!$A$35:$F$35,6,false)</f>
        <v>0.5</v>
      </c>
      <c r="G22" s="104">
        <f>vlookup($B$99,MAY!$A$35:$F$35,6,false)</f>
        <v>0.5</v>
      </c>
      <c r="H22" s="104">
        <f>vlookup($B$99,JUN!$A$35:$F$35,6,false)</f>
        <v>0</v>
      </c>
      <c r="I22" s="104">
        <f>vlookup($B$99,JUL!$A$35:$F$35,6,false)</f>
        <v>0</v>
      </c>
      <c r="J22" s="104">
        <f>vlookup($B$99,AUG!$A$35:$F$35,6,false)</f>
        <v>0.5</v>
      </c>
      <c r="K22" s="104">
        <f>vlookup($B$99,SEP!$A$35:$F$35,6,false)</f>
        <v>0</v>
      </c>
      <c r="L22" s="104">
        <f>vlookup($B$99,OCT!$A$35:$F$35,6,false)</f>
        <v>0</v>
      </c>
      <c r="M22" s="104">
        <f>vlookup($B$99,NOV!$A$35:$F$35,6,false)</f>
        <v>0</v>
      </c>
      <c r="N22" s="104">
        <f>vlookup($B$99,DEC!$A$35:$F$35,6,false)</f>
        <v>0</v>
      </c>
      <c r="O22" s="99"/>
    </row>
    <row r="23">
      <c r="A23" s="96"/>
      <c r="B23" s="115" t="s">
        <v>19</v>
      </c>
      <c r="C23" s="127">
        <f>vlookup($B$23,JAN!$A$8:$F$8,6,false)</f>
        <v>0.5</v>
      </c>
      <c r="D23" s="127">
        <f>vlookup($B$23,FEB!$A$8:$F$8,6,false)</f>
        <v>0.5</v>
      </c>
      <c r="E23" s="127">
        <f>vlookup($B$23,MAR!$A$8:$F$8,6,false)</f>
        <v>0.5</v>
      </c>
      <c r="F23" s="127">
        <f>vlookup($B$23,APR!$A$8:$F$8,6,false)</f>
        <v>0.5</v>
      </c>
      <c r="G23" s="127">
        <f>vlookup($B$23,MAY!$A$8:$F$8,6,false)</f>
        <v>0</v>
      </c>
      <c r="H23" s="127">
        <f>vlookup($B$23,JUN!$A$8:$F$8,6,false)</f>
        <v>0.5</v>
      </c>
      <c r="I23" s="127">
        <f>vlookup($B$23,JUL!$A$8:$F$8,6,false)</f>
        <v>0.5</v>
      </c>
      <c r="J23" s="127">
        <f>vlookup($B$23,AUG!$A$8:$F$8,6,false)</f>
        <v>0.5</v>
      </c>
      <c r="K23" s="127">
        <f>vlookup($B$23,SEP!$A$8:$F$8,6,false)</f>
        <v>0.5</v>
      </c>
      <c r="L23" s="127">
        <f>vlookup($B$23,OCT!$A$8:$F$8,6,false)</f>
        <v>0</v>
      </c>
      <c r="M23" s="127">
        <f>vlookup($B$23,NOV!$A$8:$F$8,6,false)</f>
        <v>0</v>
      </c>
      <c r="N23" s="127">
        <f>vlookup($B$23,DEC!$A$8:$F$8,6,false)</f>
        <v>0</v>
      </c>
      <c r="O23" s="99"/>
    </row>
    <row r="24">
      <c r="A24" s="100"/>
      <c r="B24" s="115" t="s">
        <v>32</v>
      </c>
      <c r="C24" s="127">
        <f>vlookup($B$24,JAN!$A$15:$F$15,6,false)</f>
        <v>0</v>
      </c>
      <c r="D24" s="127">
        <f>vlookup($B$24,FEB!$A$15:$F$15,6,false)</f>
        <v>0.5</v>
      </c>
      <c r="E24" s="127">
        <f>vlookup($B$24,MAR!$A$15:$F$15,6,false)</f>
        <v>0.5</v>
      </c>
      <c r="F24" s="127">
        <f>vlookup($B$24,APR!$A$15:$F$15,6,false)</f>
        <v>0.5</v>
      </c>
      <c r="G24" s="127">
        <f>vlookup($B$24,MAY!$A$15:$F$15,6,false)</f>
        <v>0</v>
      </c>
      <c r="H24" s="127">
        <f>vlookup($B$24,JUN!$A$15:$F$15,6,false)</f>
        <v>0.5</v>
      </c>
      <c r="I24" s="127">
        <f>vlookup($B$24,JUL!$A$15:$F$15,6,false)</f>
        <v>0.5</v>
      </c>
      <c r="J24" s="127">
        <f>vlookup($B$24,AUG!$A$15:$F$15,6,false)</f>
        <v>0.5</v>
      </c>
      <c r="K24" s="127">
        <f>vlookup($B$24,SEP!$A$15:$F$15,6,false)</f>
        <v>0.5</v>
      </c>
      <c r="L24" s="127">
        <f>vlookup($B$24,OCT!$A$15:$F$15,6,false)</f>
        <v>0</v>
      </c>
      <c r="M24" s="127">
        <f>vlookup($B$24,NOV!$A$15:$F$15,6,false)</f>
        <v>0</v>
      </c>
      <c r="N24" s="127">
        <f>vlookup($B$24,DEC!$A$15:$F$15,6,false)</f>
        <v>0</v>
      </c>
      <c r="O24" s="99"/>
    </row>
    <row r="25">
      <c r="A25" s="96"/>
      <c r="B25" s="128" t="s">
        <v>33</v>
      </c>
      <c r="C25" s="105">
        <f>vlookup($B$25,JAN!$A$16:$F$16,6,false)</f>
        <v>0.5</v>
      </c>
      <c r="D25" s="105">
        <f>vlookup($B$25,FEB!$A$16:$F$16,6,false)</f>
        <v>0.5</v>
      </c>
      <c r="E25" s="105">
        <f>vlookup($B$25,MAR!$A$16:$F$16,6,false)</f>
        <v>0.5</v>
      </c>
      <c r="F25" s="105">
        <f>vlookup($B$25,APR!$A$16:$F$16,6,false)</f>
        <v>0.5</v>
      </c>
      <c r="G25" s="105">
        <f>vlookup($B$25,MAY!$A$16:$F$16,6,false)</f>
        <v>0.5</v>
      </c>
      <c r="H25" s="105">
        <f>vlookup($B$25,JUN!$A$16:$F$16,6,false)</f>
        <v>0</v>
      </c>
      <c r="I25" s="105">
        <f>vlookup($B$25,JUL!$A$16:$F$16,6,false)</f>
        <v>0.5</v>
      </c>
      <c r="J25" s="105">
        <f>vlookup($B$25,AUG!$A$16:$F$16,6,false)</f>
        <v>0.5</v>
      </c>
      <c r="K25" s="105">
        <f>vlookup($B$25,SEP!$A$16:$F$16,6,false)</f>
        <v>0.5</v>
      </c>
      <c r="L25" s="105">
        <f>vlookup($B$25,OCT!$A$16:$F$16,6,false)</f>
        <v>0</v>
      </c>
      <c r="M25" s="105">
        <f>vlookup($B$25,NOV!$A$16:$F$16,6,false)</f>
        <v>0</v>
      </c>
      <c r="N25" s="105">
        <f>vlookup($B$25,DEC!$A$16:$F$16,6,false)</f>
        <v>0</v>
      </c>
      <c r="O25" s="99"/>
    </row>
    <row r="26" hidden="1">
      <c r="A26" s="113"/>
      <c r="B26" s="97" t="s">
        <v>35</v>
      </c>
      <c r="C26" s="98" t="s">
        <v>31</v>
      </c>
      <c r="D26" s="105">
        <f>vlookup($B$32,FEB!$A$18:$F$18,6,false)</f>
        <v>0.5</v>
      </c>
      <c r="E26" s="105">
        <f>vlookup($B$32,MAR!$A$18:$F$18,6,false)</f>
        <v>0.5</v>
      </c>
      <c r="F26" s="105">
        <f>vlookup($B$32,APR!$A$18:$F$18,6,false)</f>
        <v>0.5</v>
      </c>
      <c r="G26" s="105">
        <f>vlookup($B$32,MAY!$A$18:$F$18,6,false)</f>
        <v>0.5</v>
      </c>
      <c r="H26" s="105">
        <f>vlookup($B$32,JUN!$A$18:$F$18,6,false)</f>
        <v>0</v>
      </c>
      <c r="I26" s="105">
        <f>vlookup($B$32,JUL!$A$18:$F$18,6,false)</f>
        <v>0.5</v>
      </c>
      <c r="J26" s="98">
        <f>vlookup($B$32,AUG!$A$18:$F$18,6,false)</f>
        <v>0.5</v>
      </c>
      <c r="K26" s="98">
        <f>vlookup($B$32,SEP!$A$18:$F$18,6,false)</f>
        <v>0</v>
      </c>
      <c r="L26" s="98">
        <f>vlookup($B$32,OCT!$A$18:$F$18,6,false)</f>
        <v>0</v>
      </c>
      <c r="M26" s="98">
        <f>vlookup($B$32,NOV!$A$18:$F$18,6,false)</f>
        <v>0</v>
      </c>
      <c r="N26" s="98">
        <f>vlookup($B$32,DEC!$A$18:$F$18,6,false)</f>
        <v>0</v>
      </c>
      <c r="O26" s="116"/>
    </row>
    <row r="27">
      <c r="A27" s="125" t="s">
        <v>89</v>
      </c>
      <c r="B27" s="126"/>
      <c r="C27" s="119">
        <f t="shared" ref="C27:N27" si="3">average(C18:C27)</f>
        <v>0.3571428571</v>
      </c>
      <c r="D27" s="119">
        <f t="shared" si="3"/>
        <v>0.4375</v>
      </c>
      <c r="E27" s="119">
        <f t="shared" si="3"/>
        <v>0.5</v>
      </c>
      <c r="F27" s="119">
        <f t="shared" si="3"/>
        <v>0.5</v>
      </c>
      <c r="G27" s="119">
        <f t="shared" si="3"/>
        <v>0.3125</v>
      </c>
      <c r="H27" s="119">
        <f t="shared" si="3"/>
        <v>0.3125</v>
      </c>
      <c r="I27" s="119">
        <f t="shared" si="3"/>
        <v>0.4375</v>
      </c>
      <c r="J27" s="119">
        <f t="shared" si="3"/>
        <v>0.5</v>
      </c>
      <c r="K27" s="119">
        <f t="shared" si="3"/>
        <v>0.2499142661</v>
      </c>
      <c r="L27" s="119">
        <f t="shared" si="3"/>
        <v>0</v>
      </c>
      <c r="M27" s="119">
        <f t="shared" si="3"/>
        <v>0</v>
      </c>
      <c r="N27" s="119">
        <f t="shared" si="3"/>
        <v>0</v>
      </c>
      <c r="O27" s="116"/>
    </row>
    <row r="28">
      <c r="A28" s="120"/>
      <c r="B28" s="121"/>
      <c r="C28" s="122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</row>
    <row r="29" hidden="1">
      <c r="A29" s="123" t="s">
        <v>91</v>
      </c>
      <c r="B29" s="92" t="s">
        <v>6</v>
      </c>
      <c r="C29" s="93" t="s">
        <v>70</v>
      </c>
      <c r="D29" s="94" t="s">
        <v>71</v>
      </c>
      <c r="E29" s="94" t="s">
        <v>72</v>
      </c>
      <c r="F29" s="94" t="s">
        <v>73</v>
      </c>
      <c r="G29" s="94" t="s">
        <v>74</v>
      </c>
      <c r="H29" s="94" t="s">
        <v>75</v>
      </c>
      <c r="I29" s="94" t="s">
        <v>76</v>
      </c>
      <c r="J29" s="94" t="s">
        <v>77</v>
      </c>
      <c r="K29" s="94" t="s">
        <v>78</v>
      </c>
      <c r="L29" s="94" t="s">
        <v>79</v>
      </c>
      <c r="M29" s="94" t="s">
        <v>80</v>
      </c>
      <c r="N29" s="94" t="s">
        <v>81</v>
      </c>
      <c r="O29" s="95"/>
    </row>
    <row r="30" hidden="1">
      <c r="A30" s="100"/>
      <c r="B30" s="97" t="s">
        <v>47</v>
      </c>
      <c r="C30" s="98">
        <f>vlookup($B$30,JAN!$A$30:$F$30,6,false)</f>
        <v>0.5</v>
      </c>
      <c r="D30" s="98">
        <f>vlookup($B$30,FEB!$A$30:$F$30,6,false)</f>
        <v>0.5</v>
      </c>
      <c r="E30" s="98">
        <f>vlookup($B$30,MAR!$A$30:$F$30,6,false)</f>
        <v>0.5</v>
      </c>
      <c r="F30" s="98">
        <f>vlookup($B$30,APR!$A$30:$F$30,6,false)</f>
        <v>0.5</v>
      </c>
      <c r="G30" s="98">
        <f>vlookup($B$30,MAY!$A$30:$F$30,6,false)</f>
        <v>0.5</v>
      </c>
      <c r="H30" s="98">
        <f>vlookup($B$30,JUN!$A$30:$F$30,6,false)</f>
        <v>0.5</v>
      </c>
      <c r="I30" s="98">
        <f>vlookup($B$30,JUL!$A$30:$F$30,6,false)</f>
        <v>0.5</v>
      </c>
      <c r="J30" s="98">
        <f>vlookup($B$30,AUG!$A$30:$F$30,6,false)</f>
        <v>0.5</v>
      </c>
      <c r="K30" s="98">
        <f>vlookup($B$30,SEP!$A$30:$F$30,6,false)</f>
        <v>0.5</v>
      </c>
      <c r="L30" s="98">
        <f>vlookup($B$30,OCT!$A$30:$F$30,6,false)</f>
        <v>0</v>
      </c>
      <c r="M30" s="98">
        <f>vlookup($B$30,NOV!$A$30:$F$30,6,false)</f>
        <v>0</v>
      </c>
      <c r="N30" s="98">
        <f>vlookup($B$30,DEC!$A$30:$F$30,6,false)</f>
        <v>0</v>
      </c>
      <c r="O30" s="99"/>
    </row>
    <row r="31" hidden="1">
      <c r="A31" s="96"/>
      <c r="B31" s="101" t="s">
        <v>54</v>
      </c>
      <c r="C31" s="98">
        <f>vlookup($B$40,JAN!$A$36:$F$36,6,false)</f>
        <v>0.5</v>
      </c>
      <c r="D31" s="98">
        <f>vlookup($B$40,FEB!$A$36:$F$36,6,false)</f>
        <v>0.5</v>
      </c>
      <c r="E31" s="98">
        <f>vlookup($B$40,MAR!$A$36:$F$36,6,false)</f>
        <v>0.5</v>
      </c>
      <c r="F31" s="98">
        <f>vlookup($B$40,APR!$A$36:$F$36,6,false)</f>
        <v>0.5</v>
      </c>
      <c r="G31" s="98">
        <f>vlookup($B$40,MAY!$A$36:$F$36,6,false)</f>
        <v>0</v>
      </c>
      <c r="H31" s="98">
        <f>vlookup($B$40,JUN!$A$36:$F$36,6,false)</f>
        <v>0</v>
      </c>
      <c r="I31" s="98">
        <f>vlookup($B$40,JUL!$A$36:$F$36,6,false)</f>
        <v>0</v>
      </c>
      <c r="J31" s="98" t="s">
        <v>31</v>
      </c>
      <c r="K31" s="98">
        <f>vlookup($B$40,SEP!$A$36:$F$36,6,false)</f>
        <v>0</v>
      </c>
      <c r="L31" s="98">
        <f>vlookup($B$40,OCT!$A$36:$F$36,6,false)</f>
        <v>0</v>
      </c>
      <c r="M31" s="98">
        <f>vlookup($B$40,NOV!$A$36:$F$36,6,false)</f>
        <v>0</v>
      </c>
      <c r="N31" s="98">
        <f>vlookup($B$40,DEC!$A$36:$F$36,6,false)</f>
        <v>0</v>
      </c>
      <c r="O31" s="99"/>
    </row>
    <row r="32" hidden="1">
      <c r="A32" s="100"/>
      <c r="B32" s="97" t="s">
        <v>35</v>
      </c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9"/>
    </row>
    <row r="33" hidden="1">
      <c r="A33" s="96"/>
      <c r="B33" s="97" t="s">
        <v>40</v>
      </c>
      <c r="C33" s="98">
        <f>vlookup($B$33,JAN!$A$22:$F$22,6,false)</f>
        <v>0.5</v>
      </c>
      <c r="D33" s="98">
        <f>vlookup($B$33,FEB!$A$22:$F$22,6,false)</f>
        <v>0</v>
      </c>
      <c r="E33" s="98">
        <f>vlookup($B$33,MAR!$A$22:$F$22,6,false)</f>
        <v>0.5</v>
      </c>
      <c r="F33" s="98">
        <f>vlookup($B$33,APR!$A$22:$F$22,6,false)</f>
        <v>0.5</v>
      </c>
      <c r="G33" s="98">
        <f>vlookup($B$33,MAY!$A$22:$F$22,6,false)</f>
        <v>0.5</v>
      </c>
      <c r="H33" s="98">
        <f>vlookup($B$33,JUN!$A$22:$F$22,6,false)</f>
        <v>0.5</v>
      </c>
      <c r="I33" s="98">
        <f>vlookup($B$33,JUL!$A$22:$F$22,6,false)</f>
        <v>0.5</v>
      </c>
      <c r="J33" s="98">
        <f>vlookup($B$33,AUG!$A$22:$F$22,6,false)</f>
        <v>0</v>
      </c>
      <c r="K33" s="98">
        <f>vlookup($B$33,SEP!$A$22:$F$22,6,false)</f>
        <v>0</v>
      </c>
      <c r="L33" s="98">
        <f>vlookup($B$33,OCT!$A$22:$F$22,6,false)</f>
        <v>0</v>
      </c>
      <c r="M33" s="98">
        <f>vlookup($B$33,NOV!$A$22:$F$22,6,false)</f>
        <v>0</v>
      </c>
      <c r="N33" s="98">
        <f>vlookup($B$33,DEC!$A$22:$F$22,6,false)</f>
        <v>0</v>
      </c>
      <c r="O33" s="99"/>
    </row>
    <row r="34" hidden="1">
      <c r="A34" s="100"/>
      <c r="B34" s="97" t="s">
        <v>41</v>
      </c>
      <c r="C34" s="98">
        <f>vlookup($B$34,JAN!$A$5:$F$25,6,false)</f>
        <v>0.5</v>
      </c>
      <c r="D34" s="98">
        <f>vlookup($B$34,FEB!$A$5:$F$24,6,false)</f>
        <v>0.5</v>
      </c>
      <c r="E34" s="98">
        <f>vlookup($B$34,MAR!$A$5:$F$25,6,false)</f>
        <v>0.5</v>
      </c>
      <c r="F34" s="98">
        <f>vlookup($B$34,APR!$A$5:$F$25,6,false)</f>
        <v>0.5</v>
      </c>
      <c r="G34" s="98">
        <f>vlookup($B$34,MAY!$A$5:$F$25,6,false)</f>
        <v>0.5</v>
      </c>
      <c r="H34" s="98">
        <f>vlookup($B$34,JUN!$A$5:$F$25,6,false)</f>
        <v>0.5</v>
      </c>
      <c r="I34" s="98">
        <f>vlookup($B$34,JUL!$A$5:$F$25,6,false)</f>
        <v>0.5</v>
      </c>
      <c r="J34" s="98">
        <f>vlookup($B$34,AUG!$A$5:$F$25,6,false)</f>
        <v>0.5</v>
      </c>
      <c r="K34" s="98">
        <f>vlookup($B$34,SEP!$A$5:$F$25,6,false)</f>
        <v>0</v>
      </c>
      <c r="L34" s="98">
        <f>vlookup($B$34,OCT!$A$5:$F$25,6,false)</f>
        <v>0</v>
      </c>
      <c r="M34" s="98">
        <f>vlookup($B$34,NOV!$A$5:$F$25,6,false)</f>
        <v>0</v>
      </c>
      <c r="N34" s="98">
        <f>vlookup($B$34,DEC!$A$5:$F$25,6,false)</f>
        <v>0</v>
      </c>
      <c r="O34" s="99"/>
    </row>
    <row r="35" hidden="1">
      <c r="A35" s="129"/>
      <c r="B35" s="97" t="s">
        <v>42</v>
      </c>
      <c r="C35" s="98">
        <f>vlookup($B$35,JAN!$A$5:$F$25,6,false)</f>
        <v>0.5</v>
      </c>
      <c r="D35" s="98">
        <f>vlookup($B$35,FEB!$A$5:$F$24,6,false)</f>
        <v>0.5</v>
      </c>
      <c r="E35" s="98">
        <f>vlookup($B$35,MAR!$A$5:$F$24,6,false)</f>
        <v>0.5</v>
      </c>
      <c r="F35" s="98">
        <f>vlookup($B$35,APR!$A$5:$F$25,6,false)</f>
        <v>0.5</v>
      </c>
      <c r="G35" s="98">
        <f>vlookup($B$35,MAY!$A$5:$F$25,6,false)</f>
        <v>0.5</v>
      </c>
      <c r="H35" s="98">
        <f>vlookup($B$35,JUN!$A$5:$F$25,6,false)</f>
        <v>0.5</v>
      </c>
      <c r="I35" s="98">
        <f>vlookup($B$35,JUL!$A$5:$F$25,6,false)</f>
        <v>0</v>
      </c>
      <c r="J35" s="98">
        <f>vlookup($B$35,AUG!$A$5:$F$25,6,false)</f>
        <v>0</v>
      </c>
      <c r="K35" s="98">
        <f>vlookup($B$35,SEP!$A$5:$F$25,6,false)</f>
        <v>0</v>
      </c>
      <c r="L35" s="98">
        <f>vlookup($B$35,OCT!$A$5:$F$25,6,false)</f>
        <v>0</v>
      </c>
      <c r="M35" s="98">
        <f>vlookup($B$35,NOV!$A$5:$F$25,6,false)</f>
        <v>0</v>
      </c>
      <c r="N35" s="98">
        <f>vlookup($B$35,DEC!$A$5:$F$25,6,false)</f>
        <v>0</v>
      </c>
      <c r="O35" s="99"/>
    </row>
    <row r="36" hidden="1">
      <c r="A36" s="125" t="s">
        <v>89</v>
      </c>
      <c r="B36" s="130"/>
      <c r="C36" s="119">
        <f>average(C30:C36)</f>
        <v>0.5</v>
      </c>
      <c r="D36" s="119">
        <f t="shared" ref="D36:N36" si="4">average(D30,D33:D35)</f>
        <v>0.375</v>
      </c>
      <c r="E36" s="119">
        <f t="shared" si="4"/>
        <v>0.5</v>
      </c>
      <c r="F36" s="131">
        <f t="shared" si="4"/>
        <v>0.5</v>
      </c>
      <c r="G36" s="119">
        <f t="shared" si="4"/>
        <v>0.5</v>
      </c>
      <c r="H36" s="119">
        <f t="shared" si="4"/>
        <v>0.5</v>
      </c>
      <c r="I36" s="119">
        <f t="shared" si="4"/>
        <v>0.375</v>
      </c>
      <c r="J36" s="119">
        <f t="shared" si="4"/>
        <v>0.25</v>
      </c>
      <c r="K36" s="119">
        <f t="shared" si="4"/>
        <v>0.125</v>
      </c>
      <c r="L36" s="119">
        <f t="shared" si="4"/>
        <v>0</v>
      </c>
      <c r="M36" s="119">
        <f t="shared" si="4"/>
        <v>0</v>
      </c>
      <c r="N36" s="119">
        <f t="shared" si="4"/>
        <v>0</v>
      </c>
      <c r="O36" s="116"/>
    </row>
    <row r="37">
      <c r="A37" s="120"/>
      <c r="B37" s="121"/>
      <c r="C37" s="122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</row>
    <row r="38" hidden="1">
      <c r="A38" s="132" t="s">
        <v>92</v>
      </c>
      <c r="B38" s="92" t="s">
        <v>6</v>
      </c>
      <c r="C38" s="93" t="s">
        <v>70</v>
      </c>
      <c r="D38" s="94" t="s">
        <v>71</v>
      </c>
      <c r="E38" s="94" t="s">
        <v>72</v>
      </c>
      <c r="F38" s="94" t="s">
        <v>73</v>
      </c>
      <c r="G38" s="94" t="s">
        <v>74</v>
      </c>
      <c r="H38" s="94" t="s">
        <v>75</v>
      </c>
      <c r="I38" s="94" t="s">
        <v>76</v>
      </c>
      <c r="J38" s="94" t="s">
        <v>77</v>
      </c>
      <c r="K38" s="94" t="s">
        <v>78</v>
      </c>
      <c r="L38" s="94" t="s">
        <v>79</v>
      </c>
      <c r="M38" s="94" t="s">
        <v>80</v>
      </c>
      <c r="N38" s="94" t="s">
        <v>81</v>
      </c>
      <c r="O38" s="95"/>
    </row>
    <row r="39" hidden="1">
      <c r="A39" s="100"/>
      <c r="B39" s="97" t="s">
        <v>51</v>
      </c>
      <c r="C39" s="98">
        <f>vlookup($B$39,JAN!$A$33:$F$33,6,false)</f>
        <v>0</v>
      </c>
      <c r="D39" s="98">
        <f>vlookup($B$39,FEB!$A$33:$F$33,6,false)</f>
        <v>0.5</v>
      </c>
      <c r="E39" s="98">
        <f>vlookup($B$39,MAR!$A$33:$F$33,6,false)</f>
        <v>0.5</v>
      </c>
      <c r="F39" s="98">
        <f>vlookup($B$39,MAY!$A$33:$F$33,6,false)</f>
        <v>0</v>
      </c>
      <c r="G39" s="98">
        <f>vlookup($B$39,MAY!$A$33:$F$33,6,false)</f>
        <v>0</v>
      </c>
      <c r="H39" s="98">
        <f>vlookup($B$39,JUN!$A$33:$F$33,6,false)</f>
        <v>0.5</v>
      </c>
      <c r="I39" s="98">
        <f>vlookup($B$39,JUL!$A$33:$F$33,6,false)</f>
        <v>0.5</v>
      </c>
      <c r="J39" s="98">
        <f>vlookup($B$39,AUG!$A$33:$F$33,6,false)</f>
        <v>0.5</v>
      </c>
      <c r="K39" s="98">
        <f>vlookup($B$39,SEP!$A$33:$F$33,6,false)</f>
        <v>0.5</v>
      </c>
      <c r="L39" s="98">
        <f>vlookup($B$39,OCT!$A$33:$F$33,6,false)</f>
        <v>0</v>
      </c>
      <c r="M39" s="98">
        <f>vlookup($B$39,NOV!$A$33:$F$33,6,false)</f>
        <v>0</v>
      </c>
      <c r="N39" s="98">
        <f>vlookup($B$39,DEC!$A$33:$F$33,6,false)</f>
        <v>0</v>
      </c>
      <c r="O39" s="99"/>
    </row>
    <row r="40" hidden="1">
      <c r="A40" s="96"/>
      <c r="B40" s="101" t="s">
        <v>54</v>
      </c>
      <c r="C40" s="98">
        <f>vlookup($B$40,JAN!$A$36:$F$36,6,false)</f>
        <v>0.5</v>
      </c>
      <c r="D40" s="98">
        <f>vlookup($B$40,FEB!$A$36:$F$36,6,false)</f>
        <v>0.5</v>
      </c>
      <c r="E40" s="98">
        <f>vlookup($B$40,MAR!$A$36:$F$36,6,false)</f>
        <v>0.5</v>
      </c>
      <c r="F40" s="98">
        <f>vlookup($B$40,APR!$A$36:$F$36,6,false)</f>
        <v>0.5</v>
      </c>
      <c r="G40" s="98">
        <f>vlookup($B$40,MAY!$A$36:$F$36,6,false)</f>
        <v>0</v>
      </c>
      <c r="H40" s="98">
        <f>vlookup($B$40,JUN!$A$36:$F$36,6,false)</f>
        <v>0</v>
      </c>
      <c r="I40" s="98">
        <f>vlookup($B$40,JUL!$A$36:$F$36,6,false)</f>
        <v>0</v>
      </c>
      <c r="J40" s="98">
        <f>vlookup($B$40,AUG!$A$36:$F$36,6,false)</f>
        <v>0.5</v>
      </c>
      <c r="K40" s="98">
        <f>vlookup($B$40,SEP!$A$36:$F$36,6,false)</f>
        <v>0</v>
      </c>
      <c r="L40" s="98">
        <f>vlookup($B$40,OCT!$A$36:$F$36,6,false)</f>
        <v>0</v>
      </c>
      <c r="M40" s="98">
        <f>vlookup($B$40,NOV!$A$36:$F$36,6,false)</f>
        <v>0</v>
      </c>
      <c r="N40" s="98">
        <f>vlookup($B$40,DEC!$A$36:$F$36,6,false)</f>
        <v>0</v>
      </c>
      <c r="O40" s="133"/>
    </row>
    <row r="41" hidden="1">
      <c r="A41" s="100"/>
      <c r="B41" s="97" t="s">
        <v>13</v>
      </c>
      <c r="C41" s="98">
        <f>vlookup($B$41,JAN!$A$5:$F$5,6,false)</f>
        <v>0.5</v>
      </c>
      <c r="D41" s="98">
        <f>vlookup($B$41,FEB!$A$5:$F$5,6,false)</f>
        <v>0</v>
      </c>
      <c r="E41" s="98">
        <f>vlookup($B$41,MAR!$A$5:$F$5,6,false)</f>
        <v>0.5</v>
      </c>
      <c r="F41" s="98">
        <f>vlookup($B$41,APR!$A$5:$F$5,6,false)</f>
        <v>0.5</v>
      </c>
      <c r="G41" s="98">
        <f>vlookup($B$41,MAY!$A$5:$F$5,6,false)</f>
        <v>0.5</v>
      </c>
      <c r="H41" s="98">
        <f>vlookup($B$41,JUN!$A$5:$F$5,6,false)</f>
        <v>0.5</v>
      </c>
      <c r="I41" s="98">
        <f>vlookup($B$41,JUL!$A$5:$F$5,6,false)</f>
        <v>0.5</v>
      </c>
      <c r="J41" s="98">
        <f>vlookup($B$41,AUG!$A$5:$F$5,6,false)</f>
        <v>0.5</v>
      </c>
      <c r="K41" s="98">
        <f>vlookup($B$41,SEP!$A$5:$F$5,6,false)</f>
        <v>0</v>
      </c>
      <c r="L41" s="98">
        <f>vlookup($B$41,OCT!$A$5:$F$5,6,false)</f>
        <v>0</v>
      </c>
      <c r="M41" s="98">
        <f>vlookup($B$41,NOV!$A$5:$F$5,6,false)</f>
        <v>0</v>
      </c>
      <c r="N41" s="98">
        <f>vlookup($B$41,DEC!$A$5:$F$5,6,false)</f>
        <v>0</v>
      </c>
      <c r="O41" s="99"/>
    </row>
    <row r="42" hidden="1">
      <c r="A42" s="96"/>
      <c r="B42" s="97" t="s">
        <v>16</v>
      </c>
      <c r="C42" s="98">
        <f>vlookup($B$42,JAN!$A$6:$F$6,6,false)</f>
        <v>0.5</v>
      </c>
      <c r="D42" s="98">
        <f>vlookup($B$42,FEB!$A$6:$F$6,6,false)</f>
        <v>0</v>
      </c>
      <c r="E42" s="98">
        <f>vlookup($B$42,MAR!$A$6:$F$6,6,false)</f>
        <v>0.5</v>
      </c>
      <c r="F42" s="98">
        <f>vlookup($B$42,APR!$A$6:$F$6,6,false)</f>
        <v>0.5</v>
      </c>
      <c r="G42" s="98">
        <f>vlookup($B$42,MAY!$A$6:$F$6,6,false)</f>
        <v>0.5</v>
      </c>
      <c r="H42" s="98">
        <f>vlookup($B$42,JUN!$A$6:$F$6,6,false)</f>
        <v>0.5</v>
      </c>
      <c r="I42" s="98">
        <f>vlookup($B$42,JUL!$A$6:$F$6,6,false)</f>
        <v>0.5</v>
      </c>
      <c r="J42" s="98">
        <f>vlookup($B$42,AUG!$A$6:$F$6,6,false)</f>
        <v>0.5</v>
      </c>
      <c r="K42" s="98">
        <f>vlookup($B$42,SEP!$A$6:$F$6,6,false)</f>
        <v>0</v>
      </c>
      <c r="L42" s="98">
        <f>vlookup($B$42,OCT!$A$6:$F$6,6,false)</f>
        <v>0</v>
      </c>
      <c r="M42" s="98">
        <f>vlookup($B$42,NOV!$A$6:$F$6,6,false)</f>
        <v>0</v>
      </c>
      <c r="N42" s="98">
        <f>vlookup($B$42,DEC!$A$6:$F$6,6,false)</f>
        <v>0</v>
      </c>
      <c r="O42" s="99"/>
    </row>
    <row r="43" hidden="1">
      <c r="A43" s="113"/>
      <c r="B43" s="101" t="s">
        <v>17</v>
      </c>
      <c r="C43" s="98" t="s">
        <v>31</v>
      </c>
      <c r="D43" s="98" t="s">
        <v>31</v>
      </c>
      <c r="E43" s="98" t="s">
        <v>31</v>
      </c>
      <c r="F43" s="98" t="s">
        <v>31</v>
      </c>
      <c r="G43" s="98" t="s">
        <v>31</v>
      </c>
      <c r="H43" s="98" t="s">
        <v>31</v>
      </c>
      <c r="I43" s="98" t="s">
        <v>31</v>
      </c>
      <c r="J43" s="98" t="s">
        <v>31</v>
      </c>
      <c r="K43" s="98" t="s">
        <v>31</v>
      </c>
      <c r="L43" s="98" t="s">
        <v>31</v>
      </c>
      <c r="M43" s="98" t="s">
        <v>31</v>
      </c>
      <c r="N43" s="98" t="s">
        <v>31</v>
      </c>
      <c r="O43" s="116"/>
    </row>
    <row r="44" hidden="1">
      <c r="A44" s="125" t="s">
        <v>89</v>
      </c>
      <c r="B44" s="126"/>
      <c r="C44" s="131">
        <f t="shared" ref="C44:N44" si="5">average(C39:C42)</f>
        <v>0.375</v>
      </c>
      <c r="D44" s="131">
        <f t="shared" si="5"/>
        <v>0.25</v>
      </c>
      <c r="E44" s="131">
        <f t="shared" si="5"/>
        <v>0.5</v>
      </c>
      <c r="F44" s="131">
        <f t="shared" si="5"/>
        <v>0.375</v>
      </c>
      <c r="G44" s="131">
        <f t="shared" si="5"/>
        <v>0.25</v>
      </c>
      <c r="H44" s="131">
        <f t="shared" si="5"/>
        <v>0.375</v>
      </c>
      <c r="I44" s="131">
        <f t="shared" si="5"/>
        <v>0.375</v>
      </c>
      <c r="J44" s="131">
        <f t="shared" si="5"/>
        <v>0.5</v>
      </c>
      <c r="K44" s="131">
        <f t="shared" si="5"/>
        <v>0.125</v>
      </c>
      <c r="L44" s="131">
        <f t="shared" si="5"/>
        <v>0</v>
      </c>
      <c r="M44" s="131">
        <f t="shared" si="5"/>
        <v>0</v>
      </c>
      <c r="N44" s="131">
        <f t="shared" si="5"/>
        <v>0</v>
      </c>
      <c r="O44" s="116"/>
    </row>
    <row r="45">
      <c r="A45" s="134"/>
      <c r="B45" s="135"/>
      <c r="C45" s="136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8"/>
    </row>
    <row r="46" hidden="1">
      <c r="A46" s="139"/>
      <c r="B46" s="140" t="s">
        <v>6</v>
      </c>
      <c r="C46" s="141" t="s">
        <v>70</v>
      </c>
      <c r="D46" s="142" t="s">
        <v>71</v>
      </c>
      <c r="E46" s="142" t="s">
        <v>72</v>
      </c>
      <c r="F46" s="142" t="s">
        <v>73</v>
      </c>
      <c r="G46" s="142" t="s">
        <v>74</v>
      </c>
      <c r="H46" s="142" t="s">
        <v>75</v>
      </c>
      <c r="I46" s="142" t="s">
        <v>76</v>
      </c>
      <c r="J46" s="142" t="s">
        <v>77</v>
      </c>
      <c r="K46" s="142" t="s">
        <v>78</v>
      </c>
      <c r="L46" s="142" t="s">
        <v>79</v>
      </c>
      <c r="M46" s="142" t="s">
        <v>80</v>
      </c>
      <c r="N46" s="142" t="s">
        <v>81</v>
      </c>
      <c r="O46" s="95"/>
    </row>
    <row r="47" hidden="1">
      <c r="A47" s="139"/>
      <c r="B47" s="115" t="s">
        <v>25</v>
      </c>
      <c r="C47" s="98" t="s">
        <v>31</v>
      </c>
      <c r="D47" s="98" t="s">
        <v>31</v>
      </c>
      <c r="E47" s="98" t="s">
        <v>31</v>
      </c>
      <c r="F47" s="98" t="s">
        <v>31</v>
      </c>
      <c r="G47" s="98" t="s">
        <v>31</v>
      </c>
      <c r="H47" s="98" t="s">
        <v>31</v>
      </c>
      <c r="I47" s="98" t="s">
        <v>31</v>
      </c>
      <c r="J47" s="98" t="s">
        <v>31</v>
      </c>
      <c r="K47" s="98" t="s">
        <v>31</v>
      </c>
      <c r="L47" s="98" t="s">
        <v>31</v>
      </c>
      <c r="M47" s="98" t="s">
        <v>31</v>
      </c>
      <c r="N47" s="98" t="s">
        <v>31</v>
      </c>
      <c r="O47" s="99"/>
    </row>
    <row r="48" hidden="1">
      <c r="A48" s="143" t="s">
        <v>37</v>
      </c>
      <c r="B48" s="115" t="s">
        <v>36</v>
      </c>
      <c r="C48" s="98">
        <f>vlookup($B$48,JAN!$A$19:$F$19,6,false)</f>
        <v>0.5</v>
      </c>
      <c r="D48" s="98">
        <f>vlookup($B$48,FEB!$A$19:$F$19,6,false)</f>
        <v>0</v>
      </c>
      <c r="E48" s="98">
        <f>vlookup($B$48,MAR!$A$19:$F$19,6,false)</f>
        <v>0.5</v>
      </c>
      <c r="F48" s="98">
        <f>vlookup($B$48,APR!$A$19:$F$19,6,false)</f>
        <v>0.5</v>
      </c>
      <c r="G48" s="98">
        <f>vlookup($B$48,MAY!$A$19:$F$19,6,false)</f>
        <v>0.5</v>
      </c>
      <c r="H48" s="98">
        <f>vlookup($B$48,JUN!$A$19:$F$19,6,false)</f>
        <v>0.5</v>
      </c>
      <c r="I48" s="98">
        <f>vlookup($B$48,JUL!$A$19:$F$19,6,false)</f>
        <v>0.5</v>
      </c>
      <c r="J48" s="127">
        <f>vlookup($B$48,AUG!$A$19:$F$19,6,false)</f>
        <v>0.5</v>
      </c>
      <c r="K48" s="127">
        <f>vlookup($B$48,SEP!$A$19:$F$19,6,false)</f>
        <v>0</v>
      </c>
      <c r="L48" s="127">
        <f>vlookup($B$48,OCT!$A$19:$F$19,6,false)</f>
        <v>0</v>
      </c>
      <c r="M48" s="127">
        <f>vlookup($B$48,NOV!$A$19:$F$19,6,false)</f>
        <v>0</v>
      </c>
      <c r="N48" s="127">
        <f>vlookup($B$48,DEC!$A$19:$F$19,6,false)</f>
        <v>0</v>
      </c>
      <c r="O48" s="133"/>
    </row>
    <row r="49" hidden="1">
      <c r="A49" s="96"/>
      <c r="B49" s="97" t="s">
        <v>22</v>
      </c>
      <c r="C49" s="98">
        <f>vlookup($B$21,JAN!$A$9:$F$9,6,false)</f>
        <v>0.5</v>
      </c>
      <c r="D49" s="98">
        <f>vlookup($B$21,FEB!$A$9:$F$9,6,false)</f>
        <v>0.5</v>
      </c>
      <c r="E49" s="98">
        <f>vlookup($B$21,MAR!$A$9:$F$9,6,false)</f>
        <v>0.5</v>
      </c>
      <c r="F49" s="98">
        <f>vlookup($B$21,APR!$A$9:$F$9,6,false)</f>
        <v>0.5</v>
      </c>
      <c r="G49" s="98">
        <f>vlookup($B$21,MAY!$A$9:$F$9,6,false)</f>
        <v>0.5</v>
      </c>
      <c r="H49" s="98">
        <f>vlookup($B$21,JUN!$A$9:$F$9,6,false)</f>
        <v>0.5</v>
      </c>
      <c r="I49" s="98">
        <f>vlookup($B$21,JUL!$A$9:$F$9,6,false)</f>
        <v>0.5</v>
      </c>
      <c r="J49" s="98">
        <f>vlookup($B$21,AUG!$A$9:$F$9,6,false)</f>
        <v>0.5</v>
      </c>
      <c r="K49" s="98">
        <f>vlookup($B$21,SEP!$A$9:$F$9,6,false)</f>
        <v>0</v>
      </c>
      <c r="L49" s="98">
        <f>vlookup($B$21,OCT!$A$9:$F$9,6,false)</f>
        <v>0</v>
      </c>
      <c r="M49" s="98">
        <f>vlookup($B$21,NOV!$A$9:$F$9,6,false)</f>
        <v>0</v>
      </c>
      <c r="N49" s="98">
        <f>vlookup($B$21,DEC!$A$9:$F$9,6,false)</f>
        <v>0</v>
      </c>
      <c r="O49" s="116"/>
    </row>
    <row r="50" hidden="1">
      <c r="A50" s="144"/>
      <c r="B50" s="97" t="s">
        <v>40</v>
      </c>
      <c r="C50" s="98">
        <f>vlookup($B$50,JAN!$A$22:$F$22,6,false)</f>
        <v>0.5</v>
      </c>
      <c r="D50" s="98">
        <f>vlookup($B$50,FEB!$A$22:$F$22,6,false)</f>
        <v>0</v>
      </c>
      <c r="E50" s="98">
        <f>vlookup($B$50,MAR!$A$22:$F$22,6,false)</f>
        <v>0.5</v>
      </c>
      <c r="F50" s="98">
        <f>vlookup($B$50,APR!$A$22:$F$22,6,false)</f>
        <v>0.5</v>
      </c>
      <c r="G50" s="98">
        <f>vlookup($B$50,MAY!$A$22:$F$22,6,false)</f>
        <v>0.5</v>
      </c>
      <c r="H50" s="98">
        <f>vlookup($B$50,JUN!$A$22:$F$22,6,false)</f>
        <v>0.5</v>
      </c>
      <c r="I50" s="98">
        <f>vlookup($B$50,JUL!$A$22:$F$22,6,false)</f>
        <v>0.5</v>
      </c>
      <c r="J50" s="105">
        <f>vlookup($B$50,AUG!$A$22:$F$22,6,false)</f>
        <v>0</v>
      </c>
      <c r="K50" s="105">
        <f>vlookup($B$50,SEP!$A$22:$F$22,6,false)</f>
        <v>0</v>
      </c>
      <c r="L50" s="105">
        <f>vlookup($B$50,OCT!$A$22:$F$22,6,false)</f>
        <v>0</v>
      </c>
      <c r="M50" s="105">
        <f>vlookup($B$50,NOV!$A$22:$F$22,6,false)</f>
        <v>0</v>
      </c>
      <c r="N50" s="105">
        <f>vlookup($B$50,DEC!$A$22:$F$22,6,false)</f>
        <v>0</v>
      </c>
      <c r="O50" s="116"/>
    </row>
    <row r="51" hidden="1">
      <c r="A51" s="145"/>
      <c r="B51" s="115" t="s">
        <v>43</v>
      </c>
      <c r="C51" s="98">
        <f>vlookup($B$51,JAN!$A$25:$F$25,6,false)</f>
        <v>0.5</v>
      </c>
      <c r="D51" s="98">
        <f>vlookup($B$51,FEB!$A$25:$F$25,6,false)</f>
        <v>0.5</v>
      </c>
      <c r="E51" s="98">
        <f>vlookup($B$51,MAR!$A$25:$F$25,6,false)</f>
        <v>0.5</v>
      </c>
      <c r="F51" s="98">
        <f>vlookup($B$51,APR!$A$25:$F$25,6,false)</f>
        <v>0.5</v>
      </c>
      <c r="G51" s="98">
        <f>vlookup($B$51,MAY!$A$25:$F$25,6,false)</f>
        <v>0</v>
      </c>
      <c r="H51" s="98">
        <f>vlookup($B$51,JUN!$A$25:$F$25,6,false)</f>
        <v>0.5</v>
      </c>
      <c r="I51" s="98">
        <f>vlookup($B$51,JUL!$A$25:$F$25,6,false)</f>
        <v>0.5</v>
      </c>
      <c r="J51" s="104">
        <f>vlookup($B$51,AUG!$A$25:$F$25,6,false)</f>
        <v>0.5</v>
      </c>
      <c r="K51" s="104">
        <f>vlookup($B$51,SEP!$A$25:$F$25,6,false)</f>
        <v>0</v>
      </c>
      <c r="L51" s="104">
        <f>vlookup($B$51,OCT!$A$25:$F$25,6,false)</f>
        <v>0</v>
      </c>
      <c r="M51" s="104">
        <f>vlookup($B$51,NOV!$A$25:$F$25,6,false)</f>
        <v>0</v>
      </c>
      <c r="N51" s="104">
        <f>vlookup($B$51,DEC!$A$25:$F$25,6,false)</f>
        <v>0</v>
      </c>
      <c r="O51" s="116"/>
    </row>
    <row r="52" hidden="1">
      <c r="A52" s="145"/>
      <c r="B52" s="146" t="s">
        <v>58</v>
      </c>
      <c r="C52" s="98">
        <f>vlookup($B$100,JAN!$A$39:$F$39,6,false)</f>
        <v>0</v>
      </c>
      <c r="D52" s="98">
        <f>vlookup($B$100,FEB!$A$39:$F$39,6,false)</f>
        <v>0</v>
      </c>
      <c r="E52" s="98">
        <f>vlookup($B$100,MAR!$A$39:$F$39,6,false)</f>
        <v>0</v>
      </c>
      <c r="F52" s="98">
        <f>vlookup($B$100,APR!$A$39:$F$39,6,false)</f>
        <v>0</v>
      </c>
      <c r="G52" s="98">
        <f>vlookup($B$100,MAY!$A$39:$F$39,6,false)</f>
        <v>0</v>
      </c>
      <c r="H52" s="98">
        <f>vlookup($B$100,JUN!$A$39:$F$39,6,false)</f>
        <v>0</v>
      </c>
      <c r="I52" s="98">
        <f>vlookup($B$100,JUL!$A$39:$F$39,6,false)</f>
        <v>0</v>
      </c>
      <c r="J52" s="104">
        <f>vlookup($B$100,AUG!$A$39:$F$39,6,false)</f>
        <v>0</v>
      </c>
      <c r="K52" s="104">
        <f>vlookup($B$100,SEP!$A$39:$F$39,6,false)</f>
        <v>0</v>
      </c>
      <c r="L52" s="104">
        <f>vlookup($B$100,OCT!$A$39:$F$39,6,false)</f>
        <v>0</v>
      </c>
      <c r="M52" s="104">
        <f>vlookup($B$100,NOV!$A$39:$F$39,6,false)</f>
        <v>0</v>
      </c>
      <c r="N52" s="104">
        <f>vlookup($B$100,DEC!$A$39:$F$39,6,false)</f>
        <v>0</v>
      </c>
      <c r="O52" s="116"/>
    </row>
    <row r="53" hidden="1">
      <c r="A53" s="147" t="s">
        <v>89</v>
      </c>
      <c r="B53" s="126"/>
      <c r="C53" s="148">
        <f t="shared" ref="C53:N53" si="6">average(C48:C52)</f>
        <v>0.4</v>
      </c>
      <c r="D53" s="148">
        <f t="shared" si="6"/>
        <v>0.2</v>
      </c>
      <c r="E53" s="148">
        <f t="shared" si="6"/>
        <v>0.4</v>
      </c>
      <c r="F53" s="148">
        <f t="shared" si="6"/>
        <v>0.4</v>
      </c>
      <c r="G53" s="148">
        <f t="shared" si="6"/>
        <v>0.3</v>
      </c>
      <c r="H53" s="148">
        <f t="shared" si="6"/>
        <v>0.4</v>
      </c>
      <c r="I53" s="148">
        <f t="shared" si="6"/>
        <v>0.4</v>
      </c>
      <c r="J53" s="148">
        <f t="shared" si="6"/>
        <v>0.3</v>
      </c>
      <c r="K53" s="148">
        <f t="shared" si="6"/>
        <v>0</v>
      </c>
      <c r="L53" s="148">
        <f t="shared" si="6"/>
        <v>0</v>
      </c>
      <c r="M53" s="148">
        <f t="shared" si="6"/>
        <v>0</v>
      </c>
      <c r="N53" s="148">
        <f t="shared" si="6"/>
        <v>0</v>
      </c>
      <c r="O53" s="116"/>
    </row>
    <row r="54" hidden="1">
      <c r="A54" s="149"/>
      <c r="B54" s="97" t="s">
        <v>22</v>
      </c>
      <c r="C54" s="105">
        <f>vlookup($B$21,JAN!$A$9:$F$9,6,false)</f>
        <v>0.5</v>
      </c>
      <c r="D54" s="105">
        <f>vlookup($B$21,FEB!$A$9:$F$9,6,false)</f>
        <v>0.5</v>
      </c>
      <c r="E54" s="105">
        <f>vlookup($B$21,MAR!$A$9:$F$9,6,false)</f>
        <v>0.5</v>
      </c>
      <c r="F54" s="105">
        <f>vlookup($B$21,APR!$A$9:$F$9,6,false)</f>
        <v>0.5</v>
      </c>
      <c r="G54" s="105">
        <f>vlookup($B$21,MAY!$A$9:$F$9,6,false)</f>
        <v>0.5</v>
      </c>
      <c r="H54" s="105">
        <f>vlookup($B$21,JUN!$A$9:$F$9,6,false)</f>
        <v>0.5</v>
      </c>
      <c r="I54" s="105">
        <f>vlookup($B$21,JUL!$A$9:$F$9,6,false)</f>
        <v>0.5</v>
      </c>
      <c r="J54" s="105">
        <f>vlookup($B$21,AUG!$A$9:$F$9,6,false)</f>
        <v>0.5</v>
      </c>
      <c r="K54" s="105">
        <f>vlookup($B$21,SEP!$A$9:$F$9,6,false)</f>
        <v>0</v>
      </c>
      <c r="L54" s="105">
        <f>vlookup($B$21,OCT!$A$9:$F$9,6,false)</f>
        <v>0</v>
      </c>
      <c r="M54" s="105">
        <f>vlookup($B$21,NOV!$A$9:$F$9,6,false)</f>
        <v>0</v>
      </c>
      <c r="N54" s="105">
        <f>vlookup($B$21,DEC!$A$9:$F$9,6,false)</f>
        <v>0</v>
      </c>
      <c r="O54" s="138"/>
    </row>
    <row r="55" hidden="1">
      <c r="A55" s="149"/>
      <c r="B55" s="150"/>
      <c r="C55" s="151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38"/>
    </row>
    <row r="56">
      <c r="A56" s="143" t="s">
        <v>18</v>
      </c>
      <c r="B56" s="140" t="s">
        <v>6</v>
      </c>
      <c r="C56" s="141" t="s">
        <v>70</v>
      </c>
      <c r="D56" s="142" t="s">
        <v>71</v>
      </c>
      <c r="E56" s="142" t="s">
        <v>72</v>
      </c>
      <c r="F56" s="142" t="s">
        <v>73</v>
      </c>
      <c r="G56" s="142" t="s">
        <v>74</v>
      </c>
      <c r="H56" s="142" t="s">
        <v>75</v>
      </c>
      <c r="I56" s="142" t="s">
        <v>76</v>
      </c>
      <c r="J56" s="142" t="s">
        <v>77</v>
      </c>
      <c r="K56" s="142" t="s">
        <v>78</v>
      </c>
      <c r="L56" s="142" t="s">
        <v>79</v>
      </c>
      <c r="M56" s="142" t="s">
        <v>80</v>
      </c>
      <c r="N56" s="142" t="s">
        <v>81</v>
      </c>
      <c r="O56" s="95"/>
    </row>
    <row r="57">
      <c r="A57" s="96"/>
      <c r="B57" s="115" t="s">
        <v>39</v>
      </c>
      <c r="C57" s="127">
        <f>vlookup($B$57,JAN!$A$21:$F$21,6,false)</f>
        <v>0.5</v>
      </c>
      <c r="D57" s="127">
        <f>vlookup($B$57,FEB!$A$21:$F$21,6,false)</f>
        <v>0.5</v>
      </c>
      <c r="E57" s="127">
        <f>vlookup($B$57,MAR!$A$21:$F$21,6,false)</f>
        <v>0.5</v>
      </c>
      <c r="F57" s="127">
        <f>vlookup($B$57,APR!$A$21:$F$21,6,false)</f>
        <v>0.5</v>
      </c>
      <c r="G57" s="127">
        <f>vlookup($B$57,MAY!$A$21:$F$21,6,false)</f>
        <v>0.5</v>
      </c>
      <c r="H57" s="127">
        <f>vlookup($B$57,JUN!$A$21:$F$21,6,false)</f>
        <v>0.5</v>
      </c>
      <c r="I57" s="127">
        <f>vlookup($B$57,JUL!$A$21:$F$21,6,false)</f>
        <v>0.5</v>
      </c>
      <c r="J57" s="127">
        <f>vlookup($B$57,AUG!$A$21:$F$21,6,false)</f>
        <v>0.5</v>
      </c>
      <c r="K57" s="127">
        <f>vlookup($B$57,SEP!$A$21:$F$21,6,false)</f>
        <v>0</v>
      </c>
      <c r="L57" s="127">
        <f>vlookup($B$57,OCT!$A$21:$F$21,6,false)</f>
        <v>0</v>
      </c>
      <c r="M57" s="127">
        <f>vlookup($B$57,NOV!$A$21:$F$21,6,false)</f>
        <v>0</v>
      </c>
      <c r="N57" s="127">
        <f>vlookup($B$57,DEC!$A$21:$F$21,6,false)</f>
        <v>0</v>
      </c>
      <c r="O57" s="99"/>
    </row>
    <row r="58">
      <c r="A58" s="152"/>
      <c r="B58" s="146" t="s">
        <v>41</v>
      </c>
      <c r="C58" s="103">
        <f>vlookup($B$58,JAN!$A$23:$F$23,6,false)</f>
        <v>0.5</v>
      </c>
      <c r="D58" s="103">
        <f>vlookup($B$58,FEB!$A$23:$F$23,6,false)</f>
        <v>0.5</v>
      </c>
      <c r="E58" s="103">
        <f>vlookup($B$58,MAR!$A$23:$F$23,6,false)</f>
        <v>0.5</v>
      </c>
      <c r="F58" s="103">
        <f>vlookup($B$58,APR!$A$23:$F$23,6,false)</f>
        <v>0.5</v>
      </c>
      <c r="G58" s="103">
        <f>vlookup($B$58,MAY!$A$23:$F$23,6,false)</f>
        <v>0.5</v>
      </c>
      <c r="H58" s="103">
        <f>vlookup($B$58,JUN!$A$23:$F$23,6,false)</f>
        <v>0.5</v>
      </c>
      <c r="I58" s="103">
        <f>vlookup($B$58,JUL!$A$23:$F$23,6,false)</f>
        <v>0.5</v>
      </c>
      <c r="J58" s="103">
        <f>vlookup($B$58,AUG!$A$23:$F$23,6,false)</f>
        <v>0.5</v>
      </c>
      <c r="K58" s="103">
        <f>vlookup($B$58,SEP!$A$23:$F$23,6,false)</f>
        <v>0</v>
      </c>
      <c r="L58" s="103">
        <f>vlookup($B$58,OCT!$A$23:$F$23,6,false)</f>
        <v>0</v>
      </c>
      <c r="M58" s="103">
        <f>vlookup($B$58,NOV!$A$23:$F$23,6,false)</f>
        <v>0</v>
      </c>
      <c r="N58" s="103">
        <f>vlookup($B$58,DEC!$A$23:$F$23,6,false)</f>
        <v>0</v>
      </c>
      <c r="O58" s="99"/>
    </row>
    <row r="59">
      <c r="A59" s="96"/>
      <c r="B59" s="101" t="s">
        <v>17</v>
      </c>
      <c r="C59" s="105">
        <f>vlookup($B$101,JAN!$A$7:$F$7,6,false)</f>
        <v>0.5</v>
      </c>
      <c r="D59" s="105">
        <f>vlookup($B$101,FEB!$A$7:$F$7,6,false)</f>
        <v>0.5</v>
      </c>
      <c r="E59" s="105">
        <f>vlookup($B$101,MAR!$A$7:$F$7,6,false)</f>
        <v>0.5</v>
      </c>
      <c r="F59" s="105">
        <f>vlookup($B$101,APR!$A$7:$F$7,6,false)</f>
        <v>0.5</v>
      </c>
      <c r="G59" s="105">
        <f>vlookup($B$101,MAY!$A$7:$F$7,6,false)</f>
        <v>0.5</v>
      </c>
      <c r="H59" s="105">
        <f>vlookup($B$101,JUN!$A$7:$F$7,6,false)</f>
        <v>0.5</v>
      </c>
      <c r="I59" s="105">
        <f>vlookup($B$101,JUL!$A$7:$F$7,6,false)</f>
        <v>0.5</v>
      </c>
      <c r="J59" s="105">
        <f>vlookup($B$101,AUG!$A$7:$F$7,6,false)</f>
        <v>0.5</v>
      </c>
      <c r="K59" s="105">
        <f>vlookup($B$101,SEP!$A$7:$F$7,6,false)</f>
        <v>0.5</v>
      </c>
      <c r="L59" s="105">
        <f>vlookup($B$101,OCT!$A$7:$F$7,6,false)</f>
        <v>0</v>
      </c>
      <c r="M59" s="105">
        <f>vlookup($B$101,NOV!$A$7:$F$7,6,false)</f>
        <v>0</v>
      </c>
      <c r="N59" s="105">
        <f>vlookup($B$101,DEC!$A$7:$F$7,6,false)</f>
        <v>0</v>
      </c>
      <c r="O59" s="99"/>
    </row>
    <row r="60">
      <c r="A60" s="144"/>
      <c r="B60" s="115" t="s">
        <v>43</v>
      </c>
      <c r="C60" s="98">
        <f>vlookup($B$60,JAN!$A$25:$F$25,6,false)</f>
        <v>0.5</v>
      </c>
      <c r="D60" s="98">
        <f>vlookup($B$60,FEB!$A$25:$F$25,6,false)</f>
        <v>0.5</v>
      </c>
      <c r="E60" s="98">
        <f>vlookup($B$60,MAR!$A$25:$F$25,6,false)</f>
        <v>0.5</v>
      </c>
      <c r="F60" s="98">
        <f>vlookup($B$60,APR!$A$25:$F$25,6,false)</f>
        <v>0.5</v>
      </c>
      <c r="G60" s="98">
        <f>vlookup($B$60,MAY!$A$25:$F$25,6,false)</f>
        <v>0</v>
      </c>
      <c r="H60" s="98">
        <f>vlookup($B$60,JUN!$A$25:$F$25,6,false)</f>
        <v>0.5</v>
      </c>
      <c r="I60" s="98">
        <f>vlookup($B$60,JUL!$A$25:$F$25,6,false)</f>
        <v>0.5</v>
      </c>
      <c r="J60" s="104">
        <f>vlookup($B$60,AUG!$A$25:$F$25,6,false)</f>
        <v>0.5</v>
      </c>
      <c r="K60" s="104">
        <f>vlookup($B$60,SEP!$A$25:$F$25,6,false)</f>
        <v>0</v>
      </c>
      <c r="L60" s="104">
        <f>vlookup($B$60,OCT!$A$25:$F$25,6,false)</f>
        <v>0</v>
      </c>
      <c r="M60" s="104">
        <f>vlookup($B$60,NOV!$A$25:$F$25,6,false)</f>
        <v>0</v>
      </c>
      <c r="N60" s="104">
        <f>vlookup($B$60,DEC!$A$25:$F$25,6,false)</f>
        <v>0</v>
      </c>
      <c r="O60" s="99"/>
    </row>
    <row r="61">
      <c r="A61" s="153"/>
      <c r="B61" s="115" t="s">
        <v>36</v>
      </c>
      <c r="C61" s="98">
        <f>vlookup($B$48,JAN!$A$19:$F$19,6,false)</f>
        <v>0.5</v>
      </c>
      <c r="D61" s="98">
        <f>vlookup($B$48,FEB!$A$19:$F$19,6,false)</f>
        <v>0</v>
      </c>
      <c r="E61" s="98">
        <f>vlookup($B$48,MAR!$A$19:$F$19,6,false)</f>
        <v>0.5</v>
      </c>
      <c r="F61" s="98">
        <f>vlookup($B$48,APR!$A$19:$F$19,6,false)</f>
        <v>0.5</v>
      </c>
      <c r="G61" s="98">
        <f>vlookup($B$48,MAY!$A$19:$F$19,6,false)</f>
        <v>0.5</v>
      </c>
      <c r="H61" s="98">
        <f>vlookup($B$48,JUN!$A$19:$F$19,6,false)</f>
        <v>0.5</v>
      </c>
      <c r="I61" s="98">
        <f>vlookup($B$48,JUL!$A$19:$F$19,6,false)</f>
        <v>0.5</v>
      </c>
      <c r="J61" s="127">
        <f>vlookup($B$48,AUG!$A$19:$F$19,6,false)</f>
        <v>0.5</v>
      </c>
      <c r="K61" s="127">
        <f>vlookup($B$48,SEP!$A$19:$F$19,6,false)</f>
        <v>0</v>
      </c>
      <c r="L61" s="127">
        <f>vlookup($B$48,OCT!$A$19:$F$19,6,false)</f>
        <v>0</v>
      </c>
      <c r="M61" s="127">
        <f>vlookup($B$48,NOV!$A$19:$F$19,6,false)</f>
        <v>0</v>
      </c>
      <c r="N61" s="127">
        <f>vlookup($B$48,DEC!$A$19:$F$19,6,false)</f>
        <v>0</v>
      </c>
      <c r="O61" s="116"/>
    </row>
    <row r="62">
      <c r="A62" s="153"/>
      <c r="B62" s="146" t="s">
        <v>50</v>
      </c>
      <c r="C62" s="98">
        <f>vlookup($B$113,JAN!$A$32:$F$32,6,false)</f>
        <v>0.5</v>
      </c>
      <c r="D62" s="98">
        <f>vlookup($B$113,FEB!$A$32:$F$32,6,false)</f>
        <v>0.5</v>
      </c>
      <c r="E62" s="98">
        <f>vlookup($B$113,MAR!$A$32:$F$32,6,false)</f>
        <v>0.5</v>
      </c>
      <c r="F62" s="98">
        <f>vlookup($B$113,APR!$A$32:$F$32,6,false)</f>
        <v>0.5</v>
      </c>
      <c r="G62" s="98">
        <f>vlookup($B$113,MAY!$A$32:$F$32,6,false)</f>
        <v>0.5</v>
      </c>
      <c r="H62" s="98">
        <f>vlookup($B$113,JUN!$A$32:$F$32,6,false)</f>
        <v>0.5</v>
      </c>
      <c r="I62" s="98">
        <f>vlookup($B$113,JUL!$A$32:$F$32,6,false)</f>
        <v>0.5</v>
      </c>
      <c r="J62" s="98">
        <f>vlookup($B$101,AUG!$A$7:$F$7,6,false)</f>
        <v>0.5</v>
      </c>
      <c r="K62" s="103">
        <f>vlookup($B$113,SEP!$A$32:$F$32,6,false)</f>
        <v>0.5</v>
      </c>
      <c r="L62" s="103">
        <f>vlookup($B$113,OCT!$A$32:$F$32,6,false)</f>
        <v>0</v>
      </c>
      <c r="M62" s="103">
        <f>vlookup($B$113,NOV!$A$32:$F$32,6,false)</f>
        <v>0</v>
      </c>
      <c r="N62" s="103">
        <f>vlookup($B$113,DEC!$A$32:$F$32,6,false)</f>
        <v>0</v>
      </c>
      <c r="O62" s="116"/>
    </row>
    <row r="63">
      <c r="A63" s="147" t="s">
        <v>89</v>
      </c>
      <c r="B63" s="126"/>
      <c r="C63" s="148">
        <f t="shared" ref="C63:I63" si="7">average(C57:C59)</f>
        <v>0.5</v>
      </c>
      <c r="D63" s="148">
        <f t="shared" si="7"/>
        <v>0.5</v>
      </c>
      <c r="E63" s="148">
        <f t="shared" si="7"/>
        <v>0.5</v>
      </c>
      <c r="F63" s="148">
        <f t="shared" si="7"/>
        <v>0.5</v>
      </c>
      <c r="G63" s="148">
        <f t="shared" si="7"/>
        <v>0.5</v>
      </c>
      <c r="H63" s="148">
        <f t="shared" si="7"/>
        <v>0.5</v>
      </c>
      <c r="I63" s="148">
        <f t="shared" si="7"/>
        <v>0.5</v>
      </c>
      <c r="J63" s="148">
        <f t="shared" ref="J63:N63" si="8">average(J57:J62)</f>
        <v>0.5</v>
      </c>
      <c r="K63" s="148">
        <f t="shared" si="8"/>
        <v>0.1666666667</v>
      </c>
      <c r="L63" s="148">
        <f t="shared" si="8"/>
        <v>0</v>
      </c>
      <c r="M63" s="148">
        <f t="shared" si="8"/>
        <v>0</v>
      </c>
      <c r="N63" s="148">
        <f t="shared" si="8"/>
        <v>0</v>
      </c>
      <c r="O63" s="116"/>
    </row>
    <row r="64">
      <c r="A64" s="149"/>
      <c r="B64" s="150"/>
      <c r="C64" s="151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38"/>
    </row>
    <row r="65" hidden="1">
      <c r="A65" s="143" t="s">
        <v>93</v>
      </c>
      <c r="B65" s="140" t="s">
        <v>6</v>
      </c>
      <c r="C65" s="141" t="s">
        <v>70</v>
      </c>
      <c r="D65" s="142" t="s">
        <v>71</v>
      </c>
      <c r="E65" s="142" t="s">
        <v>72</v>
      </c>
      <c r="F65" s="142" t="s">
        <v>73</v>
      </c>
      <c r="G65" s="142" t="s">
        <v>74</v>
      </c>
      <c r="H65" s="142" t="s">
        <v>75</v>
      </c>
      <c r="I65" s="142" t="s">
        <v>76</v>
      </c>
      <c r="J65" s="142" t="s">
        <v>77</v>
      </c>
      <c r="K65" s="142" t="s">
        <v>78</v>
      </c>
      <c r="L65" s="142" t="s">
        <v>79</v>
      </c>
      <c r="M65" s="142" t="s">
        <v>80</v>
      </c>
      <c r="N65" s="142" t="s">
        <v>81</v>
      </c>
      <c r="O65" s="95"/>
    </row>
    <row r="66" hidden="1">
      <c r="A66" s="144"/>
      <c r="B66" s="115" t="s">
        <v>50</v>
      </c>
      <c r="C66" s="127">
        <f>vlookup($B$66,JAN!$A$32:$F$32,6,false)</f>
        <v>0.5</v>
      </c>
      <c r="D66" s="127">
        <f>vlookup($B$66,FEB!$A$32:$F$32,6,false)</f>
        <v>0.5</v>
      </c>
      <c r="E66" s="127">
        <f>vlookup($B$66,MAR!$A$32:$F$32,6,false)</f>
        <v>0.5</v>
      </c>
      <c r="F66" s="127">
        <f>vlookup($B$66,APR!$A$32:$F$32,6,false)</f>
        <v>0.5</v>
      </c>
      <c r="G66" s="127">
        <f>vlookup($B$66,MAY!$A$32:$F$32,6,false)</f>
        <v>0.5</v>
      </c>
      <c r="H66" s="127">
        <f>vlookup($B$66,JUN!$A$32:$F$32,6,false)</f>
        <v>0.5</v>
      </c>
      <c r="I66" s="127">
        <f>vlookup($B$66,JUL!$A$32:$F$32,6,false)</f>
        <v>0.5</v>
      </c>
      <c r="J66" s="98">
        <f>vlookup($B$66,AUG!$A$32:$F$32,6,false)</f>
        <v>0</v>
      </c>
      <c r="K66" s="98">
        <f>vlookup($B$66,SEP!$A$32:$F$32,6,false)</f>
        <v>0.5</v>
      </c>
      <c r="L66" s="98">
        <f>vlookup($B$66,OCT!$A$32:$F$32,6,false)</f>
        <v>0</v>
      </c>
      <c r="M66" s="98">
        <f>vlookup($B$66,NOV!$A$32:$F$32,6,false)</f>
        <v>0</v>
      </c>
      <c r="N66" s="98">
        <f>vlookup($B$66,DEC!$A$32:$F$32,6,false)</f>
        <v>0</v>
      </c>
      <c r="O66" s="133"/>
    </row>
    <row r="67">
      <c r="A67" s="149"/>
      <c r="B67" s="150"/>
      <c r="C67" s="151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38"/>
    </row>
    <row r="68">
      <c r="A68" s="143" t="s">
        <v>30</v>
      </c>
      <c r="B68" s="140" t="s">
        <v>6</v>
      </c>
      <c r="C68" s="141" t="s">
        <v>70</v>
      </c>
      <c r="D68" s="142" t="s">
        <v>71</v>
      </c>
      <c r="E68" s="142" t="s">
        <v>72</v>
      </c>
      <c r="F68" s="142" t="s">
        <v>73</v>
      </c>
      <c r="G68" s="142" t="s">
        <v>74</v>
      </c>
      <c r="H68" s="142" t="s">
        <v>75</v>
      </c>
      <c r="I68" s="142" t="s">
        <v>76</v>
      </c>
      <c r="J68" s="142" t="s">
        <v>77</v>
      </c>
      <c r="K68" s="142" t="s">
        <v>78</v>
      </c>
      <c r="L68" s="142" t="s">
        <v>79</v>
      </c>
      <c r="M68" s="142" t="s">
        <v>80</v>
      </c>
      <c r="N68" s="142" t="s">
        <v>81</v>
      </c>
      <c r="O68" s="95"/>
    </row>
    <row r="69">
      <c r="A69" s="96"/>
      <c r="B69" s="115" t="s">
        <v>29</v>
      </c>
      <c r="C69" s="127">
        <f>vlookup($B$69,JAN!$A$14:$F$14,6,false)</f>
        <v>0.5</v>
      </c>
      <c r="D69" s="127">
        <f>vlookup($B$69,FEB!$A$14:$F$14,6,false)</f>
        <v>0.5</v>
      </c>
      <c r="E69" s="127">
        <f>vlookup($B$69,MAR!$A$14:$F$14,6,false)</f>
        <v>0.5</v>
      </c>
      <c r="F69" s="127">
        <f>vlookup($B$69,APR!$A$14:$F$14,6,false)</f>
        <v>0.5</v>
      </c>
      <c r="G69" s="127">
        <f>vlookup($B$69,MAY!$A$14:$F$14,6,false)</f>
        <v>0</v>
      </c>
      <c r="H69" s="127">
        <f>vlookup($B$69,JUN!$A$14:$F$14,6,false)</f>
        <v>0.5</v>
      </c>
      <c r="I69" s="127">
        <f>vlookup($B$69,JUL!$A$14:$F$14,6,false)</f>
        <v>0.5</v>
      </c>
      <c r="J69" s="127">
        <f>vlookup($B$69,AUG!$A$14:$F$14,6,false)</f>
        <v>0.5</v>
      </c>
      <c r="K69" s="127">
        <f>vlookup($B$69,SEP!$A$14:$F$14,6,false)</f>
        <v>0.5</v>
      </c>
      <c r="L69" s="127">
        <f>vlookup($B$69,OCT!$A$14:$F$14,6,false)</f>
        <v>0</v>
      </c>
      <c r="M69" s="127">
        <f>vlookup($B$69,NOV!$A$14:$F$14,6,false)</f>
        <v>0</v>
      </c>
      <c r="N69" s="127">
        <f>vlookup($B$69,DEC!$A$14:$F$14,6,false)</f>
        <v>0</v>
      </c>
      <c r="O69" s="99"/>
    </row>
    <row r="70">
      <c r="A70" s="152"/>
      <c r="B70" s="97" t="s">
        <v>34</v>
      </c>
      <c r="C70" s="104">
        <f>vlookup($B$70,JAN!$A$17:$F$17,6,false)</f>
        <v>0.5</v>
      </c>
      <c r="D70" s="104">
        <f>vlookup($B$70,FEB!$A$17:$F$17,6,false)</f>
        <v>0</v>
      </c>
      <c r="E70" s="104">
        <f>vlookup($B$70,MAR!$A$17:$F$17,6,false)</f>
        <v>0.5</v>
      </c>
      <c r="F70" s="104">
        <f>vlookup($B$70,APR!$A$17:$F$17,6,false)</f>
        <v>0.5</v>
      </c>
      <c r="G70" s="104">
        <f>vlookup($B$70,MAY!$A$17:$F$17,6,false)</f>
        <v>0.5</v>
      </c>
      <c r="H70" s="104">
        <f>vlookup($B$70,JUN!$A$17:$F$17,6,false)</f>
        <v>0.5</v>
      </c>
      <c r="I70" s="104">
        <f>vlookup($B$70,JUL!$A$17:$F$17,6,false)</f>
        <v>0.5</v>
      </c>
      <c r="J70" s="104">
        <f>vlookup($B$70,AUG!$A$17:$F$17,6,false)</f>
        <v>0.5</v>
      </c>
      <c r="K70" s="104">
        <f>vlookup($B$70,SEP!$A$17:$F$17,6,false)</f>
        <v>0.5</v>
      </c>
      <c r="L70" s="104">
        <f>vlookup($B$70,OCT!$A$17:$F$17,6,false)</f>
        <v>0</v>
      </c>
      <c r="M70" s="104">
        <f>vlookup($B$70,NOV!$A$17:$F$17,6,false)</f>
        <v>0</v>
      </c>
      <c r="N70" s="104">
        <f>vlookup($B$70,DEC!$A$17:$F$17,6,false)</f>
        <v>0</v>
      </c>
      <c r="O70" s="99"/>
    </row>
    <row r="71">
      <c r="A71" s="129"/>
      <c r="B71" s="115" t="s">
        <v>38</v>
      </c>
      <c r="C71" s="127">
        <f>vlookup($B$71,JAN!$A$20:$F$20,6,false)</f>
        <v>0.5</v>
      </c>
      <c r="D71" s="127">
        <f>vlookup($B$71,FEB!$A$20:$F$20,6,false)</f>
        <v>0.5</v>
      </c>
      <c r="E71" s="127">
        <f>vlookup($B$71,MAR!$A$20:$F$20,6,false)</f>
        <v>0.5</v>
      </c>
      <c r="F71" s="127">
        <f>vlookup($B$71,APR!$A$20:$F$20,6,false)</f>
        <v>0.5</v>
      </c>
      <c r="G71" s="127">
        <f>vlookup($B$71,MAY!$A$20:$F$20,6,false)</f>
        <v>0.5</v>
      </c>
      <c r="H71" s="127">
        <f>vlookup($B$71,JUN!$A$20:$F$20,6,false)</f>
        <v>0.5</v>
      </c>
      <c r="I71" s="127">
        <f>vlookup($B$71,JUL!$A$20:$F$20,6,false)</f>
        <v>0</v>
      </c>
      <c r="J71" s="127">
        <f>vlookup($B$71,AUG!$A$20:$F$20,6,false)</f>
        <v>0.5</v>
      </c>
      <c r="K71" s="127">
        <f>vlookup($B$71,SEP!$A$20:$F$20,6,false)</f>
        <v>0</v>
      </c>
      <c r="L71" s="127">
        <f>vlookup($B$71,OCT!$A$20:$F$20,6,false)</f>
        <v>0</v>
      </c>
      <c r="M71" s="127">
        <f>vlookup($B$71,NOV!$A$20:$F$20,6,false)</f>
        <v>0</v>
      </c>
      <c r="N71" s="127">
        <f>vlookup($B$71,DEC!$A$20:$F$20,6,false)</f>
        <v>0</v>
      </c>
      <c r="O71" s="99"/>
    </row>
    <row r="72">
      <c r="A72" s="147" t="s">
        <v>89</v>
      </c>
      <c r="B72" s="154"/>
      <c r="C72" s="148">
        <f t="shared" ref="C72:N72" si="9">average(C69:C71)</f>
        <v>0.5</v>
      </c>
      <c r="D72" s="148">
        <f t="shared" si="9"/>
        <v>0.3333333333</v>
      </c>
      <c r="E72" s="148">
        <f t="shared" si="9"/>
        <v>0.5</v>
      </c>
      <c r="F72" s="148">
        <f t="shared" si="9"/>
        <v>0.5</v>
      </c>
      <c r="G72" s="148">
        <f t="shared" si="9"/>
        <v>0.3333333333</v>
      </c>
      <c r="H72" s="148">
        <f t="shared" si="9"/>
        <v>0.5</v>
      </c>
      <c r="I72" s="148">
        <f t="shared" si="9"/>
        <v>0.3333333333</v>
      </c>
      <c r="J72" s="148">
        <f t="shared" si="9"/>
        <v>0.5</v>
      </c>
      <c r="K72" s="148">
        <f t="shared" si="9"/>
        <v>0.3333333333</v>
      </c>
      <c r="L72" s="148">
        <f t="shared" si="9"/>
        <v>0</v>
      </c>
      <c r="M72" s="148">
        <f t="shared" si="9"/>
        <v>0</v>
      </c>
      <c r="N72" s="148">
        <f t="shared" si="9"/>
        <v>0</v>
      </c>
      <c r="O72" s="116"/>
    </row>
    <row r="73">
      <c r="A73" s="149"/>
      <c r="B73" s="150"/>
      <c r="C73" s="151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38"/>
    </row>
    <row r="74" hidden="1">
      <c r="A74" s="143" t="s">
        <v>94</v>
      </c>
      <c r="B74" s="140" t="s">
        <v>6</v>
      </c>
      <c r="C74" s="141" t="s">
        <v>70</v>
      </c>
      <c r="D74" s="142" t="s">
        <v>71</v>
      </c>
      <c r="E74" s="142" t="s">
        <v>72</v>
      </c>
      <c r="F74" s="142" t="s">
        <v>73</v>
      </c>
      <c r="G74" s="142" t="s">
        <v>74</v>
      </c>
      <c r="H74" s="142" t="s">
        <v>75</v>
      </c>
      <c r="I74" s="142" t="s">
        <v>76</v>
      </c>
      <c r="J74" s="142" t="s">
        <v>77</v>
      </c>
      <c r="K74" s="142" t="s">
        <v>78</v>
      </c>
      <c r="L74" s="142" t="s">
        <v>79</v>
      </c>
      <c r="M74" s="142" t="s">
        <v>80</v>
      </c>
      <c r="N74" s="142" t="s">
        <v>81</v>
      </c>
      <c r="O74" s="95"/>
    </row>
    <row r="75" hidden="1">
      <c r="A75" s="96"/>
      <c r="B75" s="115" t="s">
        <v>52</v>
      </c>
      <c r="C75" s="127"/>
      <c r="D75" s="124" t="s">
        <v>31</v>
      </c>
      <c r="E75" s="124" t="s">
        <v>31</v>
      </c>
      <c r="F75" s="124" t="s">
        <v>31</v>
      </c>
      <c r="G75" s="124" t="s">
        <v>31</v>
      </c>
      <c r="H75" s="124" t="s">
        <v>31</v>
      </c>
      <c r="I75" s="124" t="s">
        <v>31</v>
      </c>
      <c r="J75" s="124" t="s">
        <v>31</v>
      </c>
      <c r="K75" s="124" t="s">
        <v>31</v>
      </c>
      <c r="L75" s="124" t="s">
        <v>31</v>
      </c>
      <c r="M75" s="124" t="s">
        <v>31</v>
      </c>
      <c r="N75" s="124" t="s">
        <v>31</v>
      </c>
      <c r="O75" s="133"/>
    </row>
    <row r="76" hidden="1">
      <c r="A76" s="152"/>
      <c r="B76" s="115" t="s">
        <v>53</v>
      </c>
      <c r="C76" s="127">
        <f>vlookup($B$76,JAN!$A$35:$F$35,6,false)</f>
        <v>0.5</v>
      </c>
      <c r="D76" s="124" t="s">
        <v>31</v>
      </c>
      <c r="E76" s="124" t="s">
        <v>31</v>
      </c>
      <c r="F76" s="124" t="s">
        <v>31</v>
      </c>
      <c r="G76" s="124" t="s">
        <v>31</v>
      </c>
      <c r="H76" s="124" t="s">
        <v>31</v>
      </c>
      <c r="I76" s="124" t="s">
        <v>31</v>
      </c>
      <c r="J76" s="124" t="s">
        <v>31</v>
      </c>
      <c r="K76" s="124" t="s">
        <v>31</v>
      </c>
      <c r="L76" s="124" t="s">
        <v>31</v>
      </c>
      <c r="M76" s="124" t="s">
        <v>31</v>
      </c>
      <c r="N76" s="124" t="s">
        <v>31</v>
      </c>
      <c r="O76" s="133"/>
    </row>
    <row r="77" hidden="1">
      <c r="A77" s="96"/>
      <c r="B77" s="115" t="s">
        <v>19</v>
      </c>
      <c r="C77" s="98">
        <f>vlookup($B$77,JAN!$A$8:$F$8,6,false)</f>
        <v>0.5</v>
      </c>
      <c r="D77" s="98">
        <f>vlookup($B$77,FEB!$A$8:$F$8,6,false)</f>
        <v>0.5</v>
      </c>
      <c r="E77" s="98">
        <f>vlookup($B$77,MAR!$A$8:$F$8,6,false)</f>
        <v>0.5</v>
      </c>
      <c r="F77" s="98">
        <f>vlookup($B$77,APR!$A$8:$F$8,6,false)</f>
        <v>0.5</v>
      </c>
      <c r="G77" s="98">
        <f>vlookup($B$77,MAY!$A$8:$F$8,6,false)</f>
        <v>0</v>
      </c>
      <c r="H77" s="98">
        <f>vlookup($B$77,JUN!$A$8:$F$8,6,false)</f>
        <v>0.5</v>
      </c>
      <c r="I77" s="98">
        <f>vlookup($B$77,JUL!$A$8:$F$8,6,false)</f>
        <v>0.5</v>
      </c>
      <c r="J77" s="98">
        <f>vlookup($B$77,MAY!$A$8:$F$8,6,false)</f>
        <v>0</v>
      </c>
      <c r="K77" s="98">
        <f>vlookup($B$77,SEP!$A$8:$F$8,6,false)</f>
        <v>0.5</v>
      </c>
      <c r="L77" s="98">
        <f>vlookup($B$77,OCT!$A$8:$F$8,6,false)</f>
        <v>0</v>
      </c>
      <c r="M77" s="98">
        <f>vlookup($B$77,NOV!$A$8:$F$8,6,false)</f>
        <v>0</v>
      </c>
      <c r="N77" s="98">
        <f>vlookup($B$77,DEC!$A$8:$F$8,6,false)</f>
        <v>0</v>
      </c>
      <c r="O77" s="99"/>
    </row>
    <row r="78" hidden="1">
      <c r="A78" s="152"/>
      <c r="B78" s="115" t="s">
        <v>27</v>
      </c>
      <c r="C78" s="98">
        <f>vlookup($B$78,JAN!$A$13:$F$13,6,false)</f>
        <v>0.5</v>
      </c>
      <c r="D78" s="98">
        <f>vlookup($B$78,FEB!$A$13:$F$13,6,false)</f>
        <v>0.5</v>
      </c>
      <c r="E78" s="98">
        <f>vlookup($B$78,MAR!$A$13:$F$13,6,false)</f>
        <v>0</v>
      </c>
      <c r="F78" s="98">
        <f>vlookup($B$78,APR!$A$13:$F$13,6,false)</f>
        <v>0.5</v>
      </c>
      <c r="G78" s="98">
        <f>vlookup($B$78,MAY!$A$13:$F$13,6,false)</f>
        <v>0.5</v>
      </c>
      <c r="H78" s="98">
        <f>vlookup($B$78,JUN!$A$13:$F$13,6,false)</f>
        <v>0.5</v>
      </c>
      <c r="I78" s="98">
        <f>vlookup($B$78,JUL!$A$13:$F$13,6,false)</f>
        <v>0</v>
      </c>
      <c r="J78" s="98">
        <f>vlookup($B$78,AUG!$A$13:$F$13,6,false)</f>
        <v>0</v>
      </c>
      <c r="K78" s="98">
        <f>vlookup($B$78,SEP!$A$13:$F$13,6,false)</f>
        <v>0</v>
      </c>
      <c r="L78" s="98">
        <f>vlookup($B$78,OCT!$A$13:$F$13,6,false)</f>
        <v>0</v>
      </c>
      <c r="M78" s="98">
        <f>vlookup($B$78,NOV!$A$13:$F$13,6,false)</f>
        <v>0</v>
      </c>
      <c r="N78" s="98">
        <f>vlookup($B$78,DEC!$A$13:$F$13,6,false)</f>
        <v>0</v>
      </c>
      <c r="O78" s="99"/>
    </row>
    <row r="79" hidden="1">
      <c r="A79" s="129"/>
      <c r="B79" s="115" t="s">
        <v>32</v>
      </c>
      <c r="C79" s="98">
        <f>vlookup($B$79,JAN!$A$15:$F$15,6,false)</f>
        <v>0</v>
      </c>
      <c r="D79" s="98">
        <f>vlookup($B$79,FEB!$A$15:$F$15,6,false)</f>
        <v>0.5</v>
      </c>
      <c r="E79" s="98">
        <f>vlookup($B$79,MAR!$A$15:$F$15,6,false)</f>
        <v>0.5</v>
      </c>
      <c r="F79" s="98">
        <f>vlookup($B$79,APR!$A$15:$F$15,6,false)</f>
        <v>0.5</v>
      </c>
      <c r="G79" s="98">
        <f>vlookup($B$79,MAY!$A$15:$F$15,6,false)</f>
        <v>0</v>
      </c>
      <c r="H79" s="98">
        <f>vlookup($B$79,JUN!$A$15:$F$15,6,false)</f>
        <v>0.5</v>
      </c>
      <c r="I79" s="98">
        <f>vlookup($B$79,JUL!$A$15:$F$15,6,false)</f>
        <v>0.5</v>
      </c>
      <c r="J79" s="98">
        <f>vlookup($B$79,AUG!$A$15:$F$15,6,false)</f>
        <v>0.5</v>
      </c>
      <c r="K79" s="98">
        <f>vlookup($B$79,SEP!$A$15:$F$15,6,false)</f>
        <v>0.5</v>
      </c>
      <c r="L79" s="98">
        <f>vlookup($B$79,OCT!$A$15:$F$15,6,false)</f>
        <v>0</v>
      </c>
      <c r="M79" s="98">
        <f>vlookup($B$79,NOV!$A$15:$F$15,6,false)</f>
        <v>0</v>
      </c>
      <c r="N79" s="98">
        <f>vlookup($B$79,DEC!$A$15:$F$15,6,false)</f>
        <v>0</v>
      </c>
      <c r="O79" s="99"/>
    </row>
    <row r="80" hidden="1">
      <c r="A80" s="155"/>
      <c r="B80" s="146" t="s">
        <v>41</v>
      </c>
      <c r="C80" s="98">
        <f>vlookup($B$69,JUL!$A$14:$F$14,6,false)</f>
        <v>0.5</v>
      </c>
      <c r="D80" s="98">
        <f>vlookup($B$69,JUL!$A$14:$F$14,6,false)</f>
        <v>0.5</v>
      </c>
      <c r="E80" s="98">
        <f>vlookup($B$69,JUL!$A$14:$F$14,6,false)</f>
        <v>0.5</v>
      </c>
      <c r="F80" s="98">
        <f>vlookup($B$69,JUL!$A$14:$F$14,6,false)</f>
        <v>0.5</v>
      </c>
      <c r="G80" s="98">
        <f>vlookup($B$69,JUL!$A$14:$F$14,6,false)</f>
        <v>0.5</v>
      </c>
      <c r="H80" s="98">
        <f>vlookup($B$69,JUL!$A$14:$F$14,6,false)</f>
        <v>0.5</v>
      </c>
      <c r="I80" s="98">
        <f>vlookup($B$69,JUL!$A$14:$F$14,6,false)</f>
        <v>0.5</v>
      </c>
      <c r="J80" s="98">
        <f>vlookup($B$71,AUG!$A$20:$F$20,6,false)</f>
        <v>0.5</v>
      </c>
      <c r="K80" s="98">
        <f>vlookup($B$71,SEP!$A$20:$F$20,6,false)</f>
        <v>0</v>
      </c>
      <c r="L80" s="98">
        <f>vlookup($B$71,OCT!$A$20:$F$20,6,false)</f>
        <v>0</v>
      </c>
      <c r="M80" s="98">
        <f>vlookup($B$71,NOV!$A$20:$F$20,6,false)</f>
        <v>0</v>
      </c>
      <c r="N80" s="98">
        <f>vlookup($B$71,DEC!$A$20:$F$20,6,false)</f>
        <v>0</v>
      </c>
      <c r="O80" s="99"/>
    </row>
    <row r="81" hidden="1">
      <c r="A81" s="147" t="s">
        <v>89</v>
      </c>
      <c r="B81" s="126"/>
      <c r="C81" s="156">
        <f t="shared" ref="C81:N81" si="10">average(C75:C80)</f>
        <v>0.4</v>
      </c>
      <c r="D81" s="156">
        <f t="shared" si="10"/>
        <v>0.5</v>
      </c>
      <c r="E81" s="156">
        <f t="shared" si="10"/>
        <v>0.375</v>
      </c>
      <c r="F81" s="156">
        <f t="shared" si="10"/>
        <v>0.5</v>
      </c>
      <c r="G81" s="156">
        <f t="shared" si="10"/>
        <v>0.25</v>
      </c>
      <c r="H81" s="156">
        <f t="shared" si="10"/>
        <v>0.5</v>
      </c>
      <c r="I81" s="156">
        <f t="shared" si="10"/>
        <v>0.375</v>
      </c>
      <c r="J81" s="156">
        <f t="shared" si="10"/>
        <v>0.25</v>
      </c>
      <c r="K81" s="156">
        <f t="shared" si="10"/>
        <v>0.25</v>
      </c>
      <c r="L81" s="156">
        <f t="shared" si="10"/>
        <v>0</v>
      </c>
      <c r="M81" s="156">
        <f t="shared" si="10"/>
        <v>0</v>
      </c>
      <c r="N81" s="156">
        <f t="shared" si="10"/>
        <v>0</v>
      </c>
      <c r="O81" s="157"/>
    </row>
    <row r="82">
      <c r="A82" s="149"/>
      <c r="B82" s="150"/>
      <c r="C82" s="151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38"/>
    </row>
    <row r="83" hidden="1">
      <c r="A83" s="143" t="s">
        <v>95</v>
      </c>
      <c r="B83" s="140" t="s">
        <v>6</v>
      </c>
      <c r="C83" s="141" t="s">
        <v>70</v>
      </c>
      <c r="D83" s="142" t="s">
        <v>71</v>
      </c>
      <c r="E83" s="142" t="s">
        <v>72</v>
      </c>
      <c r="F83" s="142" t="s">
        <v>73</v>
      </c>
      <c r="G83" s="142" t="s">
        <v>74</v>
      </c>
      <c r="H83" s="142" t="s">
        <v>75</v>
      </c>
      <c r="I83" s="142" t="s">
        <v>76</v>
      </c>
      <c r="J83" s="142" t="s">
        <v>77</v>
      </c>
      <c r="K83" s="142" t="s">
        <v>78</v>
      </c>
      <c r="L83" s="142" t="s">
        <v>79</v>
      </c>
      <c r="M83" s="142" t="s">
        <v>80</v>
      </c>
      <c r="N83" s="142" t="s">
        <v>81</v>
      </c>
      <c r="O83" s="95"/>
    </row>
    <row r="84" hidden="1">
      <c r="A84" s="144"/>
      <c r="B84" s="115" t="s">
        <v>17</v>
      </c>
      <c r="C84" s="127">
        <f>vlookup($B$84,JAN!$A$7:$F$7,6,false)</f>
        <v>0.5</v>
      </c>
      <c r="D84" s="127">
        <f>vlookup($B$84,FEB!$A$7:$F$7,6,false)</f>
        <v>0.5</v>
      </c>
      <c r="E84" s="127">
        <f>vlookup($B$84,MAR!$A$7:$F$7,6,false)</f>
        <v>0.5</v>
      </c>
      <c r="F84" s="127">
        <f>vlookup($B$84,APR!$A$7:$F$7,6,false)</f>
        <v>0.5</v>
      </c>
      <c r="G84" s="127">
        <f>vlookup($B$84,MAY!$A$7:$F$7,6,false)</f>
        <v>0.5</v>
      </c>
      <c r="H84" s="127">
        <f>vlookup($B$84,JUN!$A$7:$F$7,6,false)</f>
        <v>0.5</v>
      </c>
      <c r="I84" s="127">
        <f>vlookup($B$84,JUL!$A$7:$F$7,6,false)</f>
        <v>0.5</v>
      </c>
      <c r="J84" s="158" t="s">
        <v>31</v>
      </c>
      <c r="K84" s="158" t="s">
        <v>31</v>
      </c>
      <c r="L84" s="158" t="s">
        <v>31</v>
      </c>
      <c r="M84" s="158" t="s">
        <v>31</v>
      </c>
      <c r="N84" s="158" t="s">
        <v>31</v>
      </c>
      <c r="O84" s="99"/>
    </row>
    <row r="85" hidden="1">
      <c r="A85" s="159"/>
      <c r="B85" s="160"/>
      <c r="C85" s="151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38"/>
    </row>
    <row r="86">
      <c r="A86" s="143" t="s">
        <v>14</v>
      </c>
      <c r="B86" s="140" t="s">
        <v>6</v>
      </c>
      <c r="C86" s="141" t="s">
        <v>70</v>
      </c>
      <c r="D86" s="161" t="s">
        <v>71</v>
      </c>
      <c r="E86" s="161" t="s">
        <v>72</v>
      </c>
      <c r="F86" s="161" t="s">
        <v>73</v>
      </c>
      <c r="G86" s="161" t="s">
        <v>74</v>
      </c>
      <c r="H86" s="161" t="s">
        <v>75</v>
      </c>
      <c r="I86" s="161" t="s">
        <v>76</v>
      </c>
      <c r="J86" s="161" t="s">
        <v>77</v>
      </c>
      <c r="K86" s="161" t="s">
        <v>78</v>
      </c>
      <c r="L86" s="161" t="s">
        <v>79</v>
      </c>
      <c r="M86" s="161" t="s">
        <v>80</v>
      </c>
      <c r="N86" s="161" t="s">
        <v>81</v>
      </c>
      <c r="O86" s="138"/>
    </row>
    <row r="87">
      <c r="A87" s="152"/>
      <c r="B87" s="97" t="s">
        <v>13</v>
      </c>
      <c r="C87" s="103">
        <f>vlookup($B$87,JAN!$A$5:$F$5,6,false)</f>
        <v>0.5</v>
      </c>
      <c r="D87" s="103">
        <f>vlookup($B$87,FEB!$A$5:$F$5,6,false)</f>
        <v>0</v>
      </c>
      <c r="E87" s="103">
        <f>vlookup($B$87,MAR!$A$5:$F$5,6,false)</f>
        <v>0.5</v>
      </c>
      <c r="F87" s="103">
        <f>vlookup($B$87,APR!$A$5:$F$5,6,false)</f>
        <v>0.5</v>
      </c>
      <c r="G87" s="103">
        <f>vlookup($B$87,MAY!$A$5:$F$5,6,false)</f>
        <v>0.5</v>
      </c>
      <c r="H87" s="103">
        <f>vlookup($B$87,JUN!$A$5:$F$5,6,false)</f>
        <v>0.5</v>
      </c>
      <c r="I87" s="103">
        <f>vlookup($B$87,JUL!$A$5:$F$5,6,false)</f>
        <v>0.5</v>
      </c>
      <c r="J87" s="103">
        <f>vlookup($B$87,AUG!$A$5:$F$5,6,false)</f>
        <v>0.5</v>
      </c>
      <c r="K87" s="103">
        <f>vlookup($B$87,SEP!$A$5:$F$5,6,false)</f>
        <v>0</v>
      </c>
      <c r="L87" s="103">
        <f>vlookup($B$87,OCT!$A$5:$F$5,6,false)</f>
        <v>0</v>
      </c>
      <c r="M87" s="103">
        <f>vlookup($B$87,NOV!$A$5:$F$5,6,false)</f>
        <v>0</v>
      </c>
      <c r="N87" s="103">
        <f>vlookup($B$87,DEC!$A$5:$F$5,6,false)</f>
        <v>0</v>
      </c>
      <c r="O87" s="138"/>
    </row>
    <row r="88">
      <c r="A88" s="96"/>
      <c r="B88" s="97" t="s">
        <v>16</v>
      </c>
      <c r="C88" s="103">
        <f>vlookup($B$88,JAN!$A$6:$F$6,6,false)</f>
        <v>0.5</v>
      </c>
      <c r="D88" s="103">
        <f>vlookup($B$88,FEB!$A$6:$F$6,6,false)</f>
        <v>0</v>
      </c>
      <c r="E88" s="103">
        <f>vlookup($B$88,MAR!$A$6:$F$6,6,false)</f>
        <v>0.5</v>
      </c>
      <c r="F88" s="103">
        <f>vlookup($B$88,APR!$A$6:$F$6,6,false)</f>
        <v>0.5</v>
      </c>
      <c r="G88" s="103">
        <f>vlookup($B$88,MAY!$A$6:$F$6,6,false)</f>
        <v>0.5</v>
      </c>
      <c r="H88" s="103">
        <f>vlookup($B$88,JUN!$A$6:$F$6,6,false)</f>
        <v>0.5</v>
      </c>
      <c r="I88" s="103">
        <f>vlookup($B$88,JUL!$A$6:$F$6,6,false)</f>
        <v>0.5</v>
      </c>
      <c r="J88" s="103">
        <f>vlookup($B$88,AUG!$A$6:$F$6,6,false)</f>
        <v>0.5</v>
      </c>
      <c r="K88" s="103">
        <f>vlookup($B$88,SEP!$A$6:$F$6,6,false)</f>
        <v>0</v>
      </c>
      <c r="L88" s="103">
        <f>vlookup($B$88,OCT!$A$6:$F$6,6,false)</f>
        <v>0</v>
      </c>
      <c r="M88" s="103">
        <f>vlookup($B$88,NOV!$A$6:$F$6,6,false)</f>
        <v>0</v>
      </c>
      <c r="N88" s="103">
        <f>vlookup($B$88,DEC!$A$6:$F$6,6,false)</f>
        <v>0</v>
      </c>
      <c r="O88" s="138"/>
    </row>
    <row r="89">
      <c r="A89" s="152"/>
      <c r="B89" s="115" t="s">
        <v>52</v>
      </c>
      <c r="C89" s="127">
        <f>vlookup($B$75,JAN!$A$34:$F$34,6,false)</f>
        <v>0.5</v>
      </c>
      <c r="D89" s="127">
        <f>vlookup($B$75,FEB!$A$34:$F$34,6,false)</f>
        <v>0.5</v>
      </c>
      <c r="E89" s="127">
        <f>vlookup($B$75,MAR!$A$34:$F$34,6,false)</f>
        <v>0.5</v>
      </c>
      <c r="F89" s="127">
        <f>vlookup($B$75,APR!$A$34:$F$34,6,false)</f>
        <v>0.5</v>
      </c>
      <c r="G89" s="127">
        <f>vlookup($B$75,MAY!$A$34:$F$34,6,false)</f>
        <v>0.5</v>
      </c>
      <c r="H89" s="127">
        <f>vlookup($B$75,JUN!$A$34:$F$34,6,false)</f>
        <v>0.5</v>
      </c>
      <c r="I89" s="127">
        <f>vlookup($B$75,JUL!$A$34:$F$34,6,false)</f>
        <v>0.5</v>
      </c>
      <c r="J89" s="127">
        <f>vlookup($B$75,AUG!$A$34:$F$34,6,false)</f>
        <v>0.5</v>
      </c>
      <c r="K89" s="127">
        <f>vlookup($B$75,SEP!$A$34:$F$34,6,false)</f>
        <v>0.5</v>
      </c>
      <c r="L89" s="127">
        <f>vlookup($B$75,OCT!$A$34:$F$34,6,false)</f>
        <v>0</v>
      </c>
      <c r="M89" s="127">
        <f>vlookup($B$75,NOV!$A$34:$F$34,6,false)</f>
        <v>0</v>
      </c>
      <c r="N89" s="127">
        <f>vlookup($B$75,DEC!$A$34:$F$34,6,false)</f>
        <v>0</v>
      </c>
      <c r="O89" s="138"/>
    </row>
    <row r="90">
      <c r="A90" s="96"/>
      <c r="B90" s="115" t="s">
        <v>25</v>
      </c>
      <c r="C90" s="127">
        <f>vlookup($B$90,JAN!$A$11:$F$11,6,false)</f>
        <v>0.5</v>
      </c>
      <c r="D90" s="127">
        <f>vlookup($B$90,FEB!$A$11:$F$11,6,false)</f>
        <v>0.5</v>
      </c>
      <c r="E90" s="127">
        <f>vlookup($B$90,MAR!$A$11:$F$11,6,false)</f>
        <v>0.5</v>
      </c>
      <c r="F90" s="127">
        <f>vlookup($B$90,APR!$A$11:$F$11,6,false)</f>
        <v>0.5</v>
      </c>
      <c r="G90" s="127">
        <f>vlookup($B$90,MAY!$A$11:$F$11,6,false)</f>
        <v>0.5</v>
      </c>
      <c r="H90" s="127">
        <f>vlookup($B$90,JUN!$A$11:$F$11,6,false)</f>
        <v>0.5</v>
      </c>
      <c r="I90" s="127">
        <f>vlookup($B$90,JUL!$A$11:$F$11,6,false)</f>
        <v>0.5</v>
      </c>
      <c r="J90" s="127">
        <f>vlookup($B$90,AUG!$A$11:$F$11,6,false)</f>
        <v>0.5</v>
      </c>
      <c r="K90" s="127">
        <f>vlookup($B$90,SEP!$A$11:$F$11,6,false)</f>
        <v>0.5</v>
      </c>
      <c r="L90" s="127">
        <f>vlookup($B$90,OCT!$A$11:$F$11,6,false)</f>
        <v>0</v>
      </c>
      <c r="M90" s="127">
        <f>vlookup($B$90,NOV!$A$11:$F$11,6,false)</f>
        <v>0</v>
      </c>
      <c r="N90" s="127">
        <f>vlookup($B$90,DEC!$A$11:$F$11,6,false)</f>
        <v>0</v>
      </c>
      <c r="O90" s="138"/>
    </row>
    <row r="91" hidden="1">
      <c r="A91" s="144"/>
      <c r="B91" s="115" t="s">
        <v>43</v>
      </c>
      <c r="C91" s="98" t="s">
        <v>31</v>
      </c>
      <c r="D91" s="98" t="s">
        <v>31</v>
      </c>
      <c r="E91" s="98" t="s">
        <v>31</v>
      </c>
      <c r="F91" s="98" t="s">
        <v>31</v>
      </c>
      <c r="G91" s="98" t="s">
        <v>31</v>
      </c>
      <c r="H91" s="98" t="s">
        <v>31</v>
      </c>
      <c r="I91" s="98" t="s">
        <v>31</v>
      </c>
      <c r="J91" s="98" t="s">
        <v>31</v>
      </c>
      <c r="K91" s="98" t="s">
        <v>31</v>
      </c>
      <c r="L91" s="98" t="s">
        <v>31</v>
      </c>
      <c r="M91" s="98" t="s">
        <v>31</v>
      </c>
      <c r="N91" s="98" t="s">
        <v>31</v>
      </c>
      <c r="O91" s="138"/>
    </row>
    <row r="92">
      <c r="A92" s="155"/>
      <c r="B92" s="97" t="s">
        <v>48</v>
      </c>
      <c r="C92" s="105">
        <f>vlookup($B$92,JAN!$A$31:$F$31,6,false)</f>
        <v>0.5</v>
      </c>
      <c r="D92" s="105">
        <f>vlookup($B$92,FEB!$A$31:$F$31,6,false)</f>
        <v>0.5</v>
      </c>
      <c r="E92" s="105">
        <f>vlookup($B$92,MAR!$A$31:$F$31,6,false)</f>
        <v>0.5</v>
      </c>
      <c r="F92" s="105">
        <f>vlookup($B$92,APR!$A$31:$F$31,6,false)</f>
        <v>0</v>
      </c>
      <c r="G92" s="105">
        <f>vlookup($B$92,MAY!$A$31:$F$31,6,false)</f>
        <v>0.5</v>
      </c>
      <c r="H92" s="105">
        <f>vlookup($B$92,JUN!$A$31:$F$31,6,false)</f>
        <v>0.5</v>
      </c>
      <c r="I92" s="105">
        <f>vlookup($B$92,JUL!$A$31:$F$31,6,false)</f>
        <v>0</v>
      </c>
      <c r="J92" s="105">
        <f>vlookup($B$92,AUG!$A$31:$F$31,6,false)</f>
        <v>0.5</v>
      </c>
      <c r="K92" s="105">
        <f>vlookup($B$92,SEP!$A$31:$F$31,6,false)</f>
        <v>0.5</v>
      </c>
      <c r="L92" s="105">
        <f>vlookup($B$92,OCT!$A$31:$F$31,6,false)</f>
        <v>0</v>
      </c>
      <c r="M92" s="105">
        <f>vlookup($B$92,NOV!$A$31:$F$31,6,false)</f>
        <v>0</v>
      </c>
      <c r="N92" s="105">
        <f>vlookup($B$92,DEC!$A$31:$F$31,6,false)</f>
        <v>0</v>
      </c>
      <c r="O92" s="138"/>
    </row>
    <row r="93">
      <c r="A93" s="155"/>
      <c r="B93" s="128" t="s">
        <v>26</v>
      </c>
      <c r="C93" s="104">
        <f>vlookup($B$93,JAN!$A$12:$F$12,6,false)</f>
        <v>0.5</v>
      </c>
      <c r="D93" s="104">
        <f>vlookup($B$93,FEB!$A$12:$F$12,6,false)</f>
        <v>0.5</v>
      </c>
      <c r="E93" s="104">
        <f>vlookup($B$93,MAR!$A$12:$F$12,6,false)</f>
        <v>0.5</v>
      </c>
      <c r="F93" s="104">
        <f>vlookup($B$93,APR!$A$12:$F$12,6,false)</f>
        <v>0.5</v>
      </c>
      <c r="G93" s="104">
        <f>vlookup($B$93,MAY!$A$12:$F$12,6,false)</f>
        <v>0.5</v>
      </c>
      <c r="H93" s="104">
        <f>vlookup($B$93,JUN!$A$12:$F$12,6,false)</f>
        <v>0.5</v>
      </c>
      <c r="I93" s="104">
        <f>vlookup($B$93,JUL!$A$12:$F$12,6,false)</f>
        <v>0.5</v>
      </c>
      <c r="J93" s="104">
        <f>vlookup($B$93,AUG!$A$12:$F$12,6,false)</f>
        <v>0.5</v>
      </c>
      <c r="K93" s="104">
        <f>vlookup($B$93,SEP!$A$12:$F$12,6,false)</f>
        <v>0.5</v>
      </c>
      <c r="L93" s="104">
        <f>vlookup($B$93,OCT!$A$12:$F$12,6,false)</f>
        <v>0</v>
      </c>
      <c r="M93" s="104">
        <f>vlookup($B$93,NOV!$A$12:$F$12,6,false)</f>
        <v>0</v>
      </c>
      <c r="N93" s="104">
        <f>vlookup($B$93,DEC!$A$12:$F$12,6,false)</f>
        <v>0</v>
      </c>
      <c r="O93" s="138"/>
    </row>
    <row r="94">
      <c r="A94" s="155"/>
      <c r="B94" s="146" t="s">
        <v>35</v>
      </c>
      <c r="C94" s="103">
        <f>vlookup($B$103,JAN!$A$18:$F$18,6,false)</f>
        <v>0.5</v>
      </c>
      <c r="D94" s="103">
        <f>vlookup($B$103,FEB!$A$18:$F$18,6,false)</f>
        <v>0.5</v>
      </c>
      <c r="E94" s="103">
        <f>vlookup($B$103,MAR!$A$18:$F$18,6,false)</f>
        <v>0.5</v>
      </c>
      <c r="F94" s="103">
        <f>vlookup($B$103,APR!$A$18:$F$18,6,false)</f>
        <v>0.5</v>
      </c>
      <c r="G94" s="103">
        <f>vlookup($B$103,MAY!$A$18:$F$18,6,false)</f>
        <v>0.5</v>
      </c>
      <c r="H94" s="103">
        <f>vlookup($B$103,JUN!$A$18:$F$18,6,false)</f>
        <v>0</v>
      </c>
      <c r="I94" s="103">
        <f>vlookup($B$103,JUL!$A$18:$F$18,6,false)</f>
        <v>0.5</v>
      </c>
      <c r="J94" s="103">
        <f>vlookup($B$103,AUG!$A$18:$F$18,6,false)</f>
        <v>0.5</v>
      </c>
      <c r="K94" s="103">
        <f>vlookup($B$103,SEP!$A$18:$F$18,6,false)</f>
        <v>0</v>
      </c>
      <c r="L94" s="103">
        <f>vlookup($B$103,OCT!$A$18:$F$18,6,false)</f>
        <v>0</v>
      </c>
      <c r="M94" s="103">
        <f>vlookup($B$103,NOV!$A$18:$F$18,6,false)</f>
        <v>0</v>
      </c>
      <c r="N94" s="103">
        <f>vlookup($B$103,DEC!$A$18:$F$18,6,false)</f>
        <v>0</v>
      </c>
      <c r="O94" s="138"/>
    </row>
    <row r="95">
      <c r="A95" s="155"/>
      <c r="B95" s="97" t="s">
        <v>47</v>
      </c>
      <c r="C95" s="98">
        <f>vlookup($B$112,JAN!$A$30:$F$30,6,false)</f>
        <v>0.5</v>
      </c>
      <c r="D95" s="98">
        <f>vlookup($B$112,FEB!$A$30:$F$30,6,false)</f>
        <v>0.5</v>
      </c>
      <c r="E95" s="98">
        <f>vlookup($B$112,MAR!$A$30:$F$30,6,false)</f>
        <v>0.5</v>
      </c>
      <c r="F95" s="98">
        <f>vlookup($B$112,APR!$A$30:$F$30,6,false)</f>
        <v>0.5</v>
      </c>
      <c r="G95" s="98">
        <f>vlookup($B$112,MAY!$A$30:$F$30,6,false)</f>
        <v>0.5</v>
      </c>
      <c r="H95" s="98">
        <f>vlookup($B$112,JUN!$A$30:$F$30,6,false)</f>
        <v>0.5</v>
      </c>
      <c r="I95" s="98">
        <f>vlookup($B$112,JUL!$A$30:$F$30,6,false)</f>
        <v>0.5</v>
      </c>
      <c r="J95" s="104">
        <f>vlookup($B$112,AUG!$A$30:$F$30,6,false)</f>
        <v>0.5</v>
      </c>
      <c r="K95" s="104">
        <f>vlookup($B$112,SEP!$A$30:$F$30,6,false)</f>
        <v>0.5</v>
      </c>
      <c r="L95" s="104">
        <f>vlookup($B$112,OCT!$A$30:$F$30,6,false)</f>
        <v>0</v>
      </c>
      <c r="M95" s="104">
        <f>vlookup($B$112,NOV!$A$30:$F$30,6,false)</f>
        <v>0</v>
      </c>
      <c r="N95" s="104">
        <f>vlookup($B$112,DEC!$A$30:$F$30,6,false)</f>
        <v>0</v>
      </c>
      <c r="O95" s="138"/>
    </row>
    <row r="96">
      <c r="A96" s="162" t="s">
        <v>89</v>
      </c>
      <c r="B96" s="163"/>
      <c r="C96" s="148">
        <f t="shared" ref="C96:I96" si="11">average(C87:C94)</f>
        <v>0.5</v>
      </c>
      <c r="D96" s="148">
        <f t="shared" si="11"/>
        <v>0.3571428571</v>
      </c>
      <c r="E96" s="148">
        <f t="shared" si="11"/>
        <v>0.5</v>
      </c>
      <c r="F96" s="148">
        <f t="shared" si="11"/>
        <v>0.4285714286</v>
      </c>
      <c r="G96" s="148">
        <f t="shared" si="11"/>
        <v>0.5</v>
      </c>
      <c r="H96" s="148">
        <f t="shared" si="11"/>
        <v>0.4285714286</v>
      </c>
      <c r="I96" s="148">
        <f t="shared" si="11"/>
        <v>0.4285714286</v>
      </c>
      <c r="J96" s="148">
        <f t="shared" ref="J96:N96" si="12">average(J87:J95)</f>
        <v>0.5</v>
      </c>
      <c r="K96" s="148">
        <f t="shared" si="12"/>
        <v>0.3125</v>
      </c>
      <c r="L96" s="148">
        <f t="shared" si="12"/>
        <v>0</v>
      </c>
      <c r="M96" s="148">
        <f t="shared" si="12"/>
        <v>0</v>
      </c>
      <c r="N96" s="148">
        <f t="shared" si="12"/>
        <v>0</v>
      </c>
      <c r="O96" s="138"/>
    </row>
    <row r="97">
      <c r="A97" s="164"/>
      <c r="B97" s="165"/>
      <c r="C97" s="166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38"/>
    </row>
    <row r="98" hidden="1">
      <c r="A98" s="167"/>
      <c r="B98" s="168" t="s">
        <v>6</v>
      </c>
      <c r="C98" s="141" t="s">
        <v>70</v>
      </c>
      <c r="D98" s="161" t="s">
        <v>71</v>
      </c>
      <c r="E98" s="161" t="s">
        <v>72</v>
      </c>
      <c r="F98" s="161" t="s">
        <v>73</v>
      </c>
      <c r="G98" s="161" t="s">
        <v>74</v>
      </c>
      <c r="H98" s="161" t="s">
        <v>75</v>
      </c>
      <c r="I98" s="161" t="s">
        <v>76</v>
      </c>
      <c r="J98" s="161" t="s">
        <v>77</v>
      </c>
      <c r="K98" s="161" t="s">
        <v>78</v>
      </c>
      <c r="L98" s="161" t="s">
        <v>79</v>
      </c>
      <c r="M98" s="161" t="s">
        <v>80</v>
      </c>
      <c r="N98" s="161" t="s">
        <v>81</v>
      </c>
      <c r="O98" s="138"/>
    </row>
    <row r="99" hidden="1">
      <c r="B99" s="169" t="s">
        <v>53</v>
      </c>
      <c r="C99" s="170">
        <f>vlookup($B$99,JAN!$A$35:$F$35,6,false)</f>
        <v>0.5</v>
      </c>
      <c r="D99" s="170">
        <f>vlookup($B$99,FEB!$A$35:$F$35,6,false)</f>
        <v>0</v>
      </c>
      <c r="E99" s="170">
        <f>vlookup($B$99,MAR!$A$35:$F$35,6,false)</f>
        <v>0.5</v>
      </c>
      <c r="F99" s="170">
        <f>vlookup($B$99,APR!$A$35:$F$35,6,false)</f>
        <v>0.5</v>
      </c>
      <c r="G99" s="170">
        <f>vlookup($B$99,MAY!$A$35:$F$35,6,false)</f>
        <v>0.5</v>
      </c>
      <c r="H99" s="170">
        <f>vlookup($B$99,JUN!$A$35:$F$35,6,false)</f>
        <v>0</v>
      </c>
      <c r="I99" s="170">
        <f>vlookup($B$99,JUL!$A$35:$F$35,6,false)</f>
        <v>0</v>
      </c>
      <c r="J99" s="170">
        <f>vlookup($B$99,AUG!$A$35:$F$35,6,false)</f>
        <v>0.5</v>
      </c>
      <c r="K99" s="170">
        <f>vlookup($B$99,SEP!$A$35:$F$35,6,false)</f>
        <v>0</v>
      </c>
      <c r="L99" s="170">
        <f>vlookup($B$99,OCT!$A$35:$F$35,6,false)</f>
        <v>0</v>
      </c>
      <c r="M99" s="170">
        <f>vlookup($B$99,NOV!$A$35:$F$35,6,false)</f>
        <v>0</v>
      </c>
      <c r="N99" s="170">
        <f>vlookup($B$99,DEC!$A$35:$F$35,6,false)</f>
        <v>0</v>
      </c>
      <c r="O99" s="138"/>
    </row>
    <row r="100" hidden="1">
      <c r="A100" s="171" t="s">
        <v>96</v>
      </c>
      <c r="B100" s="169" t="s">
        <v>58</v>
      </c>
      <c r="C100" s="170">
        <f>vlookup($B$100,JAN!$A$39:$F$39,6,false)</f>
        <v>0</v>
      </c>
      <c r="D100" s="170">
        <f>vlookup($B$100,FEB!$A$39:$F$39,6,false)</f>
        <v>0</v>
      </c>
      <c r="E100" s="170">
        <f>vlookup($B$100,MAR!$A$39:$F$39,6,false)</f>
        <v>0</v>
      </c>
      <c r="F100" s="170">
        <f>vlookup($B$100,APR!$A$39:$F$39,6,false)</f>
        <v>0</v>
      </c>
      <c r="G100" s="170">
        <f>vlookup($B$100,MAY!$A$39:$F$39,6,false)</f>
        <v>0</v>
      </c>
      <c r="H100" s="170">
        <f>vlookup($B$100,JUN!$A$39:$F$39,6,false)</f>
        <v>0</v>
      </c>
      <c r="I100" s="170">
        <f>vlookup($B$100,JUL!$A$39:$F$39,6,false)</f>
        <v>0</v>
      </c>
      <c r="J100" s="170">
        <f>vlookup($B$100,AUG!$A$39:$F$39,6,false)</f>
        <v>0</v>
      </c>
      <c r="K100" s="170">
        <f>vlookup($B$100,SEP!$A$39:$F$39,6,false)</f>
        <v>0</v>
      </c>
      <c r="L100" s="170">
        <f>vlookup($B$100,OCT!$A$39:$F$39,6,false)</f>
        <v>0</v>
      </c>
      <c r="M100" s="170">
        <f>vlookup($B$100,NOV!$A$39:$F$39,6,false)</f>
        <v>0</v>
      </c>
      <c r="N100" s="170">
        <f>vlookup($B$100,DEC!$A$39:$F$39,6,false)</f>
        <v>0</v>
      </c>
      <c r="O100" s="138"/>
    </row>
    <row r="101" hidden="1">
      <c r="B101" s="169" t="s">
        <v>17</v>
      </c>
      <c r="C101" s="170">
        <f>vlookup($B$101,JAN!$A$7:$F$7,6,false)</f>
        <v>0.5</v>
      </c>
      <c r="D101" s="170">
        <f>vlookup($B$101,FEB!$A$7:$F$7,6,false)</f>
        <v>0.5</v>
      </c>
      <c r="E101" s="170">
        <f>vlookup($B$101,MAR!$A$7:$F$7,6,false)</f>
        <v>0.5</v>
      </c>
      <c r="F101" s="170">
        <f>vlookup($B$101,APR!$A$7:$F$7,6,false)</f>
        <v>0.5</v>
      </c>
      <c r="G101" s="170">
        <f>vlookup($B$101,MAY!$A$7:$F$7,6,false)</f>
        <v>0.5</v>
      </c>
      <c r="H101" s="170">
        <f>vlookup($B$101,JUN!$A$7:$F$7,6,false)</f>
        <v>0.5</v>
      </c>
      <c r="I101" s="170">
        <f>vlookup($B$101,JUL!$A$7:$F$7,6,false)</f>
        <v>0.5</v>
      </c>
      <c r="J101" s="170">
        <f>vlookup($B$101,AUG!$A$7:$F$7,6,false)</f>
        <v>0.5</v>
      </c>
      <c r="K101" s="170">
        <f>vlookup($B$101,SEP!$A$7:$F$7,6,false)</f>
        <v>0.5</v>
      </c>
      <c r="L101" s="170">
        <f>vlookup($B$101,OCT!$A$7:$F$7,6,false)</f>
        <v>0</v>
      </c>
      <c r="M101" s="170">
        <f>vlookup($B$101,NOV!$A$7:$F$7,6,false)</f>
        <v>0</v>
      </c>
      <c r="N101" s="170">
        <f>vlookup($B$101,DEC!$A$7:$F$7,6,false)</f>
        <v>0</v>
      </c>
      <c r="O101" s="138"/>
    </row>
    <row r="102" hidden="1">
      <c r="B102" s="169" t="s">
        <v>24</v>
      </c>
      <c r="C102" s="170">
        <f>vlookup($B$102,JAN!$A$10:$F$10,6,false)</f>
        <v>0.5</v>
      </c>
      <c r="D102" s="170">
        <f>vlookup($B$102,FEB!$A$10:$F$10,6,false)</f>
        <v>0.5</v>
      </c>
      <c r="E102" s="170">
        <f>vlookup($B$102,MAR!$A$10:$F$10,6,false)</f>
        <v>0.5</v>
      </c>
      <c r="F102" s="170">
        <f>vlookup($B$102,APR!$A$10:$F$10,6,false)</f>
        <v>0.5</v>
      </c>
      <c r="G102" s="170">
        <f>vlookup($B$102,MAY!$A$10:$F$10,6,false)</f>
        <v>0.5</v>
      </c>
      <c r="H102" s="170">
        <f>vlookup($B$102,JUN!$A$10:$F$10,6,false)</f>
        <v>0.5</v>
      </c>
      <c r="I102" s="170">
        <f>vlookup($B$102,JUL!$A$10:$F$10,6,false)</f>
        <v>0.5</v>
      </c>
      <c r="J102" s="170">
        <f>vlookup($B$102,AUG!$A$10:$F$10,6,false)</f>
        <v>0.5</v>
      </c>
      <c r="K102" s="170">
        <f>vlookup($B$102,SEP!$A$10:$F$10,6,false)</f>
        <v>0</v>
      </c>
      <c r="L102" s="170">
        <f>vlookup($B$102,OCT!$A$10:$F$10,6,false)</f>
        <v>0</v>
      </c>
      <c r="M102" s="170">
        <f>vlookup($B$102,NOV!$A$10:$F$10,6,false)</f>
        <v>0</v>
      </c>
      <c r="N102" s="170">
        <f>vlookup($B$102,DEC!$A$10:$F$10,6,false)</f>
        <v>0</v>
      </c>
      <c r="O102" s="138"/>
    </row>
    <row r="103" hidden="1">
      <c r="A103" s="172"/>
      <c r="B103" s="169" t="s">
        <v>35</v>
      </c>
      <c r="C103" s="170">
        <f>vlookup($B$103,JAN!$A$18:$F$18,6,false)</f>
        <v>0.5</v>
      </c>
      <c r="D103" s="170">
        <f>vlookup($B$103,FEB!$A$18:$F$18,6,false)</f>
        <v>0.5</v>
      </c>
      <c r="E103" s="170">
        <f>vlookup($B$103,MAR!$A$18:$F$18,6,false)</f>
        <v>0.5</v>
      </c>
      <c r="F103" s="170">
        <f>vlookup($B$103,APR!$A$18:$F$18,6,false)</f>
        <v>0.5</v>
      </c>
      <c r="G103" s="170">
        <f>vlookup($B$103,MAY!$A$18:$F$18,6,false)</f>
        <v>0.5</v>
      </c>
      <c r="H103" s="170">
        <f>vlookup($B$103,JUN!$A$18:$F$18,6,false)</f>
        <v>0</v>
      </c>
      <c r="I103" s="170">
        <f>vlookup($B$103,JUL!$A$18:$F$18,6,false)</f>
        <v>0.5</v>
      </c>
      <c r="J103" s="170">
        <f>vlookup($B$103,AUG!$A$18:$F$18,6,false)</f>
        <v>0.5</v>
      </c>
      <c r="K103" s="170">
        <f>vlookup($B$103,SEP!$A$18:$F$18,6,false)</f>
        <v>0</v>
      </c>
      <c r="L103" s="170">
        <f>vlookup($B$103,OCT!$A$18:$F$18,6,false)</f>
        <v>0</v>
      </c>
      <c r="M103" s="170">
        <f>vlookup($B$103,NOV!$A$18:$F$18,6,false)</f>
        <v>0</v>
      </c>
      <c r="N103" s="170">
        <f>vlookup($B$103,DEC!$A$18:$F$18,6,false)</f>
        <v>0</v>
      </c>
      <c r="O103" s="138"/>
    </row>
    <row r="104" hidden="1">
      <c r="A104" s="147" t="s">
        <v>89</v>
      </c>
      <c r="B104" s="126"/>
      <c r="C104" s="156">
        <f t="shared" ref="C104:N104" si="13">average(C99:C103)</f>
        <v>0.4</v>
      </c>
      <c r="D104" s="156">
        <f t="shared" si="13"/>
        <v>0.3</v>
      </c>
      <c r="E104" s="156">
        <f t="shared" si="13"/>
        <v>0.4</v>
      </c>
      <c r="F104" s="156">
        <f t="shared" si="13"/>
        <v>0.4</v>
      </c>
      <c r="G104" s="156">
        <f t="shared" si="13"/>
        <v>0.4</v>
      </c>
      <c r="H104" s="156">
        <f t="shared" si="13"/>
        <v>0.2</v>
      </c>
      <c r="I104" s="156">
        <f t="shared" si="13"/>
        <v>0.3</v>
      </c>
      <c r="J104" s="156">
        <f t="shared" si="13"/>
        <v>0.4</v>
      </c>
      <c r="K104" s="156">
        <f t="shared" si="13"/>
        <v>0.1</v>
      </c>
      <c r="L104" s="156">
        <f t="shared" si="13"/>
        <v>0</v>
      </c>
      <c r="M104" s="156">
        <f t="shared" si="13"/>
        <v>0</v>
      </c>
      <c r="N104" s="156">
        <f t="shared" si="13"/>
        <v>0</v>
      </c>
      <c r="O104" s="138"/>
    </row>
    <row r="105" hidden="1">
      <c r="A105" s="164"/>
      <c r="B105" s="165"/>
      <c r="C105" s="166"/>
      <c r="D105" s="165"/>
      <c r="E105" s="165"/>
      <c r="F105" s="165"/>
      <c r="G105" s="165"/>
      <c r="H105" s="165"/>
      <c r="I105" s="165"/>
      <c r="J105" s="165"/>
      <c r="K105" s="165"/>
      <c r="L105" s="165"/>
      <c r="M105" s="165"/>
      <c r="N105" s="165"/>
      <c r="O105" s="138"/>
    </row>
    <row r="106" hidden="1">
      <c r="A106" s="173" t="s">
        <v>97</v>
      </c>
      <c r="B106" s="140" t="s">
        <v>6</v>
      </c>
      <c r="C106" s="141" t="s">
        <v>70</v>
      </c>
      <c r="D106" s="142" t="s">
        <v>71</v>
      </c>
      <c r="E106" s="142" t="s">
        <v>72</v>
      </c>
      <c r="F106" s="142" t="s">
        <v>73</v>
      </c>
      <c r="G106" s="142" t="s">
        <v>74</v>
      </c>
      <c r="H106" s="142" t="s">
        <v>75</v>
      </c>
      <c r="I106" s="142" t="s">
        <v>76</v>
      </c>
      <c r="J106" s="142" t="s">
        <v>77</v>
      </c>
      <c r="K106" s="142" t="s">
        <v>78</v>
      </c>
      <c r="L106" s="142" t="s">
        <v>79</v>
      </c>
      <c r="M106" s="142" t="s">
        <v>80</v>
      </c>
      <c r="N106" s="142" t="s">
        <v>81</v>
      </c>
      <c r="O106" s="138"/>
    </row>
    <row r="107" hidden="1">
      <c r="A107" s="152"/>
      <c r="B107" s="146" t="s">
        <v>54</v>
      </c>
      <c r="C107" s="174">
        <f>vlookup($B$69,JUL!$A$14:$F$14,6,false)</f>
        <v>0.5</v>
      </c>
      <c r="D107" s="174">
        <f>vlookup($B$69,JUL!$A$14:$F$14,6,false)</f>
        <v>0.5</v>
      </c>
      <c r="E107" s="174">
        <f>vlookup($B$69,JUL!$A$14:$F$14,6,false)</f>
        <v>0.5</v>
      </c>
      <c r="F107" s="174">
        <f>vlookup($B$69,JUL!$A$14:$F$14,6,false)</f>
        <v>0.5</v>
      </c>
      <c r="G107" s="174">
        <f>vlookup($B$69,JUL!$A$14:$F$14,6,false)</f>
        <v>0.5</v>
      </c>
      <c r="H107" s="174">
        <f>vlookup($B$69,JUL!$A$14:$F$14,6,false)</f>
        <v>0.5</v>
      </c>
      <c r="I107" s="174">
        <f>vlookup($B$69,JUL!$A$14:$F$14,6,false)</f>
        <v>0.5</v>
      </c>
      <c r="J107" s="127">
        <f>vlookup($B$71,AUG!$A$20:$F$20,6,false)</f>
        <v>0.5</v>
      </c>
      <c r="K107" s="127">
        <f>vlookup($B$69,SEP!$A$14:$F$14,6,false)</f>
        <v>0.5</v>
      </c>
      <c r="L107" s="127">
        <f>vlookup($B$69,OCT!$A$14:$F$14,6,false)</f>
        <v>0</v>
      </c>
      <c r="M107" s="174">
        <f>vlookup($B$69,NOV!$A$14:$F$14,6,false)</f>
        <v>0</v>
      </c>
      <c r="N107" s="174">
        <f>vlookup($B$69,DEC!$A$14:$F$14,6,false)</f>
        <v>0</v>
      </c>
      <c r="O107" s="138"/>
    </row>
    <row r="108" hidden="1">
      <c r="A108" s="129"/>
      <c r="B108" s="146" t="s">
        <v>41</v>
      </c>
      <c r="C108" s="174">
        <f>vlookup($B$69,JUL!$A$14:$F$14,6,false)</f>
        <v>0.5</v>
      </c>
      <c r="D108" s="174">
        <f>vlookup($B$69,JUL!$A$14:$F$14,6,false)</f>
        <v>0.5</v>
      </c>
      <c r="E108" s="174">
        <f>vlookup($B$69,JUL!$A$14:$F$14,6,false)</f>
        <v>0.5</v>
      </c>
      <c r="F108" s="174">
        <f>vlookup($B$69,JUL!$A$14:$F$14,6,false)</f>
        <v>0.5</v>
      </c>
      <c r="G108" s="174">
        <f>vlookup($B$69,JUL!$A$14:$F$14,6,false)</f>
        <v>0.5</v>
      </c>
      <c r="H108" s="174">
        <f>vlookup($B$69,JUL!$A$14:$F$14,6,false)</f>
        <v>0.5</v>
      </c>
      <c r="I108" s="174">
        <f>vlookup($B$69,JUL!$A$14:$F$14,6,false)</f>
        <v>0.5</v>
      </c>
      <c r="J108" s="127">
        <f>vlookup($B$71,AUG!$A$20:$F$20,6,false)</f>
        <v>0.5</v>
      </c>
      <c r="K108" s="127">
        <f>vlookup($B$71,SEP!$A$20:$F$20,6,false)</f>
        <v>0</v>
      </c>
      <c r="L108" s="127">
        <f>vlookup($B$71,OCT!$A$20:$F$20,6,false)</f>
        <v>0</v>
      </c>
      <c r="M108" s="174">
        <f>vlookup($B$71,NOV!$A$20:$F$20,6,false)</f>
        <v>0</v>
      </c>
      <c r="N108" s="174">
        <f>vlookup($B$71,DEC!$A$20:$F$20,6,false)</f>
        <v>0</v>
      </c>
      <c r="O108" s="138"/>
    </row>
    <row r="109" hidden="1">
      <c r="A109" s="147" t="s">
        <v>89</v>
      </c>
      <c r="B109" s="154"/>
      <c r="C109" s="148">
        <f t="shared" ref="C109:N109" si="14">average(C107:C108)</f>
        <v>0.5</v>
      </c>
      <c r="D109" s="148">
        <f t="shared" si="14"/>
        <v>0.5</v>
      </c>
      <c r="E109" s="148">
        <f t="shared" si="14"/>
        <v>0.5</v>
      </c>
      <c r="F109" s="148">
        <f t="shared" si="14"/>
        <v>0.5</v>
      </c>
      <c r="G109" s="148">
        <f t="shared" si="14"/>
        <v>0.5</v>
      </c>
      <c r="H109" s="148">
        <f t="shared" si="14"/>
        <v>0.5</v>
      </c>
      <c r="I109" s="148">
        <f t="shared" si="14"/>
        <v>0.5</v>
      </c>
      <c r="J109" s="148">
        <f t="shared" si="14"/>
        <v>0.5</v>
      </c>
      <c r="K109" s="148">
        <f t="shared" si="14"/>
        <v>0.25</v>
      </c>
      <c r="L109" s="148">
        <f t="shared" si="14"/>
        <v>0</v>
      </c>
      <c r="M109" s="148">
        <f t="shared" si="14"/>
        <v>0</v>
      </c>
      <c r="N109" s="148">
        <f t="shared" si="14"/>
        <v>0</v>
      </c>
      <c r="O109" s="138"/>
    </row>
    <row r="110">
      <c r="A110" s="134"/>
      <c r="B110" s="135"/>
      <c r="C110" s="136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8"/>
    </row>
    <row r="111" hidden="1">
      <c r="A111" s="175"/>
      <c r="B111" s="168" t="s">
        <v>6</v>
      </c>
      <c r="C111" s="141" t="s">
        <v>70</v>
      </c>
      <c r="D111" s="142" t="s">
        <v>71</v>
      </c>
      <c r="E111" s="142" t="s">
        <v>72</v>
      </c>
      <c r="F111" s="142" t="s">
        <v>73</v>
      </c>
      <c r="G111" s="142" t="s">
        <v>74</v>
      </c>
      <c r="H111" s="142" t="s">
        <v>75</v>
      </c>
      <c r="I111" s="142" t="s">
        <v>76</v>
      </c>
      <c r="J111" s="142" t="s">
        <v>77</v>
      </c>
      <c r="K111" s="142" t="s">
        <v>78</v>
      </c>
      <c r="L111" s="142" t="s">
        <v>79</v>
      </c>
      <c r="M111" s="142" t="s">
        <v>80</v>
      </c>
      <c r="N111" s="142" t="s">
        <v>81</v>
      </c>
      <c r="O111" s="138"/>
    </row>
    <row r="112" hidden="1">
      <c r="A112" s="44"/>
      <c r="B112" s="97" t="s">
        <v>47</v>
      </c>
      <c r="C112" s="98">
        <f>vlookup($B$112,JAN!$A$30:$F$30,6,false)</f>
        <v>0.5</v>
      </c>
      <c r="D112" s="98">
        <f>vlookup($B$112,FEB!$A$30:$F$30,6,false)</f>
        <v>0.5</v>
      </c>
      <c r="E112" s="98">
        <f>vlookup($B$112,MAR!$A$30:$F$30,6,false)</f>
        <v>0.5</v>
      </c>
      <c r="F112" s="98">
        <f>vlookup($B$112,APR!$A$30:$F$30,6,false)</f>
        <v>0.5</v>
      </c>
      <c r="G112" s="98">
        <f>vlookup($B$112,MAY!$A$30:$F$30,6,false)</f>
        <v>0.5</v>
      </c>
      <c r="H112" s="98">
        <f>vlookup($B$112,JUN!$A$30:$F$30,6,false)</f>
        <v>0.5</v>
      </c>
      <c r="I112" s="98">
        <f>vlookup($B$112,JUL!$A$30:$F$30,6,false)</f>
        <v>0.5</v>
      </c>
      <c r="J112" s="104">
        <f>vlookup($B$112,AUG!$A$30:$F$30,6,false)</f>
        <v>0.5</v>
      </c>
      <c r="K112" s="104">
        <f>vlookup($B$112,SEP!$A$30:$F$30,6,false)</f>
        <v>0.5</v>
      </c>
      <c r="L112" s="104">
        <f>vlookup($B$112,OCT!$A$30:$F$30,6,false)</f>
        <v>0</v>
      </c>
      <c r="M112" s="104">
        <f>vlookup($B$112,NOV!$A$30:$F$30,6,false)</f>
        <v>0</v>
      </c>
      <c r="N112" s="104">
        <f>vlookup($B$112,DEC!$A$30:$F$30,6,false)</f>
        <v>0</v>
      </c>
      <c r="O112" s="138"/>
    </row>
    <row r="113" hidden="1">
      <c r="A113" s="176" t="s">
        <v>23</v>
      </c>
      <c r="B113" s="146" t="s">
        <v>50</v>
      </c>
      <c r="C113" s="98">
        <f>vlookup($B$113,JAN!$A$32:$F$32,6,false)</f>
        <v>0.5</v>
      </c>
      <c r="D113" s="98">
        <f>vlookup($B$113,FEB!$A$32:$F$32,6,false)</f>
        <v>0.5</v>
      </c>
      <c r="E113" s="98">
        <f>vlookup($B$113,MAR!$A$32:$F$32,6,false)</f>
        <v>0.5</v>
      </c>
      <c r="F113" s="98">
        <f>vlookup($B$113,APR!$A$32:$F$32,6,false)</f>
        <v>0.5</v>
      </c>
      <c r="G113" s="98">
        <f>vlookup($B$113,MAY!$A$32:$F$32,6,false)</f>
        <v>0.5</v>
      </c>
      <c r="H113" s="98">
        <f>vlookup($B$113,JUN!$A$32:$F$32,6,false)</f>
        <v>0.5</v>
      </c>
      <c r="I113" s="98">
        <f>vlookup($B$113,JUL!$A$32:$F$32,6,false)</f>
        <v>0.5</v>
      </c>
      <c r="J113" s="103">
        <f>vlookup($B$113,AUG!$A$32:$F$32,6,false)</f>
        <v>0</v>
      </c>
      <c r="K113" s="103">
        <f>vlookup($B$113,SEP!$A$32:$F$32,6,false)</f>
        <v>0.5</v>
      </c>
      <c r="L113" s="103">
        <f>vlookup($B$113,OCT!$A$32:$F$32,6,false)</f>
        <v>0</v>
      </c>
      <c r="M113" s="103">
        <f>vlookup($B$113,NOV!$A$32:$F$32,6,false)</f>
        <v>0</v>
      </c>
      <c r="N113" s="103">
        <f>vlookup($B$113,DEC!$A$32:$F$32,6,false)</f>
        <v>0</v>
      </c>
      <c r="O113" s="138"/>
    </row>
    <row r="114" hidden="1">
      <c r="A114" s="176"/>
      <c r="B114" s="97" t="s">
        <v>22</v>
      </c>
      <c r="C114" s="98">
        <f>vlookup($B$114,JAN!$A$9:$F$9,6,false)</f>
        <v>0.5</v>
      </c>
      <c r="D114" s="98">
        <f>vlookup($B$114,FEB!$A$9:$F$9,6,false)</f>
        <v>0.5</v>
      </c>
      <c r="E114" s="98">
        <f>vlookup($B$114,MAR!$A$9:$F$9,6,false)</f>
        <v>0.5</v>
      </c>
      <c r="F114" s="98">
        <f>vlookup($B$114,APR!$A$9:$F$9,6,false)</f>
        <v>0.5</v>
      </c>
      <c r="G114" s="98">
        <f>vlookup($B$114,MAY!$A$9:$F$9,6,false)</f>
        <v>0.5</v>
      </c>
      <c r="H114" s="98">
        <f>vlookup($B$114,JUN!$A$9:$F$9,6,false)</f>
        <v>0.5</v>
      </c>
      <c r="I114" s="98">
        <f>vlookup($B$114,JUL!$A$9:$F$9,6,false)</f>
        <v>0.5</v>
      </c>
      <c r="J114" s="104">
        <f>vlookup($B$114,AUG!$A$9:$F$9,6,false)</f>
        <v>0.5</v>
      </c>
      <c r="K114" s="104">
        <f>vlookup($B$114,SEP!$A$9:$F$9,6,false)</f>
        <v>0</v>
      </c>
      <c r="L114" s="104">
        <f>vlookup($B$114,OCT!$A$9:$F$9,6,false)</f>
        <v>0</v>
      </c>
      <c r="M114" s="104">
        <f>vlookup($B$114,NOV!$A$9:$F$9,6,false)</f>
        <v>0</v>
      </c>
      <c r="N114" s="104">
        <f>vlookup($B$114,DEC!$A$9:$F$9,6,false)</f>
        <v>0</v>
      </c>
      <c r="O114" s="138"/>
    </row>
    <row r="115" hidden="1">
      <c r="A115" s="176"/>
      <c r="B115" s="146" t="s">
        <v>24</v>
      </c>
      <c r="C115" s="98">
        <f>vlookup($B$115,JAN!$A$10:$F$10,6,false)</f>
        <v>0.5</v>
      </c>
      <c r="D115" s="98">
        <f>vlookup($B$102,FEB!$A$10:$F$10,6,false)</f>
        <v>0.5</v>
      </c>
      <c r="E115" s="98">
        <f>vlookup($B$102,MAR!$A$10:$F$10,6,false)</f>
        <v>0.5</v>
      </c>
      <c r="F115" s="98">
        <f>vlookup($B$102,APR!$A$10:$F$10,6,false)</f>
        <v>0.5</v>
      </c>
      <c r="G115" s="98">
        <f>vlookup($B$102,MAY!$A$10:$F$10,6,false)</f>
        <v>0.5</v>
      </c>
      <c r="H115" s="98">
        <f>vlookup($B$102,JUN!$A$10:$F$10,6,false)</f>
        <v>0.5</v>
      </c>
      <c r="I115" s="98">
        <f>vlookup($B$102,JUL!$A$10:$F$10,6,false)</f>
        <v>0.5</v>
      </c>
      <c r="J115" s="104">
        <f>vlookup($B$102,AUG!$A$10:$F$10,6,false)</f>
        <v>0.5</v>
      </c>
      <c r="K115" s="104">
        <f>vlookup($B$102,SEP!$A$10:$F$10,6,false)</f>
        <v>0</v>
      </c>
      <c r="L115" s="104">
        <f>vlookup($B$102,OCT!$A$10:$F$10,6,false)</f>
        <v>0</v>
      </c>
      <c r="M115" s="104">
        <f>vlookup($B$102,NOV!$A$10:$F$10,6,false)</f>
        <v>0</v>
      </c>
      <c r="N115" s="104">
        <f>vlookup($B$102,DEC!$A$10:$F$10,6,false)</f>
        <v>0</v>
      </c>
      <c r="O115" s="138"/>
    </row>
    <row r="116" hidden="1">
      <c r="A116" s="176"/>
      <c r="B116" s="115" t="s">
        <v>27</v>
      </c>
      <c r="C116" s="98">
        <f>vlookup($B$116,JAN!$A$13:$F$13,6,false)</f>
        <v>0.5</v>
      </c>
      <c r="D116" s="98">
        <f>vlookup($B$116,FEB!$A$13:$F$13,6,false)</f>
        <v>0.5</v>
      </c>
      <c r="E116" s="98">
        <f>vlookup($B$116,MAR!$A$13:$F$13,6,false)</f>
        <v>0</v>
      </c>
      <c r="F116" s="98">
        <f>vlookup($B$116,APR!$A$13:$F$13,6,false)</f>
        <v>0.5</v>
      </c>
      <c r="G116" s="98">
        <f>vlookup($B$116,MAY!$A$13:$F$13,6,false)</f>
        <v>0.5</v>
      </c>
      <c r="H116" s="98">
        <f>vlookup($B$116,JUN!$A$13:$F$13,6,false)</f>
        <v>0.5</v>
      </c>
      <c r="I116" s="98">
        <f>vlookup($B$116,JUL!$A$13:$F$13,6,false)</f>
        <v>0</v>
      </c>
      <c r="J116" s="127">
        <f>vlookup($B$116,AUG!$A$13:$F$13,6,false)</f>
        <v>0</v>
      </c>
      <c r="K116" s="127">
        <f>vlookup($B$116,SEP!$A$13:$F$13,6,false)</f>
        <v>0</v>
      </c>
      <c r="L116" s="127">
        <f>vlookup($B$116,OCT!$A$13:$F$13,6,false)</f>
        <v>0</v>
      </c>
      <c r="M116" s="127">
        <f>vlookup($B$116,NOV!$A$13:$F$13,6,false)</f>
        <v>0</v>
      </c>
      <c r="N116" s="127">
        <f>vlookup($B$116,DEC!$A$13:$F$13,6,false)</f>
        <v>0</v>
      </c>
      <c r="O116" s="138"/>
    </row>
    <row r="117" hidden="1">
      <c r="A117" s="177"/>
      <c r="B117" s="97" t="s">
        <v>42</v>
      </c>
      <c r="C117" s="98">
        <f>vlookup($B$117,JAN!$A$24:$F$24,6,false)</f>
        <v>0.5</v>
      </c>
      <c r="D117" s="98">
        <f>vlookup($B$117,FEB!$A$24:$F$24,6,false)</f>
        <v>0.5</v>
      </c>
      <c r="E117" s="98">
        <f>vlookup($B$117,MAR!$A$24:$F$24,6,false)</f>
        <v>0.5</v>
      </c>
      <c r="F117" s="98">
        <f>vlookup($B$117,APR!$A$24:$F$24,6,false)</f>
        <v>0.5</v>
      </c>
      <c r="G117" s="98">
        <f>vlookup($B$117,MAY!$A$24:$F$24,6,false)</f>
        <v>0.5</v>
      </c>
      <c r="H117" s="98">
        <f>vlookup($B$117,JUN!$A$24:$F$24,6,false)</f>
        <v>0.5</v>
      </c>
      <c r="I117" s="98">
        <f>vlookup($B$117,JUL!$A$24:$F$24,6,false)</f>
        <v>0</v>
      </c>
      <c r="J117" s="104">
        <f>vlookup($B$117,AUG!$A$24:$F$24,6,false)</f>
        <v>0</v>
      </c>
      <c r="K117" s="104">
        <f>vlookup($B$117,SEP!$A$24:$F$24,6,false)</f>
        <v>0</v>
      </c>
      <c r="L117" s="104">
        <f>vlookup($B$117,OCT!$A$24:$F$24,6,false)</f>
        <v>0</v>
      </c>
      <c r="M117" s="104">
        <f>vlookup($B$117,NOV!$A$24:$F$24,6,false)</f>
        <v>0</v>
      </c>
      <c r="N117" s="104">
        <f>vlookup($B$117,DEC!$A$24:$F$24,6,false)</f>
        <v>0</v>
      </c>
      <c r="O117" s="138"/>
    </row>
    <row r="118" hidden="1">
      <c r="A118" s="178" t="s">
        <v>89</v>
      </c>
      <c r="B118" s="179"/>
      <c r="C118" s="148">
        <f t="shared" ref="C118:N118" si="15">average(C110:C117)</f>
        <v>0.5</v>
      </c>
      <c r="D118" s="148">
        <f t="shared" si="15"/>
        <v>0.5</v>
      </c>
      <c r="E118" s="148">
        <f t="shared" si="15"/>
        <v>0.4166666667</v>
      </c>
      <c r="F118" s="148">
        <f t="shared" si="15"/>
        <v>0.5</v>
      </c>
      <c r="G118" s="148">
        <f t="shared" si="15"/>
        <v>0.5</v>
      </c>
      <c r="H118" s="148">
        <f t="shared" si="15"/>
        <v>0.5</v>
      </c>
      <c r="I118" s="148">
        <f t="shared" si="15"/>
        <v>0.3333333333</v>
      </c>
      <c r="J118" s="148">
        <f t="shared" si="15"/>
        <v>0.25</v>
      </c>
      <c r="K118" s="148">
        <f t="shared" si="15"/>
        <v>0.1666666667</v>
      </c>
      <c r="L118" s="148">
        <f t="shared" si="15"/>
        <v>0</v>
      </c>
      <c r="M118" s="148">
        <f t="shared" si="15"/>
        <v>0</v>
      </c>
      <c r="N118" s="148">
        <f t="shared" si="15"/>
        <v>0</v>
      </c>
      <c r="O118" s="138"/>
    </row>
    <row r="119">
      <c r="A119" s="134"/>
      <c r="B119" s="135"/>
      <c r="C119" s="136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8"/>
    </row>
    <row r="120">
      <c r="A120" s="134"/>
      <c r="B120" s="135"/>
      <c r="C120" s="136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8"/>
    </row>
    <row r="121">
      <c r="A121" s="134"/>
      <c r="B121" s="135"/>
      <c r="C121" s="136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8"/>
    </row>
    <row r="122">
      <c r="A122" s="134"/>
      <c r="B122" s="135"/>
      <c r="C122" s="136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8"/>
    </row>
    <row r="123">
      <c r="A123" s="134"/>
      <c r="B123" s="135"/>
      <c r="C123" s="136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8"/>
    </row>
    <row r="124">
      <c r="A124" s="134"/>
      <c r="B124" s="135"/>
      <c r="C124" s="136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8"/>
    </row>
    <row r="125">
      <c r="A125" s="134"/>
      <c r="B125" s="135"/>
      <c r="C125" s="136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8"/>
    </row>
    <row r="126">
      <c r="A126" s="134"/>
      <c r="B126" s="135"/>
      <c r="C126" s="136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8"/>
    </row>
    <row r="127">
      <c r="A127" s="134"/>
      <c r="B127" s="135"/>
      <c r="C127" s="136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8"/>
    </row>
    <row r="128">
      <c r="A128" s="134"/>
      <c r="B128" s="135"/>
      <c r="C128" s="136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8"/>
    </row>
    <row r="129">
      <c r="A129" s="134"/>
      <c r="B129" s="135"/>
      <c r="C129" s="136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8"/>
    </row>
    <row r="130">
      <c r="A130" s="134"/>
      <c r="B130" s="135"/>
      <c r="C130" s="136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8"/>
    </row>
    <row r="131">
      <c r="A131" s="134"/>
      <c r="B131" s="135"/>
      <c r="C131" s="136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8"/>
    </row>
    <row r="132">
      <c r="A132" s="134"/>
      <c r="B132" s="135"/>
      <c r="C132" s="136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8"/>
    </row>
    <row r="133">
      <c r="A133" s="134"/>
      <c r="B133" s="135"/>
      <c r="C133" s="136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8"/>
    </row>
    <row r="134">
      <c r="A134" s="134"/>
      <c r="B134" s="135"/>
      <c r="C134" s="136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8"/>
    </row>
    <row r="135">
      <c r="A135" s="134"/>
      <c r="B135" s="135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8"/>
    </row>
    <row r="136">
      <c r="A136" s="134"/>
      <c r="B136" s="135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8"/>
    </row>
    <row r="137">
      <c r="A137" s="134"/>
      <c r="B137" s="135"/>
      <c r="C137" s="136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8"/>
    </row>
    <row r="138">
      <c r="A138" s="134"/>
      <c r="B138" s="135"/>
      <c r="C138" s="136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8"/>
    </row>
    <row r="139">
      <c r="A139" s="134"/>
      <c r="B139" s="135"/>
      <c r="C139" s="136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8"/>
    </row>
    <row r="140">
      <c r="A140" s="134"/>
      <c r="B140" s="135"/>
      <c r="C140" s="136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8"/>
    </row>
    <row r="141">
      <c r="A141" s="134"/>
      <c r="B141" s="135"/>
      <c r="C141" s="136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8"/>
    </row>
    <row r="142">
      <c r="A142" s="134"/>
      <c r="B142" s="135"/>
      <c r="C142" s="136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8"/>
    </row>
    <row r="143">
      <c r="A143" s="134"/>
      <c r="B143" s="135"/>
      <c r="C143" s="136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8"/>
    </row>
    <row r="144">
      <c r="A144" s="134"/>
      <c r="B144" s="135"/>
      <c r="C144" s="136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8"/>
    </row>
    <row r="145">
      <c r="A145" s="134"/>
      <c r="B145" s="135"/>
      <c r="C145" s="136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8"/>
    </row>
    <row r="146">
      <c r="A146" s="134"/>
      <c r="B146" s="135"/>
      <c r="C146" s="136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8"/>
    </row>
    <row r="147">
      <c r="A147" s="134"/>
      <c r="B147" s="135"/>
      <c r="C147" s="136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8"/>
    </row>
    <row r="148">
      <c r="A148" s="134"/>
      <c r="B148" s="135"/>
      <c r="C148" s="136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8"/>
    </row>
    <row r="149">
      <c r="A149" s="134"/>
      <c r="B149" s="135"/>
      <c r="C149" s="136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8"/>
    </row>
    <row r="150">
      <c r="A150" s="134"/>
      <c r="B150" s="135"/>
      <c r="C150" s="136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8"/>
    </row>
    <row r="151">
      <c r="A151" s="134"/>
      <c r="B151" s="135"/>
      <c r="C151" s="136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8"/>
    </row>
    <row r="152">
      <c r="A152" s="134"/>
      <c r="B152" s="135"/>
      <c r="C152" s="136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8"/>
    </row>
    <row r="153">
      <c r="A153" s="134"/>
      <c r="B153" s="135"/>
      <c r="C153" s="136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8"/>
    </row>
    <row r="154">
      <c r="A154" s="134"/>
      <c r="B154" s="135"/>
      <c r="C154" s="136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8"/>
    </row>
    <row r="155">
      <c r="A155" s="134"/>
      <c r="B155" s="135"/>
      <c r="C155" s="136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8"/>
    </row>
    <row r="156">
      <c r="A156" s="134"/>
      <c r="B156" s="135"/>
      <c r="C156" s="136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8"/>
    </row>
    <row r="157">
      <c r="A157" s="134"/>
      <c r="B157" s="135"/>
      <c r="C157" s="136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8"/>
    </row>
    <row r="158">
      <c r="A158" s="134"/>
      <c r="B158" s="135"/>
      <c r="C158" s="136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8"/>
    </row>
    <row r="159">
      <c r="A159" s="134"/>
      <c r="B159" s="135"/>
      <c r="C159" s="136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8"/>
    </row>
    <row r="160">
      <c r="A160" s="134"/>
      <c r="B160" s="135"/>
      <c r="C160" s="136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8"/>
    </row>
    <row r="161">
      <c r="A161" s="134"/>
      <c r="B161" s="135"/>
      <c r="C161" s="136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8"/>
    </row>
    <row r="162">
      <c r="A162" s="134"/>
      <c r="B162" s="135"/>
      <c r="C162" s="136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8"/>
    </row>
    <row r="163">
      <c r="A163" s="134"/>
      <c r="B163" s="135"/>
      <c r="C163" s="136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8"/>
    </row>
    <row r="164">
      <c r="A164" s="134"/>
      <c r="B164" s="135"/>
      <c r="C164" s="136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8"/>
    </row>
    <row r="165">
      <c r="A165" s="134"/>
      <c r="B165" s="135"/>
      <c r="C165" s="136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8"/>
    </row>
    <row r="166">
      <c r="A166" s="134"/>
      <c r="B166" s="135"/>
      <c r="C166" s="136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8"/>
    </row>
    <row r="167">
      <c r="A167" s="134"/>
      <c r="B167" s="135"/>
      <c r="C167" s="136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8"/>
    </row>
    <row r="168">
      <c r="A168" s="134"/>
      <c r="B168" s="135"/>
      <c r="C168" s="136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8"/>
    </row>
    <row r="169">
      <c r="A169" s="134"/>
      <c r="B169" s="135"/>
      <c r="C169" s="136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8"/>
    </row>
    <row r="170">
      <c r="A170" s="134"/>
      <c r="B170" s="135"/>
      <c r="C170" s="136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8"/>
    </row>
    <row r="171">
      <c r="A171" s="134"/>
      <c r="B171" s="135"/>
      <c r="C171" s="136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8"/>
    </row>
    <row r="172">
      <c r="A172" s="134"/>
      <c r="B172" s="135"/>
      <c r="C172" s="136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8"/>
    </row>
    <row r="173">
      <c r="A173" s="134"/>
      <c r="B173" s="135"/>
      <c r="C173" s="136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8"/>
    </row>
    <row r="174">
      <c r="A174" s="134"/>
      <c r="B174" s="135"/>
      <c r="C174" s="136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8"/>
    </row>
    <row r="175">
      <c r="A175" s="134"/>
      <c r="B175" s="135"/>
      <c r="C175" s="136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8"/>
    </row>
    <row r="176">
      <c r="A176" s="134"/>
      <c r="B176" s="135"/>
      <c r="C176" s="136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8"/>
    </row>
    <row r="177">
      <c r="A177" s="134"/>
      <c r="B177" s="135"/>
      <c r="C177" s="136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8"/>
    </row>
    <row r="178">
      <c r="A178" s="134"/>
      <c r="B178" s="135"/>
      <c r="C178" s="136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8"/>
    </row>
    <row r="179">
      <c r="A179" s="134"/>
      <c r="B179" s="135"/>
      <c r="C179" s="136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8"/>
    </row>
    <row r="180">
      <c r="A180" s="134"/>
      <c r="B180" s="135"/>
      <c r="C180" s="136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8"/>
    </row>
    <row r="181">
      <c r="A181" s="134"/>
      <c r="B181" s="135"/>
      <c r="C181" s="136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8"/>
    </row>
    <row r="182">
      <c r="A182" s="134"/>
      <c r="B182" s="135"/>
      <c r="C182" s="136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8"/>
    </row>
    <row r="183">
      <c r="A183" s="134"/>
      <c r="B183" s="135"/>
      <c r="C183" s="136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8"/>
    </row>
    <row r="184">
      <c r="A184" s="134"/>
      <c r="B184" s="135"/>
      <c r="C184" s="136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8"/>
    </row>
    <row r="185">
      <c r="A185" s="134"/>
      <c r="B185" s="135"/>
      <c r="C185" s="136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8"/>
    </row>
    <row r="186">
      <c r="A186" s="134"/>
      <c r="B186" s="135"/>
      <c r="C186" s="136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8"/>
    </row>
    <row r="187">
      <c r="A187" s="134"/>
      <c r="B187" s="135"/>
      <c r="C187" s="136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8"/>
    </row>
    <row r="188">
      <c r="A188" s="134"/>
      <c r="B188" s="135"/>
      <c r="C188" s="136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8"/>
    </row>
    <row r="189">
      <c r="A189" s="134"/>
      <c r="B189" s="135"/>
      <c r="C189" s="136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8"/>
    </row>
    <row r="190">
      <c r="A190" s="134"/>
      <c r="B190" s="135"/>
      <c r="C190" s="136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8"/>
    </row>
    <row r="191">
      <c r="A191" s="134"/>
      <c r="B191" s="135"/>
      <c r="C191" s="136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8"/>
    </row>
    <row r="192">
      <c r="A192" s="134"/>
      <c r="B192" s="135"/>
      <c r="C192" s="136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8"/>
    </row>
    <row r="193">
      <c r="A193" s="134"/>
      <c r="B193" s="135"/>
      <c r="C193" s="136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8"/>
    </row>
    <row r="194">
      <c r="A194" s="134"/>
      <c r="B194" s="135"/>
      <c r="C194" s="136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8"/>
    </row>
    <row r="195">
      <c r="A195" s="134"/>
      <c r="B195" s="135"/>
      <c r="C195" s="136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8"/>
    </row>
    <row r="196">
      <c r="A196" s="134"/>
      <c r="B196" s="135"/>
      <c r="C196" s="136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8"/>
    </row>
    <row r="197">
      <c r="A197" s="134"/>
      <c r="B197" s="135"/>
      <c r="C197" s="136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8"/>
    </row>
    <row r="198">
      <c r="A198" s="134"/>
      <c r="B198" s="135"/>
      <c r="C198" s="136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8"/>
    </row>
    <row r="199">
      <c r="A199" s="134"/>
      <c r="B199" s="135"/>
      <c r="C199" s="136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8"/>
    </row>
    <row r="200">
      <c r="A200" s="134"/>
      <c r="B200" s="135"/>
      <c r="C200" s="136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8"/>
    </row>
    <row r="201">
      <c r="A201" s="134"/>
      <c r="B201" s="135"/>
      <c r="C201" s="136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8"/>
    </row>
    <row r="202">
      <c r="A202" s="134"/>
      <c r="B202" s="135"/>
      <c r="C202" s="136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8"/>
    </row>
    <row r="203">
      <c r="A203" s="134"/>
      <c r="B203" s="135"/>
      <c r="C203" s="136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8"/>
    </row>
    <row r="204">
      <c r="A204" s="134"/>
      <c r="B204" s="135"/>
      <c r="C204" s="136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8"/>
    </row>
    <row r="205">
      <c r="A205" s="134"/>
      <c r="B205" s="135"/>
      <c r="C205" s="136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8"/>
    </row>
    <row r="206">
      <c r="A206" s="134"/>
      <c r="B206" s="135"/>
      <c r="C206" s="136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8"/>
    </row>
    <row r="207">
      <c r="A207" s="134"/>
      <c r="B207" s="135"/>
      <c r="C207" s="136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8"/>
    </row>
    <row r="208">
      <c r="A208" s="134"/>
      <c r="B208" s="135"/>
      <c r="C208" s="136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8"/>
    </row>
    <row r="209">
      <c r="A209" s="134"/>
      <c r="B209" s="135"/>
      <c r="C209" s="136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8"/>
    </row>
    <row r="210">
      <c r="A210" s="134"/>
      <c r="B210" s="135"/>
      <c r="C210" s="136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8"/>
    </row>
    <row r="211">
      <c r="A211" s="134"/>
      <c r="B211" s="135"/>
      <c r="C211" s="136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8"/>
    </row>
    <row r="212">
      <c r="A212" s="134"/>
      <c r="B212" s="135"/>
      <c r="C212" s="136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8"/>
    </row>
    <row r="213">
      <c r="A213" s="134"/>
      <c r="B213" s="135"/>
      <c r="C213" s="136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8"/>
    </row>
    <row r="214">
      <c r="A214" s="134"/>
      <c r="B214" s="135"/>
      <c r="C214" s="136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8"/>
    </row>
    <row r="215">
      <c r="A215" s="134"/>
      <c r="B215" s="135"/>
      <c r="C215" s="136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8"/>
    </row>
    <row r="216">
      <c r="A216" s="134"/>
      <c r="B216" s="135"/>
      <c r="C216" s="136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8"/>
    </row>
    <row r="217">
      <c r="A217" s="134"/>
      <c r="B217" s="135"/>
      <c r="C217" s="136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8"/>
    </row>
    <row r="218">
      <c r="A218" s="134"/>
      <c r="B218" s="135"/>
      <c r="C218" s="136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8"/>
    </row>
    <row r="219">
      <c r="A219" s="134"/>
      <c r="B219" s="135"/>
      <c r="C219" s="136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8"/>
    </row>
    <row r="220">
      <c r="A220" s="134"/>
      <c r="B220" s="135"/>
      <c r="C220" s="136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8"/>
    </row>
    <row r="221">
      <c r="A221" s="134"/>
      <c r="B221" s="135"/>
      <c r="C221" s="136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8"/>
    </row>
    <row r="222">
      <c r="A222" s="134"/>
      <c r="B222" s="135"/>
      <c r="C222" s="136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8"/>
    </row>
    <row r="223">
      <c r="A223" s="134"/>
      <c r="B223" s="135"/>
      <c r="C223" s="136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8"/>
    </row>
    <row r="224">
      <c r="A224" s="134"/>
      <c r="B224" s="135"/>
      <c r="C224" s="136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8"/>
    </row>
    <row r="225">
      <c r="A225" s="134"/>
      <c r="B225" s="135"/>
      <c r="C225" s="136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8"/>
    </row>
    <row r="226">
      <c r="A226" s="134"/>
      <c r="B226" s="135"/>
      <c r="C226" s="136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8"/>
    </row>
    <row r="227">
      <c r="A227" s="134"/>
      <c r="B227" s="135"/>
      <c r="C227" s="136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8"/>
    </row>
    <row r="228">
      <c r="A228" s="134"/>
      <c r="B228" s="135"/>
      <c r="C228" s="136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8"/>
    </row>
    <row r="229">
      <c r="A229" s="134"/>
      <c r="B229" s="135"/>
      <c r="C229" s="136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8"/>
    </row>
    <row r="230">
      <c r="A230" s="134"/>
      <c r="B230" s="135"/>
      <c r="C230" s="136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8"/>
    </row>
    <row r="231">
      <c r="A231" s="134"/>
      <c r="B231" s="135"/>
      <c r="C231" s="136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8"/>
    </row>
    <row r="232">
      <c r="A232" s="134"/>
      <c r="B232" s="135"/>
      <c r="C232" s="136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8"/>
    </row>
    <row r="233">
      <c r="A233" s="134"/>
      <c r="B233" s="135"/>
      <c r="C233" s="136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8"/>
    </row>
    <row r="234">
      <c r="A234" s="134"/>
      <c r="B234" s="135"/>
      <c r="C234" s="136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8"/>
    </row>
    <row r="235">
      <c r="A235" s="134"/>
      <c r="B235" s="135"/>
      <c r="C235" s="136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8"/>
    </row>
    <row r="236">
      <c r="A236" s="134"/>
      <c r="B236" s="135"/>
      <c r="C236" s="136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8"/>
    </row>
    <row r="237">
      <c r="A237" s="134"/>
      <c r="B237" s="135"/>
      <c r="C237" s="136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8"/>
    </row>
    <row r="238">
      <c r="A238" s="134"/>
      <c r="B238" s="135"/>
      <c r="C238" s="136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8"/>
    </row>
    <row r="239">
      <c r="A239" s="134"/>
      <c r="B239" s="135"/>
      <c r="C239" s="136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8"/>
    </row>
    <row r="240">
      <c r="A240" s="134"/>
      <c r="B240" s="135"/>
      <c r="C240" s="136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8"/>
    </row>
    <row r="241">
      <c r="A241" s="134"/>
      <c r="B241" s="135"/>
      <c r="C241" s="136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8"/>
    </row>
    <row r="242">
      <c r="A242" s="134"/>
      <c r="B242" s="135"/>
      <c r="C242" s="136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8"/>
    </row>
    <row r="243">
      <c r="A243" s="134"/>
      <c r="B243" s="135"/>
      <c r="C243" s="136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8"/>
    </row>
    <row r="244">
      <c r="A244" s="134"/>
      <c r="B244" s="135"/>
      <c r="C244" s="136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8"/>
    </row>
    <row r="245">
      <c r="A245" s="134"/>
      <c r="B245" s="135"/>
      <c r="C245" s="136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8"/>
    </row>
    <row r="246">
      <c r="A246" s="134"/>
      <c r="B246" s="135"/>
      <c r="C246" s="136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8"/>
    </row>
    <row r="247">
      <c r="A247" s="134"/>
      <c r="B247" s="135"/>
      <c r="C247" s="136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8"/>
    </row>
    <row r="248">
      <c r="A248" s="134"/>
      <c r="B248" s="135"/>
      <c r="C248" s="136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8"/>
    </row>
    <row r="249">
      <c r="A249" s="134"/>
      <c r="B249" s="135"/>
      <c r="C249" s="136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8"/>
    </row>
    <row r="250">
      <c r="A250" s="134"/>
      <c r="B250" s="135"/>
      <c r="C250" s="136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8"/>
    </row>
    <row r="251">
      <c r="A251" s="134"/>
      <c r="B251" s="135"/>
      <c r="C251" s="136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8"/>
    </row>
    <row r="252">
      <c r="A252" s="134"/>
      <c r="B252" s="135"/>
      <c r="C252" s="136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8"/>
    </row>
    <row r="253">
      <c r="A253" s="134"/>
      <c r="B253" s="135"/>
      <c r="C253" s="136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8"/>
    </row>
    <row r="254">
      <c r="A254" s="134"/>
      <c r="B254" s="135"/>
      <c r="C254" s="136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8"/>
    </row>
    <row r="255">
      <c r="A255" s="134"/>
      <c r="B255" s="135"/>
      <c r="C255" s="136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8"/>
    </row>
    <row r="256">
      <c r="A256" s="134"/>
      <c r="B256" s="135"/>
      <c r="C256" s="136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8"/>
    </row>
    <row r="257">
      <c r="A257" s="134"/>
      <c r="B257" s="135"/>
      <c r="C257" s="136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8"/>
    </row>
    <row r="258">
      <c r="A258" s="134"/>
      <c r="B258" s="135"/>
      <c r="C258" s="136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8"/>
    </row>
    <row r="259">
      <c r="A259" s="134"/>
      <c r="B259" s="135"/>
      <c r="C259" s="136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8"/>
    </row>
    <row r="260">
      <c r="A260" s="134"/>
      <c r="B260" s="135"/>
      <c r="C260" s="136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8"/>
    </row>
    <row r="261">
      <c r="A261" s="134"/>
      <c r="B261" s="135"/>
      <c r="C261" s="136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8"/>
    </row>
    <row r="262">
      <c r="A262" s="134"/>
      <c r="B262" s="135"/>
      <c r="C262" s="136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8"/>
    </row>
    <row r="263">
      <c r="A263" s="134"/>
      <c r="B263" s="135"/>
      <c r="C263" s="136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8"/>
    </row>
    <row r="264">
      <c r="A264" s="134"/>
      <c r="B264" s="135"/>
      <c r="C264" s="136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8"/>
    </row>
    <row r="265">
      <c r="A265" s="134"/>
      <c r="B265" s="135"/>
      <c r="C265" s="136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8"/>
    </row>
    <row r="266">
      <c r="A266" s="134"/>
      <c r="B266" s="135"/>
      <c r="C266" s="136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8"/>
    </row>
    <row r="267">
      <c r="A267" s="134"/>
      <c r="B267" s="135"/>
      <c r="C267" s="136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8"/>
    </row>
    <row r="268">
      <c r="A268" s="134"/>
      <c r="B268" s="135"/>
      <c r="C268" s="136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8"/>
    </row>
    <row r="269">
      <c r="A269" s="134"/>
      <c r="B269" s="135"/>
      <c r="C269" s="136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8"/>
    </row>
    <row r="270">
      <c r="A270" s="134"/>
      <c r="B270" s="135"/>
      <c r="C270" s="136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8"/>
    </row>
    <row r="271">
      <c r="A271" s="134"/>
      <c r="B271" s="135"/>
      <c r="C271" s="136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8"/>
    </row>
    <row r="272">
      <c r="A272" s="134"/>
      <c r="B272" s="135"/>
      <c r="C272" s="136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8"/>
    </row>
    <row r="273">
      <c r="A273" s="134"/>
      <c r="B273" s="135"/>
      <c r="C273" s="136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8"/>
    </row>
    <row r="274">
      <c r="A274" s="134"/>
      <c r="B274" s="135"/>
      <c r="C274" s="136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8"/>
    </row>
    <row r="275">
      <c r="A275" s="134"/>
      <c r="B275" s="135"/>
      <c r="C275" s="136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8"/>
    </row>
    <row r="276">
      <c r="A276" s="134"/>
      <c r="B276" s="135"/>
      <c r="C276" s="136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8"/>
    </row>
    <row r="277">
      <c r="A277" s="134"/>
      <c r="B277" s="135"/>
      <c r="C277" s="136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8"/>
    </row>
    <row r="278">
      <c r="A278" s="134"/>
      <c r="B278" s="135"/>
      <c r="C278" s="136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8"/>
    </row>
    <row r="279">
      <c r="A279" s="134"/>
      <c r="B279" s="135"/>
      <c r="C279" s="136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8"/>
    </row>
    <row r="280">
      <c r="A280" s="134"/>
      <c r="B280" s="135"/>
      <c r="C280" s="136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8"/>
    </row>
    <row r="281">
      <c r="A281" s="134"/>
      <c r="B281" s="135"/>
      <c r="C281" s="136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8"/>
    </row>
    <row r="282">
      <c r="A282" s="134"/>
      <c r="B282" s="135"/>
      <c r="C282" s="136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8"/>
    </row>
    <row r="283">
      <c r="A283" s="134"/>
      <c r="B283" s="135"/>
      <c r="C283" s="136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8"/>
    </row>
    <row r="284">
      <c r="A284" s="134"/>
      <c r="B284" s="135"/>
      <c r="C284" s="136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8"/>
    </row>
    <row r="285">
      <c r="A285" s="134"/>
      <c r="B285" s="135"/>
      <c r="C285" s="136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8"/>
    </row>
    <row r="286">
      <c r="A286" s="134"/>
      <c r="B286" s="135"/>
      <c r="C286" s="136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  <c r="O286" s="138"/>
    </row>
    <row r="287">
      <c r="A287" s="134"/>
      <c r="B287" s="135"/>
      <c r="C287" s="136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8"/>
    </row>
    <row r="288">
      <c r="A288" s="134"/>
      <c r="B288" s="135"/>
      <c r="C288" s="136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8"/>
    </row>
    <row r="289">
      <c r="A289" s="134"/>
      <c r="B289" s="135"/>
      <c r="C289" s="136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  <c r="O289" s="138"/>
    </row>
    <row r="290">
      <c r="A290" s="134"/>
      <c r="B290" s="135"/>
      <c r="C290" s="136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8"/>
    </row>
    <row r="291">
      <c r="A291" s="134"/>
      <c r="B291" s="135"/>
      <c r="C291" s="136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8"/>
    </row>
    <row r="292">
      <c r="A292" s="134"/>
      <c r="B292" s="135"/>
      <c r="C292" s="136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  <c r="O292" s="138"/>
    </row>
    <row r="293">
      <c r="A293" s="134"/>
      <c r="B293" s="135"/>
      <c r="C293" s="136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8"/>
    </row>
    <row r="294">
      <c r="A294" s="134"/>
      <c r="B294" s="135"/>
      <c r="C294" s="136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  <c r="O294" s="138"/>
    </row>
    <row r="295">
      <c r="A295" s="134"/>
      <c r="B295" s="135"/>
      <c r="C295" s="136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  <c r="O295" s="138"/>
    </row>
    <row r="296">
      <c r="A296" s="134"/>
      <c r="B296" s="135"/>
      <c r="C296" s="136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  <c r="O296" s="138"/>
    </row>
    <row r="297">
      <c r="A297" s="134"/>
      <c r="B297" s="135"/>
      <c r="C297" s="136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  <c r="O297" s="138"/>
    </row>
    <row r="298">
      <c r="A298" s="134"/>
      <c r="B298" s="135"/>
      <c r="C298" s="136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  <c r="O298" s="138"/>
    </row>
    <row r="299">
      <c r="A299" s="134"/>
      <c r="B299" s="135"/>
      <c r="C299" s="136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  <c r="O299" s="138"/>
    </row>
    <row r="300">
      <c r="A300" s="134"/>
      <c r="B300" s="135"/>
      <c r="C300" s="136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8"/>
    </row>
    <row r="301">
      <c r="A301" s="134"/>
      <c r="B301" s="135"/>
      <c r="C301" s="136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8"/>
    </row>
    <row r="302">
      <c r="A302" s="134"/>
      <c r="B302" s="135"/>
      <c r="C302" s="136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  <c r="O302" s="138"/>
    </row>
    <row r="303">
      <c r="A303" s="134"/>
      <c r="B303" s="135"/>
      <c r="C303" s="136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  <c r="O303" s="138"/>
    </row>
    <row r="304">
      <c r="A304" s="134"/>
      <c r="B304" s="135"/>
      <c r="C304" s="136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8"/>
    </row>
    <row r="305">
      <c r="A305" s="134"/>
      <c r="B305" s="135"/>
      <c r="C305" s="136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  <c r="O305" s="138"/>
    </row>
    <row r="306">
      <c r="A306" s="134"/>
      <c r="B306" s="135"/>
      <c r="C306" s="136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  <c r="O306" s="138"/>
    </row>
    <row r="307">
      <c r="A307" s="134"/>
      <c r="B307" s="135"/>
      <c r="C307" s="136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8"/>
    </row>
    <row r="308">
      <c r="A308" s="134"/>
      <c r="B308" s="135"/>
      <c r="C308" s="136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  <c r="O308" s="138"/>
    </row>
    <row r="309">
      <c r="A309" s="134"/>
      <c r="B309" s="135"/>
      <c r="C309" s="136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8"/>
    </row>
    <row r="310">
      <c r="A310" s="134"/>
      <c r="B310" s="135"/>
      <c r="C310" s="136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  <c r="O310" s="138"/>
    </row>
    <row r="311">
      <c r="A311" s="134"/>
      <c r="B311" s="135"/>
      <c r="C311" s="136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8"/>
    </row>
    <row r="312">
      <c r="A312" s="134"/>
      <c r="B312" s="135"/>
      <c r="C312" s="136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8"/>
    </row>
    <row r="313">
      <c r="A313" s="134"/>
      <c r="B313" s="135"/>
      <c r="C313" s="136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  <c r="O313" s="138"/>
    </row>
    <row r="314">
      <c r="A314" s="134"/>
      <c r="B314" s="135"/>
      <c r="C314" s="136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  <c r="O314" s="138"/>
    </row>
    <row r="315">
      <c r="A315" s="134"/>
      <c r="B315" s="135"/>
      <c r="C315" s="136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  <c r="O315" s="138"/>
    </row>
    <row r="316">
      <c r="A316" s="134"/>
      <c r="B316" s="135"/>
      <c r="C316" s="136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  <c r="O316" s="138"/>
    </row>
    <row r="317">
      <c r="A317" s="134"/>
      <c r="B317" s="135"/>
      <c r="C317" s="136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8"/>
    </row>
    <row r="318">
      <c r="A318" s="134"/>
      <c r="B318" s="135"/>
      <c r="C318" s="136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8"/>
    </row>
    <row r="319">
      <c r="A319" s="134"/>
      <c r="B319" s="135"/>
      <c r="C319" s="136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8"/>
    </row>
    <row r="320">
      <c r="A320" s="134"/>
      <c r="B320" s="135"/>
      <c r="C320" s="136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8"/>
    </row>
    <row r="321">
      <c r="A321" s="134"/>
      <c r="B321" s="135"/>
      <c r="C321" s="136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8"/>
    </row>
    <row r="322">
      <c r="A322" s="134"/>
      <c r="B322" s="135"/>
      <c r="C322" s="136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8"/>
    </row>
    <row r="323">
      <c r="A323" s="134"/>
      <c r="B323" s="135"/>
      <c r="C323" s="136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8"/>
    </row>
    <row r="324">
      <c r="A324" s="134"/>
      <c r="B324" s="135"/>
      <c r="C324" s="136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  <c r="O324" s="138"/>
    </row>
    <row r="325">
      <c r="A325" s="134"/>
      <c r="B325" s="135"/>
      <c r="C325" s="136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8"/>
    </row>
    <row r="326">
      <c r="A326" s="134"/>
      <c r="B326" s="135"/>
      <c r="C326" s="136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  <c r="O326" s="138"/>
    </row>
    <row r="327">
      <c r="A327" s="134"/>
      <c r="B327" s="135"/>
      <c r="C327" s="136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  <c r="O327" s="138"/>
    </row>
    <row r="328">
      <c r="A328" s="134"/>
      <c r="B328" s="135"/>
      <c r="C328" s="136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  <c r="O328" s="138"/>
    </row>
    <row r="329">
      <c r="A329" s="134"/>
      <c r="B329" s="135"/>
      <c r="C329" s="136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8"/>
    </row>
    <row r="330">
      <c r="A330" s="134"/>
      <c r="B330" s="135"/>
      <c r="C330" s="136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8"/>
    </row>
    <row r="331">
      <c r="A331" s="134"/>
      <c r="B331" s="135"/>
      <c r="C331" s="136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  <c r="O331" s="138"/>
    </row>
    <row r="332">
      <c r="A332" s="134"/>
      <c r="B332" s="135"/>
      <c r="C332" s="136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  <c r="O332" s="138"/>
    </row>
    <row r="333">
      <c r="A333" s="134"/>
      <c r="B333" s="135"/>
      <c r="C333" s="136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  <c r="O333" s="138"/>
    </row>
    <row r="334">
      <c r="A334" s="134"/>
      <c r="B334" s="135"/>
      <c r="C334" s="136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  <c r="O334" s="138"/>
    </row>
    <row r="335">
      <c r="A335" s="134"/>
      <c r="B335" s="135"/>
      <c r="C335" s="136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8"/>
    </row>
    <row r="336">
      <c r="A336" s="134"/>
      <c r="B336" s="135"/>
      <c r="C336" s="136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  <c r="O336" s="138"/>
    </row>
    <row r="337">
      <c r="A337" s="134"/>
      <c r="B337" s="135"/>
      <c r="C337" s="136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  <c r="O337" s="138"/>
    </row>
    <row r="338">
      <c r="A338" s="134"/>
      <c r="B338" s="135"/>
      <c r="C338" s="136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8"/>
    </row>
    <row r="339">
      <c r="A339" s="134"/>
      <c r="B339" s="135"/>
      <c r="C339" s="136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  <c r="O339" s="138"/>
    </row>
    <row r="340">
      <c r="A340" s="134"/>
      <c r="B340" s="135"/>
      <c r="C340" s="136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  <c r="O340" s="138"/>
    </row>
    <row r="341">
      <c r="A341" s="134"/>
      <c r="B341" s="135"/>
      <c r="C341" s="136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8"/>
    </row>
    <row r="342">
      <c r="A342" s="134"/>
      <c r="B342" s="135"/>
      <c r="C342" s="136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8"/>
    </row>
    <row r="343">
      <c r="A343" s="134"/>
      <c r="B343" s="135"/>
      <c r="C343" s="136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8"/>
    </row>
    <row r="344">
      <c r="A344" s="134"/>
      <c r="B344" s="135"/>
      <c r="C344" s="136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8"/>
    </row>
    <row r="345">
      <c r="A345" s="134"/>
      <c r="B345" s="135"/>
      <c r="C345" s="136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8"/>
    </row>
    <row r="346">
      <c r="A346" s="134"/>
      <c r="B346" s="135"/>
      <c r="C346" s="136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8"/>
    </row>
    <row r="347">
      <c r="A347" s="134"/>
      <c r="B347" s="135"/>
      <c r="C347" s="136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8"/>
    </row>
    <row r="348">
      <c r="A348" s="134"/>
      <c r="B348" s="135"/>
      <c r="C348" s="136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8"/>
    </row>
    <row r="349">
      <c r="A349" s="134"/>
      <c r="B349" s="135"/>
      <c r="C349" s="136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8"/>
    </row>
    <row r="350">
      <c r="A350" s="134"/>
      <c r="B350" s="135"/>
      <c r="C350" s="136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8"/>
    </row>
    <row r="351">
      <c r="A351" s="134"/>
      <c r="B351" s="135"/>
      <c r="C351" s="136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8"/>
    </row>
    <row r="352">
      <c r="A352" s="134"/>
      <c r="B352" s="135"/>
      <c r="C352" s="136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8"/>
    </row>
    <row r="353">
      <c r="A353" s="134"/>
      <c r="B353" s="135"/>
      <c r="C353" s="136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8"/>
    </row>
    <row r="354">
      <c r="A354" s="134"/>
      <c r="B354" s="135"/>
      <c r="C354" s="136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  <c r="O354" s="138"/>
    </row>
    <row r="355">
      <c r="A355" s="134"/>
      <c r="B355" s="135"/>
      <c r="C355" s="136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8"/>
    </row>
    <row r="356">
      <c r="A356" s="134"/>
      <c r="B356" s="135"/>
      <c r="C356" s="136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8"/>
    </row>
    <row r="357">
      <c r="A357" s="134"/>
      <c r="B357" s="135"/>
      <c r="C357" s="136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8"/>
    </row>
    <row r="358">
      <c r="A358" s="134"/>
      <c r="B358" s="135"/>
      <c r="C358" s="136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8"/>
    </row>
    <row r="359">
      <c r="A359" s="134"/>
      <c r="B359" s="135"/>
      <c r="C359" s="136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8"/>
    </row>
    <row r="360">
      <c r="A360" s="134"/>
      <c r="B360" s="135"/>
      <c r="C360" s="136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8"/>
    </row>
    <row r="361">
      <c r="A361" s="134"/>
      <c r="B361" s="135"/>
      <c r="C361" s="136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  <c r="O361" s="138"/>
    </row>
    <row r="362">
      <c r="A362" s="134"/>
      <c r="B362" s="135"/>
      <c r="C362" s="136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  <c r="O362" s="138"/>
    </row>
    <row r="363">
      <c r="A363" s="134"/>
      <c r="B363" s="135"/>
      <c r="C363" s="136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8"/>
    </row>
    <row r="364">
      <c r="A364" s="134"/>
      <c r="B364" s="135"/>
      <c r="C364" s="136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8"/>
    </row>
    <row r="365">
      <c r="A365" s="134"/>
      <c r="B365" s="135"/>
      <c r="C365" s="136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8"/>
    </row>
    <row r="366">
      <c r="A366" s="134"/>
      <c r="B366" s="135"/>
      <c r="C366" s="136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8"/>
    </row>
    <row r="367">
      <c r="A367" s="134"/>
      <c r="B367" s="135"/>
      <c r="C367" s="136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  <c r="O367" s="138"/>
    </row>
    <row r="368">
      <c r="A368" s="134"/>
      <c r="B368" s="135"/>
      <c r="C368" s="136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  <c r="O368" s="138"/>
    </row>
    <row r="369">
      <c r="A369" s="134"/>
      <c r="B369" s="135"/>
      <c r="C369" s="136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8"/>
    </row>
    <row r="370">
      <c r="A370" s="134"/>
      <c r="B370" s="135"/>
      <c r="C370" s="136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  <c r="O370" s="138"/>
    </row>
    <row r="371">
      <c r="A371" s="134"/>
      <c r="B371" s="135"/>
      <c r="C371" s="136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  <c r="O371" s="138"/>
    </row>
    <row r="372">
      <c r="A372" s="134"/>
      <c r="B372" s="135"/>
      <c r="C372" s="136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8"/>
    </row>
    <row r="373">
      <c r="A373" s="134"/>
      <c r="B373" s="135"/>
      <c r="C373" s="136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  <c r="O373" s="138"/>
    </row>
    <row r="374">
      <c r="A374" s="134"/>
      <c r="B374" s="135"/>
      <c r="C374" s="136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  <c r="O374" s="138"/>
    </row>
    <row r="375">
      <c r="A375" s="134"/>
      <c r="B375" s="135"/>
      <c r="C375" s="136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  <c r="O375" s="138"/>
    </row>
    <row r="376">
      <c r="A376" s="134"/>
      <c r="B376" s="135"/>
      <c r="C376" s="136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8"/>
    </row>
    <row r="377">
      <c r="A377" s="134"/>
      <c r="B377" s="135"/>
      <c r="C377" s="136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8"/>
    </row>
    <row r="378">
      <c r="A378" s="134"/>
      <c r="B378" s="135"/>
      <c r="C378" s="136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8"/>
    </row>
    <row r="379">
      <c r="A379" s="134"/>
      <c r="B379" s="135"/>
      <c r="C379" s="136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  <c r="O379" s="138"/>
    </row>
    <row r="380">
      <c r="A380" s="134"/>
      <c r="B380" s="135"/>
      <c r="C380" s="136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8"/>
    </row>
    <row r="381">
      <c r="A381" s="134"/>
      <c r="B381" s="135"/>
      <c r="C381" s="136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8"/>
    </row>
    <row r="382">
      <c r="A382" s="134"/>
      <c r="B382" s="135"/>
      <c r="C382" s="136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  <c r="O382" s="138"/>
    </row>
    <row r="383">
      <c r="A383" s="134"/>
      <c r="B383" s="135"/>
      <c r="C383" s="136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8"/>
    </row>
    <row r="384">
      <c r="A384" s="134"/>
      <c r="B384" s="135"/>
      <c r="C384" s="136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  <c r="O384" s="138"/>
    </row>
    <row r="385">
      <c r="A385" s="134"/>
      <c r="B385" s="135"/>
      <c r="C385" s="136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  <c r="O385" s="138"/>
    </row>
    <row r="386">
      <c r="A386" s="134"/>
      <c r="B386" s="135"/>
      <c r="C386" s="136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  <c r="O386" s="138"/>
    </row>
    <row r="387">
      <c r="A387" s="134"/>
      <c r="B387" s="135"/>
      <c r="C387" s="136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8"/>
    </row>
    <row r="388">
      <c r="A388" s="134"/>
      <c r="B388" s="135"/>
      <c r="C388" s="136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  <c r="O388" s="138"/>
    </row>
    <row r="389">
      <c r="A389" s="134"/>
      <c r="B389" s="135"/>
      <c r="C389" s="136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  <c r="O389" s="138"/>
    </row>
    <row r="390">
      <c r="A390" s="134"/>
      <c r="B390" s="135"/>
      <c r="C390" s="136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  <c r="O390" s="138"/>
    </row>
    <row r="391">
      <c r="A391" s="134"/>
      <c r="B391" s="135"/>
      <c r="C391" s="136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  <c r="O391" s="138"/>
    </row>
    <row r="392">
      <c r="A392" s="134"/>
      <c r="B392" s="135"/>
      <c r="C392" s="136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  <c r="O392" s="138"/>
    </row>
    <row r="393">
      <c r="A393" s="134"/>
      <c r="B393" s="135"/>
      <c r="C393" s="136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8"/>
    </row>
    <row r="394">
      <c r="A394" s="134"/>
      <c r="B394" s="135"/>
      <c r="C394" s="136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8"/>
    </row>
    <row r="395">
      <c r="A395" s="134"/>
      <c r="B395" s="135"/>
      <c r="C395" s="136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  <c r="O395" s="138"/>
    </row>
    <row r="396">
      <c r="A396" s="134"/>
      <c r="B396" s="135"/>
      <c r="C396" s="136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8"/>
    </row>
    <row r="397">
      <c r="A397" s="134"/>
      <c r="B397" s="135"/>
      <c r="C397" s="136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8"/>
    </row>
    <row r="398">
      <c r="A398" s="134"/>
      <c r="B398" s="135"/>
      <c r="C398" s="136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  <c r="O398" s="138"/>
    </row>
    <row r="399">
      <c r="A399" s="134"/>
      <c r="B399" s="135"/>
      <c r="C399" s="136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  <c r="O399" s="138"/>
    </row>
    <row r="400">
      <c r="A400" s="134"/>
      <c r="B400" s="135"/>
      <c r="C400" s="136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8"/>
    </row>
    <row r="401">
      <c r="A401" s="134"/>
      <c r="B401" s="135"/>
      <c r="C401" s="136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8"/>
    </row>
    <row r="402">
      <c r="A402" s="134"/>
      <c r="B402" s="135"/>
      <c r="C402" s="136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8"/>
    </row>
    <row r="403">
      <c r="A403" s="134"/>
      <c r="B403" s="135"/>
      <c r="C403" s="136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  <c r="O403" s="138"/>
    </row>
    <row r="404">
      <c r="A404" s="134"/>
      <c r="B404" s="135"/>
      <c r="C404" s="136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  <c r="O404" s="138"/>
    </row>
    <row r="405">
      <c r="A405" s="134"/>
      <c r="B405" s="135"/>
      <c r="C405" s="136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  <c r="O405" s="138"/>
    </row>
    <row r="406">
      <c r="A406" s="134"/>
      <c r="B406" s="135"/>
      <c r="C406" s="136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8"/>
    </row>
    <row r="407">
      <c r="A407" s="134"/>
      <c r="B407" s="135"/>
      <c r="C407" s="136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  <c r="O407" s="138"/>
    </row>
    <row r="408">
      <c r="A408" s="134"/>
      <c r="B408" s="135"/>
      <c r="C408" s="136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  <c r="O408" s="138"/>
    </row>
    <row r="409">
      <c r="A409" s="134"/>
      <c r="B409" s="135"/>
      <c r="C409" s="136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8"/>
    </row>
    <row r="410">
      <c r="A410" s="134"/>
      <c r="B410" s="135"/>
      <c r="C410" s="136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8"/>
    </row>
    <row r="411">
      <c r="A411" s="134"/>
      <c r="B411" s="135"/>
      <c r="C411" s="136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8"/>
    </row>
    <row r="412">
      <c r="A412" s="134"/>
      <c r="B412" s="135"/>
      <c r="C412" s="136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8"/>
    </row>
    <row r="413">
      <c r="A413" s="134"/>
      <c r="B413" s="135"/>
      <c r="C413" s="136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8"/>
    </row>
    <row r="414">
      <c r="A414" s="134"/>
      <c r="B414" s="135"/>
      <c r="C414" s="136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8"/>
    </row>
    <row r="415">
      <c r="A415" s="134"/>
      <c r="B415" s="135"/>
      <c r="C415" s="136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8"/>
    </row>
    <row r="416">
      <c r="A416" s="134"/>
      <c r="B416" s="135"/>
      <c r="C416" s="136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8"/>
    </row>
    <row r="417">
      <c r="A417" s="134"/>
      <c r="B417" s="135"/>
      <c r="C417" s="136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8"/>
    </row>
    <row r="418">
      <c r="A418" s="134"/>
      <c r="B418" s="135"/>
      <c r="C418" s="136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8"/>
    </row>
    <row r="419">
      <c r="A419" s="134"/>
      <c r="B419" s="135"/>
      <c r="C419" s="136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8"/>
    </row>
    <row r="420">
      <c r="A420" s="134"/>
      <c r="B420" s="135"/>
      <c r="C420" s="136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8"/>
    </row>
    <row r="421">
      <c r="A421" s="134"/>
      <c r="B421" s="135"/>
      <c r="C421" s="136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8"/>
    </row>
    <row r="422">
      <c r="A422" s="134"/>
      <c r="B422" s="135"/>
      <c r="C422" s="136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8"/>
    </row>
    <row r="423">
      <c r="A423" s="134"/>
      <c r="B423" s="135"/>
      <c r="C423" s="136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8"/>
    </row>
    <row r="424">
      <c r="A424" s="134"/>
      <c r="B424" s="135"/>
      <c r="C424" s="136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8"/>
    </row>
    <row r="425">
      <c r="A425" s="134"/>
      <c r="B425" s="135"/>
      <c r="C425" s="136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8"/>
    </row>
    <row r="426">
      <c r="A426" s="134"/>
      <c r="B426" s="135"/>
      <c r="C426" s="136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8"/>
    </row>
    <row r="427">
      <c r="A427" s="134"/>
      <c r="B427" s="135"/>
      <c r="C427" s="136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8"/>
    </row>
    <row r="428">
      <c r="A428" s="134"/>
      <c r="B428" s="135"/>
      <c r="C428" s="136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8"/>
    </row>
    <row r="429">
      <c r="A429" s="134"/>
      <c r="B429" s="135"/>
      <c r="C429" s="136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8"/>
    </row>
    <row r="430">
      <c r="A430" s="134"/>
      <c r="B430" s="135"/>
      <c r="C430" s="136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8"/>
    </row>
    <row r="431">
      <c r="A431" s="134"/>
      <c r="B431" s="135"/>
      <c r="C431" s="136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8"/>
    </row>
    <row r="432">
      <c r="A432" s="134"/>
      <c r="B432" s="135"/>
      <c r="C432" s="136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8"/>
    </row>
    <row r="433">
      <c r="A433" s="134"/>
      <c r="B433" s="135"/>
      <c r="C433" s="136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8"/>
    </row>
    <row r="434">
      <c r="A434" s="134"/>
      <c r="B434" s="135"/>
      <c r="C434" s="136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8"/>
    </row>
    <row r="435">
      <c r="A435" s="134"/>
      <c r="B435" s="135"/>
      <c r="C435" s="136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8"/>
    </row>
    <row r="436">
      <c r="A436" s="134"/>
      <c r="B436" s="135"/>
      <c r="C436" s="136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8"/>
    </row>
    <row r="437">
      <c r="A437" s="134"/>
      <c r="B437" s="135"/>
      <c r="C437" s="136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8"/>
    </row>
    <row r="438">
      <c r="A438" s="134"/>
      <c r="B438" s="135"/>
      <c r="C438" s="136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8"/>
    </row>
    <row r="439">
      <c r="A439" s="134"/>
      <c r="B439" s="135"/>
      <c r="C439" s="136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8"/>
    </row>
    <row r="440">
      <c r="A440" s="134"/>
      <c r="B440" s="135"/>
      <c r="C440" s="136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8"/>
    </row>
    <row r="441">
      <c r="A441" s="134"/>
      <c r="B441" s="135"/>
      <c r="C441" s="136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8"/>
    </row>
    <row r="442">
      <c r="A442" s="134"/>
      <c r="B442" s="135"/>
      <c r="C442" s="136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8"/>
    </row>
    <row r="443">
      <c r="A443" s="134"/>
      <c r="B443" s="135"/>
      <c r="C443" s="136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8"/>
    </row>
    <row r="444">
      <c r="A444" s="134"/>
      <c r="B444" s="135"/>
      <c r="C444" s="136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8"/>
    </row>
    <row r="445">
      <c r="A445" s="134"/>
      <c r="B445" s="135"/>
      <c r="C445" s="136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8"/>
    </row>
    <row r="446">
      <c r="A446" s="134"/>
      <c r="B446" s="135"/>
      <c r="C446" s="136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8"/>
    </row>
    <row r="447">
      <c r="A447" s="134"/>
      <c r="B447" s="135"/>
      <c r="C447" s="136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8"/>
    </row>
    <row r="448">
      <c r="A448" s="134"/>
      <c r="B448" s="135"/>
      <c r="C448" s="136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8"/>
    </row>
    <row r="449">
      <c r="A449" s="134"/>
      <c r="B449" s="135"/>
      <c r="C449" s="136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8"/>
    </row>
    <row r="450">
      <c r="A450" s="134"/>
      <c r="B450" s="135"/>
      <c r="C450" s="136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8"/>
    </row>
    <row r="451">
      <c r="A451" s="134"/>
      <c r="B451" s="135"/>
      <c r="C451" s="136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8"/>
    </row>
    <row r="452">
      <c r="A452" s="134"/>
      <c r="B452" s="135"/>
      <c r="C452" s="136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8"/>
    </row>
    <row r="453">
      <c r="A453" s="134"/>
      <c r="B453" s="135"/>
      <c r="C453" s="136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8"/>
    </row>
    <row r="454">
      <c r="A454" s="134"/>
      <c r="B454" s="135"/>
      <c r="C454" s="136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8"/>
    </row>
    <row r="455">
      <c r="A455" s="134"/>
      <c r="B455" s="135"/>
      <c r="C455" s="136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8"/>
    </row>
    <row r="456">
      <c r="A456" s="134"/>
      <c r="B456" s="135"/>
      <c r="C456" s="136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8"/>
    </row>
    <row r="457">
      <c r="A457" s="134"/>
      <c r="B457" s="135"/>
      <c r="C457" s="136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8"/>
    </row>
    <row r="458">
      <c r="A458" s="134"/>
      <c r="B458" s="135"/>
      <c r="C458" s="136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8"/>
    </row>
    <row r="459">
      <c r="A459" s="134"/>
      <c r="B459" s="135"/>
      <c r="C459" s="136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8"/>
    </row>
    <row r="460">
      <c r="A460" s="134"/>
      <c r="B460" s="135"/>
      <c r="C460" s="136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8"/>
    </row>
    <row r="461">
      <c r="A461" s="134"/>
      <c r="B461" s="135"/>
      <c r="C461" s="136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8"/>
    </row>
    <row r="462">
      <c r="A462" s="134"/>
      <c r="B462" s="135"/>
      <c r="C462" s="136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8"/>
    </row>
    <row r="463">
      <c r="A463" s="134"/>
      <c r="B463" s="135"/>
      <c r="C463" s="136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8"/>
    </row>
    <row r="464">
      <c r="A464" s="134"/>
      <c r="B464" s="135"/>
      <c r="C464" s="136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8"/>
    </row>
    <row r="465">
      <c r="A465" s="134"/>
      <c r="B465" s="135"/>
      <c r="C465" s="136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8"/>
    </row>
    <row r="466">
      <c r="A466" s="134"/>
      <c r="B466" s="135"/>
      <c r="C466" s="136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8"/>
    </row>
    <row r="467">
      <c r="A467" s="134"/>
      <c r="B467" s="135"/>
      <c r="C467" s="136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8"/>
    </row>
    <row r="468">
      <c r="A468" s="134"/>
      <c r="B468" s="135"/>
      <c r="C468" s="136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8"/>
    </row>
    <row r="469">
      <c r="A469" s="134"/>
      <c r="B469" s="135"/>
      <c r="C469" s="136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8"/>
    </row>
    <row r="470">
      <c r="A470" s="134"/>
      <c r="B470" s="135"/>
      <c r="C470" s="136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8"/>
    </row>
    <row r="471">
      <c r="A471" s="134"/>
      <c r="B471" s="135"/>
      <c r="C471" s="136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8"/>
    </row>
    <row r="472">
      <c r="A472" s="134"/>
      <c r="B472" s="135"/>
      <c r="C472" s="136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8"/>
    </row>
    <row r="473">
      <c r="A473" s="134"/>
      <c r="B473" s="135"/>
      <c r="C473" s="136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8"/>
    </row>
    <row r="474">
      <c r="A474" s="134"/>
      <c r="B474" s="135"/>
      <c r="C474" s="136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8"/>
    </row>
    <row r="475">
      <c r="A475" s="134"/>
      <c r="B475" s="135"/>
      <c r="C475" s="136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8"/>
    </row>
    <row r="476">
      <c r="A476" s="134"/>
      <c r="B476" s="135"/>
      <c r="C476" s="136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8"/>
    </row>
    <row r="477">
      <c r="A477" s="134"/>
      <c r="B477" s="135"/>
      <c r="C477" s="136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8"/>
    </row>
    <row r="478">
      <c r="A478" s="134"/>
      <c r="B478" s="135"/>
      <c r="C478" s="136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8"/>
    </row>
    <row r="479">
      <c r="A479" s="134"/>
      <c r="B479" s="135"/>
      <c r="C479" s="136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8"/>
    </row>
    <row r="480">
      <c r="A480" s="134"/>
      <c r="B480" s="135"/>
      <c r="C480" s="136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8"/>
    </row>
    <row r="481">
      <c r="A481" s="134"/>
      <c r="B481" s="135"/>
      <c r="C481" s="136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8"/>
    </row>
    <row r="482">
      <c r="A482" s="134"/>
      <c r="B482" s="135"/>
      <c r="C482" s="136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8"/>
    </row>
    <row r="483">
      <c r="A483" s="134"/>
      <c r="B483" s="135"/>
      <c r="C483" s="136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8"/>
    </row>
    <row r="484">
      <c r="A484" s="134"/>
      <c r="B484" s="135"/>
      <c r="C484" s="136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8"/>
    </row>
    <row r="485">
      <c r="A485" s="134"/>
      <c r="B485" s="135"/>
      <c r="C485" s="136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8"/>
    </row>
    <row r="486">
      <c r="A486" s="134"/>
      <c r="B486" s="135"/>
      <c r="C486" s="136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8"/>
    </row>
    <row r="487">
      <c r="A487" s="134"/>
      <c r="B487" s="135"/>
      <c r="C487" s="136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8"/>
    </row>
    <row r="488">
      <c r="A488" s="134"/>
      <c r="B488" s="135"/>
      <c r="C488" s="136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8"/>
    </row>
    <row r="489">
      <c r="A489" s="134"/>
      <c r="B489" s="135"/>
      <c r="C489" s="136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8"/>
    </row>
    <row r="490">
      <c r="A490" s="134"/>
      <c r="B490" s="135"/>
      <c r="C490" s="136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8"/>
    </row>
    <row r="491">
      <c r="A491" s="134"/>
      <c r="B491" s="135"/>
      <c r="C491" s="136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8"/>
    </row>
    <row r="492">
      <c r="A492" s="134"/>
      <c r="B492" s="135"/>
      <c r="C492" s="136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8"/>
    </row>
    <row r="493">
      <c r="A493" s="134"/>
      <c r="B493" s="135"/>
      <c r="C493" s="136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8"/>
    </row>
    <row r="494">
      <c r="A494" s="134"/>
      <c r="B494" s="135"/>
      <c r="C494" s="136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8"/>
    </row>
    <row r="495">
      <c r="A495" s="134"/>
      <c r="B495" s="135"/>
      <c r="C495" s="136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8"/>
    </row>
    <row r="496">
      <c r="A496" s="134"/>
      <c r="B496" s="135"/>
      <c r="C496" s="136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8"/>
    </row>
    <row r="497">
      <c r="A497" s="134"/>
      <c r="B497" s="135"/>
      <c r="C497" s="136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8"/>
    </row>
    <row r="498">
      <c r="A498" s="134"/>
      <c r="B498" s="135"/>
      <c r="C498" s="136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8"/>
    </row>
    <row r="499">
      <c r="A499" s="134"/>
      <c r="B499" s="135"/>
      <c r="C499" s="136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8"/>
    </row>
    <row r="500">
      <c r="A500" s="134"/>
      <c r="B500" s="135"/>
      <c r="C500" s="136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8"/>
    </row>
    <row r="501">
      <c r="A501" s="134"/>
      <c r="B501" s="135"/>
      <c r="C501" s="136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8"/>
    </row>
    <row r="502">
      <c r="A502" s="134"/>
      <c r="B502" s="135"/>
      <c r="C502" s="136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8"/>
    </row>
    <row r="503">
      <c r="A503" s="134"/>
      <c r="B503" s="135"/>
      <c r="C503" s="136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8"/>
    </row>
    <row r="504">
      <c r="A504" s="134"/>
      <c r="B504" s="135"/>
      <c r="C504" s="136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8"/>
    </row>
    <row r="505">
      <c r="A505" s="134"/>
      <c r="B505" s="135"/>
      <c r="C505" s="136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8"/>
    </row>
    <row r="506">
      <c r="A506" s="134"/>
      <c r="B506" s="135"/>
      <c r="C506" s="136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8"/>
    </row>
    <row r="507">
      <c r="A507" s="134"/>
      <c r="B507" s="135"/>
      <c r="C507" s="136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8"/>
    </row>
    <row r="508">
      <c r="A508" s="134"/>
      <c r="B508" s="135"/>
      <c r="C508" s="136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8"/>
    </row>
    <row r="509">
      <c r="A509" s="134"/>
      <c r="B509" s="135"/>
      <c r="C509" s="136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8"/>
    </row>
    <row r="510">
      <c r="A510" s="134"/>
      <c r="B510" s="135"/>
      <c r="C510" s="136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8"/>
    </row>
    <row r="511">
      <c r="A511" s="134"/>
      <c r="B511" s="135"/>
      <c r="C511" s="136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8"/>
    </row>
    <row r="512">
      <c r="A512" s="134"/>
      <c r="B512" s="135"/>
      <c r="C512" s="136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8"/>
    </row>
    <row r="513">
      <c r="A513" s="134"/>
      <c r="B513" s="135"/>
      <c r="C513" s="136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8"/>
    </row>
    <row r="514">
      <c r="A514" s="134"/>
      <c r="B514" s="135"/>
      <c r="C514" s="136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8"/>
    </row>
    <row r="515">
      <c r="A515" s="134"/>
      <c r="B515" s="135"/>
      <c r="C515" s="136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8"/>
    </row>
    <row r="516">
      <c r="A516" s="134"/>
      <c r="B516" s="135"/>
      <c r="C516" s="136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8"/>
    </row>
    <row r="517">
      <c r="A517" s="134"/>
      <c r="B517" s="135"/>
      <c r="C517" s="136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8"/>
    </row>
    <row r="518">
      <c r="A518" s="134"/>
      <c r="B518" s="135"/>
      <c r="C518" s="136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8"/>
    </row>
    <row r="519">
      <c r="A519" s="134"/>
      <c r="B519" s="135"/>
      <c r="C519" s="136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8"/>
    </row>
    <row r="520">
      <c r="A520" s="134"/>
      <c r="B520" s="135"/>
      <c r="C520" s="136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8"/>
    </row>
    <row r="521">
      <c r="A521" s="134"/>
      <c r="B521" s="135"/>
      <c r="C521" s="136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8"/>
    </row>
    <row r="522">
      <c r="A522" s="134"/>
      <c r="B522" s="135"/>
      <c r="C522" s="136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8"/>
    </row>
    <row r="523">
      <c r="A523" s="134"/>
      <c r="B523" s="135"/>
      <c r="C523" s="136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8"/>
    </row>
    <row r="524">
      <c r="A524" s="134"/>
      <c r="B524" s="135"/>
      <c r="C524" s="136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8"/>
    </row>
    <row r="525">
      <c r="A525" s="134"/>
      <c r="B525" s="135"/>
      <c r="C525" s="136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8"/>
    </row>
    <row r="526">
      <c r="A526" s="134"/>
      <c r="B526" s="135"/>
      <c r="C526" s="136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8"/>
    </row>
    <row r="527">
      <c r="A527" s="134"/>
      <c r="B527" s="135"/>
      <c r="C527" s="136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8"/>
    </row>
    <row r="528">
      <c r="A528" s="134"/>
      <c r="B528" s="135"/>
      <c r="C528" s="136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8"/>
    </row>
    <row r="529">
      <c r="A529" s="134"/>
      <c r="B529" s="135"/>
      <c r="C529" s="136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8"/>
    </row>
    <row r="530">
      <c r="A530" s="134"/>
      <c r="B530" s="135"/>
      <c r="C530" s="136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8"/>
    </row>
    <row r="531">
      <c r="A531" s="134"/>
      <c r="B531" s="135"/>
      <c r="C531" s="136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8"/>
    </row>
    <row r="532">
      <c r="A532" s="134"/>
      <c r="B532" s="135"/>
      <c r="C532" s="136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8"/>
    </row>
    <row r="533">
      <c r="A533" s="134"/>
      <c r="B533" s="135"/>
      <c r="C533" s="136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8"/>
    </row>
    <row r="534">
      <c r="A534" s="134"/>
      <c r="B534" s="135"/>
      <c r="C534" s="136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8"/>
    </row>
    <row r="535">
      <c r="A535" s="134"/>
      <c r="B535" s="135"/>
      <c r="C535" s="136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8"/>
    </row>
    <row r="536">
      <c r="A536" s="134"/>
      <c r="B536" s="135"/>
      <c r="C536" s="136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8"/>
    </row>
    <row r="537">
      <c r="A537" s="134"/>
      <c r="B537" s="135"/>
      <c r="C537" s="136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8"/>
    </row>
    <row r="538">
      <c r="A538" s="134"/>
      <c r="B538" s="135"/>
      <c r="C538" s="136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8"/>
    </row>
    <row r="539">
      <c r="A539" s="134"/>
      <c r="B539" s="135"/>
      <c r="C539" s="136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8"/>
    </row>
    <row r="540">
      <c r="A540" s="134"/>
      <c r="B540" s="135"/>
      <c r="C540" s="136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8"/>
    </row>
    <row r="541">
      <c r="A541" s="134"/>
      <c r="B541" s="135"/>
      <c r="C541" s="136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8"/>
    </row>
    <row r="542">
      <c r="A542" s="134"/>
      <c r="B542" s="135"/>
      <c r="C542" s="136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8"/>
    </row>
    <row r="543">
      <c r="A543" s="134"/>
      <c r="B543" s="135"/>
      <c r="C543" s="136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8"/>
    </row>
    <row r="544">
      <c r="A544" s="134"/>
      <c r="B544" s="135"/>
      <c r="C544" s="136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8"/>
    </row>
    <row r="545">
      <c r="A545" s="134"/>
      <c r="B545" s="135"/>
      <c r="C545" s="136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8"/>
    </row>
    <row r="546">
      <c r="A546" s="134"/>
      <c r="B546" s="135"/>
      <c r="C546" s="136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8"/>
    </row>
    <row r="547">
      <c r="A547" s="134"/>
      <c r="B547" s="135"/>
      <c r="C547" s="136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8"/>
    </row>
    <row r="548">
      <c r="A548" s="134"/>
      <c r="B548" s="135"/>
      <c r="C548" s="136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8"/>
    </row>
    <row r="549">
      <c r="A549" s="134"/>
      <c r="B549" s="135"/>
      <c r="C549" s="136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8"/>
    </row>
    <row r="550">
      <c r="A550" s="134"/>
      <c r="B550" s="135"/>
      <c r="C550" s="136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8"/>
    </row>
    <row r="551">
      <c r="A551" s="134"/>
      <c r="B551" s="135"/>
      <c r="C551" s="136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8"/>
    </row>
    <row r="552">
      <c r="A552" s="134"/>
      <c r="B552" s="135"/>
      <c r="C552" s="136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8"/>
    </row>
    <row r="553">
      <c r="A553" s="134"/>
      <c r="B553" s="135"/>
      <c r="C553" s="136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8"/>
    </row>
    <row r="554">
      <c r="A554" s="134"/>
      <c r="B554" s="135"/>
      <c r="C554" s="136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8"/>
    </row>
    <row r="555">
      <c r="A555" s="134"/>
      <c r="B555" s="135"/>
      <c r="C555" s="136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8"/>
    </row>
    <row r="556">
      <c r="A556" s="134"/>
      <c r="B556" s="135"/>
      <c r="C556" s="136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8"/>
    </row>
    <row r="557">
      <c r="A557" s="134"/>
      <c r="B557" s="135"/>
      <c r="C557" s="136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8"/>
    </row>
    <row r="558">
      <c r="A558" s="134"/>
      <c r="B558" s="135"/>
      <c r="C558" s="136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8"/>
    </row>
    <row r="559">
      <c r="A559" s="134"/>
      <c r="B559" s="135"/>
      <c r="C559" s="136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8"/>
    </row>
    <row r="560">
      <c r="A560" s="134"/>
      <c r="B560" s="135"/>
      <c r="C560" s="136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8"/>
    </row>
    <row r="561">
      <c r="A561" s="134"/>
      <c r="B561" s="135"/>
      <c r="C561" s="136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8"/>
    </row>
    <row r="562">
      <c r="A562" s="134"/>
      <c r="B562" s="135"/>
      <c r="C562" s="136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8"/>
    </row>
    <row r="563">
      <c r="A563" s="134"/>
      <c r="B563" s="135"/>
      <c r="C563" s="136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8"/>
    </row>
    <row r="564">
      <c r="A564" s="134"/>
      <c r="B564" s="135"/>
      <c r="C564" s="136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8"/>
    </row>
    <row r="565">
      <c r="A565" s="134"/>
      <c r="B565" s="135"/>
      <c r="C565" s="136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8"/>
    </row>
    <row r="566">
      <c r="A566" s="134"/>
      <c r="B566" s="135"/>
      <c r="C566" s="136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8"/>
    </row>
    <row r="567">
      <c r="A567" s="134"/>
      <c r="B567" s="135"/>
      <c r="C567" s="136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8"/>
    </row>
    <row r="568">
      <c r="A568" s="134"/>
      <c r="B568" s="135"/>
      <c r="C568" s="136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8"/>
    </row>
    <row r="569">
      <c r="A569" s="134"/>
      <c r="B569" s="135"/>
      <c r="C569" s="136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8"/>
    </row>
    <row r="570">
      <c r="A570" s="134"/>
      <c r="B570" s="135"/>
      <c r="C570" s="136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8"/>
    </row>
    <row r="571">
      <c r="A571" s="134"/>
      <c r="B571" s="135"/>
      <c r="C571" s="136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8"/>
    </row>
    <row r="572">
      <c r="A572" s="134"/>
      <c r="B572" s="135"/>
      <c r="C572" s="136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8"/>
    </row>
    <row r="573">
      <c r="A573" s="134"/>
      <c r="B573" s="135"/>
      <c r="C573" s="136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8"/>
    </row>
    <row r="574">
      <c r="A574" s="134"/>
      <c r="B574" s="135"/>
      <c r="C574" s="136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8"/>
    </row>
    <row r="575">
      <c r="A575" s="134"/>
      <c r="B575" s="135"/>
      <c r="C575" s="136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8"/>
    </row>
    <row r="576">
      <c r="A576" s="134"/>
      <c r="B576" s="135"/>
      <c r="C576" s="136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8"/>
    </row>
    <row r="577">
      <c r="A577" s="134"/>
      <c r="B577" s="135"/>
      <c r="C577" s="136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8"/>
    </row>
    <row r="578">
      <c r="A578" s="134"/>
      <c r="B578" s="135"/>
      <c r="C578" s="136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8"/>
    </row>
    <row r="579">
      <c r="A579" s="134"/>
      <c r="B579" s="135"/>
      <c r="C579" s="136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8"/>
    </row>
    <row r="580">
      <c r="A580" s="134"/>
      <c r="B580" s="135"/>
      <c r="C580" s="136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8"/>
    </row>
    <row r="581">
      <c r="A581" s="134"/>
      <c r="B581" s="135"/>
      <c r="C581" s="136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8"/>
    </row>
    <row r="582">
      <c r="A582" s="134"/>
      <c r="B582" s="135"/>
      <c r="C582" s="136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8"/>
    </row>
    <row r="583">
      <c r="A583" s="134"/>
      <c r="B583" s="135"/>
      <c r="C583" s="136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8"/>
    </row>
    <row r="584">
      <c r="A584" s="134"/>
      <c r="B584" s="135"/>
      <c r="C584" s="136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8"/>
    </row>
    <row r="585">
      <c r="A585" s="134"/>
      <c r="B585" s="135"/>
      <c r="C585" s="136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8"/>
    </row>
    <row r="586">
      <c r="A586" s="134"/>
      <c r="B586" s="135"/>
      <c r="C586" s="136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8"/>
    </row>
    <row r="587">
      <c r="A587" s="134"/>
      <c r="B587" s="135"/>
      <c r="C587" s="136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8"/>
    </row>
    <row r="588">
      <c r="A588" s="134"/>
      <c r="B588" s="135"/>
      <c r="C588" s="136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8"/>
    </row>
    <row r="589">
      <c r="A589" s="134"/>
      <c r="B589" s="135"/>
      <c r="C589" s="136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8"/>
    </row>
    <row r="590">
      <c r="A590" s="134"/>
      <c r="B590" s="135"/>
      <c r="C590" s="136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8"/>
    </row>
    <row r="591">
      <c r="A591" s="134"/>
      <c r="B591" s="135"/>
      <c r="C591" s="136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8"/>
    </row>
    <row r="592">
      <c r="A592" s="134"/>
      <c r="B592" s="135"/>
      <c r="C592" s="136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8"/>
    </row>
    <row r="593">
      <c r="A593" s="134"/>
      <c r="B593" s="135"/>
      <c r="C593" s="136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8"/>
    </row>
    <row r="594">
      <c r="A594" s="134"/>
      <c r="B594" s="135"/>
      <c r="C594" s="136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8"/>
    </row>
    <row r="595">
      <c r="A595" s="134"/>
      <c r="B595" s="135"/>
      <c r="C595" s="136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8"/>
    </row>
    <row r="596">
      <c r="A596" s="134"/>
      <c r="B596" s="135"/>
      <c r="C596" s="136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8"/>
    </row>
    <row r="597">
      <c r="A597" s="134"/>
      <c r="B597" s="135"/>
      <c r="C597" s="136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8"/>
    </row>
    <row r="598">
      <c r="A598" s="134"/>
      <c r="B598" s="135"/>
      <c r="C598" s="136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8"/>
    </row>
    <row r="599">
      <c r="A599" s="134"/>
      <c r="B599" s="135"/>
      <c r="C599" s="136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8"/>
    </row>
    <row r="600">
      <c r="A600" s="134"/>
      <c r="B600" s="135"/>
      <c r="C600" s="136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8"/>
    </row>
    <row r="601">
      <c r="A601" s="134"/>
      <c r="B601" s="135"/>
      <c r="C601" s="136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8"/>
    </row>
    <row r="602">
      <c r="A602" s="134"/>
      <c r="B602" s="135"/>
      <c r="C602" s="136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8"/>
    </row>
    <row r="603">
      <c r="A603" s="134"/>
      <c r="B603" s="135"/>
      <c r="C603" s="136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8"/>
    </row>
    <row r="604">
      <c r="A604" s="134"/>
      <c r="B604" s="135"/>
      <c r="C604" s="136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8"/>
    </row>
    <row r="605">
      <c r="A605" s="134"/>
      <c r="B605" s="135"/>
      <c r="C605" s="136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8"/>
    </row>
    <row r="606">
      <c r="A606" s="134"/>
      <c r="B606" s="135"/>
      <c r="C606" s="136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8"/>
    </row>
    <row r="607">
      <c r="A607" s="134"/>
      <c r="B607" s="135"/>
      <c r="C607" s="136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8"/>
    </row>
    <row r="608">
      <c r="A608" s="134"/>
      <c r="B608" s="135"/>
      <c r="C608" s="136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  <c r="O608" s="138"/>
    </row>
    <row r="609">
      <c r="A609" s="134"/>
      <c r="B609" s="135"/>
      <c r="C609" s="136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  <c r="O609" s="138"/>
    </row>
    <row r="610">
      <c r="A610" s="134"/>
      <c r="B610" s="135"/>
      <c r="C610" s="136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  <c r="O610" s="138"/>
    </row>
    <row r="611">
      <c r="A611" s="134"/>
      <c r="B611" s="135"/>
      <c r="C611" s="136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  <c r="O611" s="138"/>
    </row>
    <row r="612">
      <c r="A612" s="134"/>
      <c r="B612" s="135"/>
      <c r="C612" s="136"/>
      <c r="D612" s="137"/>
      <c r="E612" s="137"/>
      <c r="F612" s="137"/>
      <c r="G612" s="137"/>
      <c r="H612" s="137"/>
      <c r="I612" s="137"/>
      <c r="J612" s="137"/>
      <c r="K612" s="137"/>
      <c r="L612" s="137"/>
      <c r="M612" s="137"/>
      <c r="N612" s="137"/>
      <c r="O612" s="138"/>
    </row>
    <row r="613">
      <c r="A613" s="134"/>
      <c r="B613" s="135"/>
      <c r="C613" s="136"/>
      <c r="D613" s="137"/>
      <c r="E613" s="137"/>
      <c r="F613" s="137"/>
      <c r="G613" s="137"/>
      <c r="H613" s="137"/>
      <c r="I613" s="137"/>
      <c r="J613" s="137"/>
      <c r="K613" s="137"/>
      <c r="L613" s="137"/>
      <c r="M613" s="137"/>
      <c r="N613" s="137"/>
      <c r="O613" s="138"/>
    </row>
    <row r="614">
      <c r="A614" s="134"/>
      <c r="B614" s="135"/>
      <c r="C614" s="136"/>
      <c r="D614" s="137"/>
      <c r="E614" s="137"/>
      <c r="F614" s="137"/>
      <c r="G614" s="137"/>
      <c r="H614" s="137"/>
      <c r="I614" s="137"/>
      <c r="J614" s="137"/>
      <c r="K614" s="137"/>
      <c r="L614" s="137"/>
      <c r="M614" s="137"/>
      <c r="N614" s="137"/>
      <c r="O614" s="138"/>
    </row>
    <row r="615">
      <c r="A615" s="134"/>
      <c r="B615" s="135"/>
      <c r="C615" s="136"/>
      <c r="D615" s="137"/>
      <c r="E615" s="137"/>
      <c r="F615" s="137"/>
      <c r="G615" s="137"/>
      <c r="H615" s="137"/>
      <c r="I615" s="137"/>
      <c r="J615" s="137"/>
      <c r="K615" s="137"/>
      <c r="L615" s="137"/>
      <c r="M615" s="137"/>
      <c r="N615" s="137"/>
      <c r="O615" s="138"/>
    </row>
    <row r="616">
      <c r="A616" s="134"/>
      <c r="B616" s="135"/>
      <c r="C616" s="136"/>
      <c r="D616" s="137"/>
      <c r="E616" s="137"/>
      <c r="F616" s="137"/>
      <c r="G616" s="137"/>
      <c r="H616" s="137"/>
      <c r="I616" s="137"/>
      <c r="J616" s="137"/>
      <c r="K616" s="137"/>
      <c r="L616" s="137"/>
      <c r="M616" s="137"/>
      <c r="N616" s="137"/>
      <c r="O616" s="138"/>
    </row>
    <row r="617">
      <c r="A617" s="134"/>
      <c r="B617" s="135"/>
      <c r="C617" s="136"/>
      <c r="D617" s="137"/>
      <c r="E617" s="137"/>
      <c r="F617" s="137"/>
      <c r="G617" s="137"/>
      <c r="H617" s="137"/>
      <c r="I617" s="137"/>
      <c r="J617" s="137"/>
      <c r="K617" s="137"/>
      <c r="L617" s="137"/>
      <c r="M617" s="137"/>
      <c r="N617" s="137"/>
      <c r="O617" s="138"/>
    </row>
    <row r="618">
      <c r="A618" s="134"/>
      <c r="B618" s="135"/>
      <c r="C618" s="136"/>
      <c r="D618" s="137"/>
      <c r="E618" s="137"/>
      <c r="F618" s="137"/>
      <c r="G618" s="137"/>
      <c r="H618" s="137"/>
      <c r="I618" s="137"/>
      <c r="J618" s="137"/>
      <c r="K618" s="137"/>
      <c r="L618" s="137"/>
      <c r="M618" s="137"/>
      <c r="N618" s="137"/>
      <c r="O618" s="138"/>
    </row>
    <row r="619">
      <c r="A619" s="134"/>
      <c r="B619" s="135"/>
      <c r="C619" s="136"/>
      <c r="D619" s="137"/>
      <c r="E619" s="137"/>
      <c r="F619" s="137"/>
      <c r="G619" s="137"/>
      <c r="H619" s="137"/>
      <c r="I619" s="137"/>
      <c r="J619" s="137"/>
      <c r="K619" s="137"/>
      <c r="L619" s="137"/>
      <c r="M619" s="137"/>
      <c r="N619" s="137"/>
      <c r="O619" s="138"/>
    </row>
    <row r="620">
      <c r="A620" s="134"/>
      <c r="B620" s="135"/>
      <c r="C620" s="136"/>
      <c r="D620" s="137"/>
      <c r="E620" s="137"/>
      <c r="F620" s="137"/>
      <c r="G620" s="137"/>
      <c r="H620" s="137"/>
      <c r="I620" s="137"/>
      <c r="J620" s="137"/>
      <c r="K620" s="137"/>
      <c r="L620" s="137"/>
      <c r="M620" s="137"/>
      <c r="N620" s="137"/>
      <c r="O620" s="138"/>
    </row>
    <row r="621">
      <c r="A621" s="134"/>
      <c r="B621" s="135"/>
      <c r="C621" s="136"/>
      <c r="D621" s="137"/>
      <c r="E621" s="137"/>
      <c r="F621" s="137"/>
      <c r="G621" s="137"/>
      <c r="H621" s="137"/>
      <c r="I621" s="137"/>
      <c r="J621" s="137"/>
      <c r="K621" s="137"/>
      <c r="L621" s="137"/>
      <c r="M621" s="137"/>
      <c r="N621" s="137"/>
      <c r="O621" s="138"/>
    </row>
    <row r="622">
      <c r="A622" s="134"/>
      <c r="B622" s="135"/>
      <c r="C622" s="136"/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  <c r="O622" s="138"/>
    </row>
    <row r="623">
      <c r="A623" s="134"/>
      <c r="B623" s="135"/>
      <c r="C623" s="136"/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  <c r="O623" s="138"/>
    </row>
    <row r="624">
      <c r="A624" s="134"/>
      <c r="B624" s="135"/>
      <c r="C624" s="136"/>
      <c r="D624" s="137"/>
      <c r="E624" s="137"/>
      <c r="F624" s="137"/>
      <c r="G624" s="137"/>
      <c r="H624" s="137"/>
      <c r="I624" s="137"/>
      <c r="J624" s="137"/>
      <c r="K624" s="137"/>
      <c r="L624" s="137"/>
      <c r="M624" s="137"/>
      <c r="N624" s="137"/>
      <c r="O624" s="138"/>
    </row>
    <row r="625">
      <c r="A625" s="134"/>
      <c r="B625" s="135"/>
      <c r="C625" s="136"/>
      <c r="D625" s="137"/>
      <c r="E625" s="137"/>
      <c r="F625" s="137"/>
      <c r="G625" s="137"/>
      <c r="H625" s="137"/>
      <c r="I625" s="137"/>
      <c r="J625" s="137"/>
      <c r="K625" s="137"/>
      <c r="L625" s="137"/>
      <c r="M625" s="137"/>
      <c r="N625" s="137"/>
      <c r="O625" s="138"/>
    </row>
    <row r="626">
      <c r="A626" s="134"/>
      <c r="B626" s="135"/>
      <c r="C626" s="136"/>
      <c r="D626" s="137"/>
      <c r="E626" s="137"/>
      <c r="F626" s="137"/>
      <c r="G626" s="137"/>
      <c r="H626" s="137"/>
      <c r="I626" s="137"/>
      <c r="J626" s="137"/>
      <c r="K626" s="137"/>
      <c r="L626" s="137"/>
      <c r="M626" s="137"/>
      <c r="N626" s="137"/>
      <c r="O626" s="138"/>
    </row>
    <row r="627">
      <c r="A627" s="134"/>
      <c r="B627" s="135"/>
      <c r="C627" s="136"/>
      <c r="D627" s="137"/>
      <c r="E627" s="137"/>
      <c r="F627" s="137"/>
      <c r="G627" s="137"/>
      <c r="H627" s="137"/>
      <c r="I627" s="137"/>
      <c r="J627" s="137"/>
      <c r="K627" s="137"/>
      <c r="L627" s="137"/>
      <c r="M627" s="137"/>
      <c r="N627" s="137"/>
      <c r="O627" s="138"/>
    </row>
    <row r="628">
      <c r="A628" s="134"/>
      <c r="B628" s="135"/>
      <c r="C628" s="136"/>
      <c r="D628" s="137"/>
      <c r="E628" s="137"/>
      <c r="F628" s="137"/>
      <c r="G628" s="137"/>
      <c r="H628" s="137"/>
      <c r="I628" s="137"/>
      <c r="J628" s="137"/>
      <c r="K628" s="137"/>
      <c r="L628" s="137"/>
      <c r="M628" s="137"/>
      <c r="N628" s="137"/>
      <c r="O628" s="138"/>
    </row>
    <row r="629">
      <c r="A629" s="134"/>
      <c r="B629" s="135"/>
      <c r="C629" s="136"/>
      <c r="D629" s="137"/>
      <c r="E629" s="137"/>
      <c r="F629" s="137"/>
      <c r="G629" s="137"/>
      <c r="H629" s="137"/>
      <c r="I629" s="137"/>
      <c r="J629" s="137"/>
      <c r="K629" s="137"/>
      <c r="L629" s="137"/>
      <c r="M629" s="137"/>
      <c r="N629" s="137"/>
      <c r="O629" s="138"/>
    </row>
    <row r="630">
      <c r="A630" s="134"/>
      <c r="B630" s="135"/>
      <c r="C630" s="136"/>
      <c r="D630" s="137"/>
      <c r="E630" s="137"/>
      <c r="F630" s="137"/>
      <c r="G630" s="137"/>
      <c r="H630" s="137"/>
      <c r="I630" s="137"/>
      <c r="J630" s="137"/>
      <c r="K630" s="137"/>
      <c r="L630" s="137"/>
      <c r="M630" s="137"/>
      <c r="N630" s="137"/>
      <c r="O630" s="138"/>
    </row>
    <row r="631">
      <c r="A631" s="134"/>
      <c r="B631" s="135"/>
      <c r="C631" s="136"/>
      <c r="D631" s="137"/>
      <c r="E631" s="137"/>
      <c r="F631" s="137"/>
      <c r="G631" s="137"/>
      <c r="H631" s="137"/>
      <c r="I631" s="137"/>
      <c r="J631" s="137"/>
      <c r="K631" s="137"/>
      <c r="L631" s="137"/>
      <c r="M631" s="137"/>
      <c r="N631" s="137"/>
      <c r="O631" s="138"/>
    </row>
    <row r="632">
      <c r="A632" s="134"/>
      <c r="B632" s="135"/>
      <c r="C632" s="136"/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  <c r="O632" s="138"/>
    </row>
    <row r="633">
      <c r="A633" s="134"/>
      <c r="B633" s="135"/>
      <c r="C633" s="136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  <c r="O633" s="138"/>
    </row>
    <row r="634">
      <c r="A634" s="134"/>
      <c r="B634" s="135"/>
      <c r="C634" s="136"/>
      <c r="D634" s="137"/>
      <c r="E634" s="137"/>
      <c r="F634" s="137"/>
      <c r="G634" s="137"/>
      <c r="H634" s="137"/>
      <c r="I634" s="137"/>
      <c r="J634" s="137"/>
      <c r="K634" s="137"/>
      <c r="L634" s="137"/>
      <c r="M634" s="137"/>
      <c r="N634" s="137"/>
      <c r="O634" s="138"/>
    </row>
    <row r="635">
      <c r="A635" s="134"/>
      <c r="B635" s="135"/>
      <c r="C635" s="136"/>
      <c r="D635" s="137"/>
      <c r="E635" s="137"/>
      <c r="F635" s="137"/>
      <c r="G635" s="137"/>
      <c r="H635" s="137"/>
      <c r="I635" s="137"/>
      <c r="J635" s="137"/>
      <c r="K635" s="137"/>
      <c r="L635" s="137"/>
      <c r="M635" s="137"/>
      <c r="N635" s="137"/>
      <c r="O635" s="138"/>
    </row>
    <row r="636">
      <c r="A636" s="134"/>
      <c r="B636" s="135"/>
      <c r="C636" s="136"/>
      <c r="D636" s="137"/>
      <c r="E636" s="137"/>
      <c r="F636" s="137"/>
      <c r="G636" s="137"/>
      <c r="H636" s="137"/>
      <c r="I636" s="137"/>
      <c r="J636" s="137"/>
      <c r="K636" s="137"/>
      <c r="L636" s="137"/>
      <c r="M636" s="137"/>
      <c r="N636" s="137"/>
      <c r="O636" s="138"/>
    </row>
    <row r="637">
      <c r="A637" s="134"/>
      <c r="B637" s="135"/>
      <c r="C637" s="136"/>
      <c r="D637" s="137"/>
      <c r="E637" s="137"/>
      <c r="F637" s="137"/>
      <c r="G637" s="137"/>
      <c r="H637" s="137"/>
      <c r="I637" s="137"/>
      <c r="J637" s="137"/>
      <c r="K637" s="137"/>
      <c r="L637" s="137"/>
      <c r="M637" s="137"/>
      <c r="N637" s="137"/>
      <c r="O637" s="138"/>
    </row>
    <row r="638">
      <c r="A638" s="134"/>
      <c r="B638" s="135"/>
      <c r="C638" s="136"/>
      <c r="D638" s="137"/>
      <c r="E638" s="137"/>
      <c r="F638" s="137"/>
      <c r="G638" s="137"/>
      <c r="H638" s="137"/>
      <c r="I638" s="137"/>
      <c r="J638" s="137"/>
      <c r="K638" s="137"/>
      <c r="L638" s="137"/>
      <c r="M638" s="137"/>
      <c r="N638" s="137"/>
      <c r="O638" s="138"/>
    </row>
    <row r="639">
      <c r="A639" s="134"/>
      <c r="B639" s="135"/>
      <c r="C639" s="136"/>
      <c r="D639" s="137"/>
      <c r="E639" s="137"/>
      <c r="F639" s="137"/>
      <c r="G639" s="137"/>
      <c r="H639" s="137"/>
      <c r="I639" s="137"/>
      <c r="J639" s="137"/>
      <c r="K639" s="137"/>
      <c r="L639" s="137"/>
      <c r="M639" s="137"/>
      <c r="N639" s="137"/>
      <c r="O639" s="138"/>
    </row>
    <row r="640">
      <c r="A640" s="134"/>
      <c r="B640" s="135"/>
      <c r="C640" s="136"/>
      <c r="D640" s="137"/>
      <c r="E640" s="137"/>
      <c r="F640" s="137"/>
      <c r="G640" s="137"/>
      <c r="H640" s="137"/>
      <c r="I640" s="137"/>
      <c r="J640" s="137"/>
      <c r="K640" s="137"/>
      <c r="L640" s="137"/>
      <c r="M640" s="137"/>
      <c r="N640" s="137"/>
      <c r="O640" s="138"/>
    </row>
    <row r="641">
      <c r="A641" s="134"/>
      <c r="B641" s="135"/>
      <c r="C641" s="136"/>
      <c r="D641" s="137"/>
      <c r="E641" s="137"/>
      <c r="F641" s="137"/>
      <c r="G641" s="137"/>
      <c r="H641" s="137"/>
      <c r="I641" s="137"/>
      <c r="J641" s="137"/>
      <c r="K641" s="137"/>
      <c r="L641" s="137"/>
      <c r="M641" s="137"/>
      <c r="N641" s="137"/>
      <c r="O641" s="138"/>
    </row>
    <row r="642">
      <c r="A642" s="134"/>
      <c r="B642" s="135"/>
      <c r="C642" s="136"/>
      <c r="D642" s="137"/>
      <c r="E642" s="137"/>
      <c r="F642" s="137"/>
      <c r="G642" s="137"/>
      <c r="H642" s="137"/>
      <c r="I642" s="137"/>
      <c r="J642" s="137"/>
      <c r="K642" s="137"/>
      <c r="L642" s="137"/>
      <c r="M642" s="137"/>
      <c r="N642" s="137"/>
      <c r="O642" s="138"/>
    </row>
    <row r="643">
      <c r="A643" s="134"/>
      <c r="B643" s="135"/>
      <c r="C643" s="136"/>
      <c r="D643" s="137"/>
      <c r="E643" s="137"/>
      <c r="F643" s="137"/>
      <c r="G643" s="137"/>
      <c r="H643" s="137"/>
      <c r="I643" s="137"/>
      <c r="J643" s="137"/>
      <c r="K643" s="137"/>
      <c r="L643" s="137"/>
      <c r="M643" s="137"/>
      <c r="N643" s="137"/>
      <c r="O643" s="138"/>
    </row>
    <row r="644">
      <c r="A644" s="134"/>
      <c r="B644" s="135"/>
      <c r="C644" s="136"/>
      <c r="D644" s="137"/>
      <c r="E644" s="137"/>
      <c r="F644" s="137"/>
      <c r="G644" s="137"/>
      <c r="H644" s="137"/>
      <c r="I644" s="137"/>
      <c r="J644" s="137"/>
      <c r="K644" s="137"/>
      <c r="L644" s="137"/>
      <c r="M644" s="137"/>
      <c r="N644" s="137"/>
      <c r="O644" s="138"/>
    </row>
    <row r="645">
      <c r="A645" s="134"/>
      <c r="B645" s="135"/>
      <c r="C645" s="136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  <c r="O645" s="138"/>
    </row>
    <row r="646">
      <c r="A646" s="134"/>
      <c r="B646" s="135"/>
      <c r="C646" s="136"/>
      <c r="D646" s="137"/>
      <c r="E646" s="137"/>
      <c r="F646" s="137"/>
      <c r="G646" s="137"/>
      <c r="H646" s="137"/>
      <c r="I646" s="137"/>
      <c r="J646" s="137"/>
      <c r="K646" s="137"/>
      <c r="L646" s="137"/>
      <c r="M646" s="137"/>
      <c r="N646" s="137"/>
      <c r="O646" s="138"/>
    </row>
    <row r="647">
      <c r="A647" s="134"/>
      <c r="B647" s="135"/>
      <c r="C647" s="136"/>
      <c r="D647" s="137"/>
      <c r="E647" s="137"/>
      <c r="F647" s="137"/>
      <c r="G647" s="137"/>
      <c r="H647" s="137"/>
      <c r="I647" s="137"/>
      <c r="J647" s="137"/>
      <c r="K647" s="137"/>
      <c r="L647" s="137"/>
      <c r="M647" s="137"/>
      <c r="N647" s="137"/>
      <c r="O647" s="138"/>
    </row>
    <row r="648">
      <c r="A648" s="134"/>
      <c r="B648" s="135"/>
      <c r="C648" s="136"/>
      <c r="D648" s="137"/>
      <c r="E648" s="137"/>
      <c r="F648" s="137"/>
      <c r="G648" s="137"/>
      <c r="H648" s="137"/>
      <c r="I648" s="137"/>
      <c r="J648" s="137"/>
      <c r="K648" s="137"/>
      <c r="L648" s="137"/>
      <c r="M648" s="137"/>
      <c r="N648" s="137"/>
      <c r="O648" s="138"/>
    </row>
    <row r="649">
      <c r="A649" s="134"/>
      <c r="B649" s="135"/>
      <c r="C649" s="136"/>
      <c r="D649" s="137"/>
      <c r="E649" s="137"/>
      <c r="F649" s="137"/>
      <c r="G649" s="137"/>
      <c r="H649" s="137"/>
      <c r="I649" s="137"/>
      <c r="J649" s="137"/>
      <c r="K649" s="137"/>
      <c r="L649" s="137"/>
      <c r="M649" s="137"/>
      <c r="N649" s="137"/>
      <c r="O649" s="138"/>
    </row>
    <row r="650">
      <c r="A650" s="134"/>
      <c r="B650" s="135"/>
      <c r="C650" s="136"/>
      <c r="D650" s="137"/>
      <c r="E650" s="137"/>
      <c r="F650" s="137"/>
      <c r="G650" s="137"/>
      <c r="H650" s="137"/>
      <c r="I650" s="137"/>
      <c r="J650" s="137"/>
      <c r="K650" s="137"/>
      <c r="L650" s="137"/>
      <c r="M650" s="137"/>
      <c r="N650" s="137"/>
      <c r="O650" s="138"/>
    </row>
    <row r="651">
      <c r="A651" s="134"/>
      <c r="B651" s="135"/>
      <c r="C651" s="136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  <c r="O651" s="138"/>
    </row>
    <row r="652">
      <c r="A652" s="134"/>
      <c r="B652" s="135"/>
      <c r="C652" s="136"/>
      <c r="D652" s="137"/>
      <c r="E652" s="137"/>
      <c r="F652" s="137"/>
      <c r="G652" s="137"/>
      <c r="H652" s="137"/>
      <c r="I652" s="137"/>
      <c r="J652" s="137"/>
      <c r="K652" s="137"/>
      <c r="L652" s="137"/>
      <c r="M652" s="137"/>
      <c r="N652" s="137"/>
      <c r="O652" s="138"/>
    </row>
    <row r="653">
      <c r="A653" s="134"/>
      <c r="B653" s="135"/>
      <c r="C653" s="136"/>
      <c r="D653" s="137"/>
      <c r="E653" s="137"/>
      <c r="F653" s="137"/>
      <c r="G653" s="137"/>
      <c r="H653" s="137"/>
      <c r="I653" s="137"/>
      <c r="J653" s="137"/>
      <c r="K653" s="137"/>
      <c r="L653" s="137"/>
      <c r="M653" s="137"/>
      <c r="N653" s="137"/>
      <c r="O653" s="138"/>
    </row>
    <row r="654">
      <c r="A654" s="134"/>
      <c r="B654" s="135"/>
      <c r="C654" s="136"/>
      <c r="D654" s="137"/>
      <c r="E654" s="137"/>
      <c r="F654" s="137"/>
      <c r="G654" s="137"/>
      <c r="H654" s="137"/>
      <c r="I654" s="137"/>
      <c r="J654" s="137"/>
      <c r="K654" s="137"/>
      <c r="L654" s="137"/>
      <c r="M654" s="137"/>
      <c r="N654" s="137"/>
      <c r="O654" s="138"/>
    </row>
    <row r="655">
      <c r="A655" s="134"/>
      <c r="B655" s="135"/>
      <c r="C655" s="136"/>
      <c r="D655" s="137"/>
      <c r="E655" s="137"/>
      <c r="F655" s="137"/>
      <c r="G655" s="137"/>
      <c r="H655" s="137"/>
      <c r="I655" s="137"/>
      <c r="J655" s="137"/>
      <c r="K655" s="137"/>
      <c r="L655" s="137"/>
      <c r="M655" s="137"/>
      <c r="N655" s="137"/>
      <c r="O655" s="138"/>
    </row>
    <row r="656">
      <c r="A656" s="134"/>
      <c r="B656" s="135"/>
      <c r="C656" s="136"/>
      <c r="D656" s="137"/>
      <c r="E656" s="137"/>
      <c r="F656" s="137"/>
      <c r="G656" s="137"/>
      <c r="H656" s="137"/>
      <c r="I656" s="137"/>
      <c r="J656" s="137"/>
      <c r="K656" s="137"/>
      <c r="L656" s="137"/>
      <c r="M656" s="137"/>
      <c r="N656" s="137"/>
      <c r="O656" s="138"/>
    </row>
    <row r="657">
      <c r="A657" s="134"/>
      <c r="B657" s="135"/>
      <c r="C657" s="136"/>
      <c r="D657" s="137"/>
      <c r="E657" s="137"/>
      <c r="F657" s="137"/>
      <c r="G657" s="137"/>
      <c r="H657" s="137"/>
      <c r="I657" s="137"/>
      <c r="J657" s="137"/>
      <c r="K657" s="137"/>
      <c r="L657" s="137"/>
      <c r="M657" s="137"/>
      <c r="N657" s="137"/>
      <c r="O657" s="138"/>
    </row>
    <row r="658">
      <c r="A658" s="134"/>
      <c r="B658" s="135"/>
      <c r="C658" s="136"/>
      <c r="D658" s="137"/>
      <c r="E658" s="137"/>
      <c r="F658" s="137"/>
      <c r="G658" s="137"/>
      <c r="H658" s="137"/>
      <c r="I658" s="137"/>
      <c r="J658" s="137"/>
      <c r="K658" s="137"/>
      <c r="L658" s="137"/>
      <c r="M658" s="137"/>
      <c r="N658" s="137"/>
      <c r="O658" s="138"/>
    </row>
    <row r="659">
      <c r="A659" s="134"/>
      <c r="B659" s="135"/>
      <c r="C659" s="136"/>
      <c r="D659" s="137"/>
      <c r="E659" s="137"/>
      <c r="F659" s="137"/>
      <c r="G659" s="137"/>
      <c r="H659" s="137"/>
      <c r="I659" s="137"/>
      <c r="J659" s="137"/>
      <c r="K659" s="137"/>
      <c r="L659" s="137"/>
      <c r="M659" s="137"/>
      <c r="N659" s="137"/>
      <c r="O659" s="138"/>
    </row>
    <row r="660">
      <c r="A660" s="134"/>
      <c r="B660" s="135"/>
      <c r="C660" s="136"/>
      <c r="D660" s="137"/>
      <c r="E660" s="137"/>
      <c r="F660" s="137"/>
      <c r="G660" s="137"/>
      <c r="H660" s="137"/>
      <c r="I660" s="137"/>
      <c r="J660" s="137"/>
      <c r="K660" s="137"/>
      <c r="L660" s="137"/>
      <c r="M660" s="137"/>
      <c r="N660" s="137"/>
      <c r="O660" s="138"/>
    </row>
    <row r="661">
      <c r="A661" s="134"/>
      <c r="B661" s="135"/>
      <c r="C661" s="136"/>
      <c r="D661" s="137"/>
      <c r="E661" s="137"/>
      <c r="F661" s="137"/>
      <c r="G661" s="137"/>
      <c r="H661" s="137"/>
      <c r="I661" s="137"/>
      <c r="J661" s="137"/>
      <c r="K661" s="137"/>
      <c r="L661" s="137"/>
      <c r="M661" s="137"/>
      <c r="N661" s="137"/>
      <c r="O661" s="138"/>
    </row>
    <row r="662">
      <c r="A662" s="134"/>
      <c r="B662" s="135"/>
      <c r="C662" s="136"/>
      <c r="D662" s="137"/>
      <c r="E662" s="137"/>
      <c r="F662" s="137"/>
      <c r="G662" s="137"/>
      <c r="H662" s="137"/>
      <c r="I662" s="137"/>
      <c r="J662" s="137"/>
      <c r="K662" s="137"/>
      <c r="L662" s="137"/>
      <c r="M662" s="137"/>
      <c r="N662" s="137"/>
      <c r="O662" s="138"/>
    </row>
    <row r="663">
      <c r="A663" s="134"/>
      <c r="B663" s="135"/>
      <c r="C663" s="136"/>
      <c r="D663" s="137"/>
      <c r="E663" s="137"/>
      <c r="F663" s="137"/>
      <c r="G663" s="137"/>
      <c r="H663" s="137"/>
      <c r="I663" s="137"/>
      <c r="J663" s="137"/>
      <c r="K663" s="137"/>
      <c r="L663" s="137"/>
      <c r="M663" s="137"/>
      <c r="N663" s="137"/>
      <c r="O663" s="138"/>
    </row>
    <row r="664">
      <c r="A664" s="134"/>
      <c r="B664" s="135"/>
      <c r="C664" s="136"/>
      <c r="D664" s="137"/>
      <c r="E664" s="137"/>
      <c r="F664" s="137"/>
      <c r="G664" s="137"/>
      <c r="H664" s="137"/>
      <c r="I664" s="137"/>
      <c r="J664" s="137"/>
      <c r="K664" s="137"/>
      <c r="L664" s="137"/>
      <c r="M664" s="137"/>
      <c r="N664" s="137"/>
      <c r="O664" s="138"/>
    </row>
    <row r="665">
      <c r="A665" s="134"/>
      <c r="B665" s="135"/>
      <c r="C665" s="136"/>
      <c r="D665" s="137"/>
      <c r="E665" s="137"/>
      <c r="F665" s="137"/>
      <c r="G665" s="137"/>
      <c r="H665" s="137"/>
      <c r="I665" s="137"/>
      <c r="J665" s="137"/>
      <c r="K665" s="137"/>
      <c r="L665" s="137"/>
      <c r="M665" s="137"/>
      <c r="N665" s="137"/>
      <c r="O665" s="138"/>
    </row>
    <row r="666">
      <c r="A666" s="134"/>
      <c r="B666" s="135"/>
      <c r="C666" s="136"/>
      <c r="D666" s="137"/>
      <c r="E666" s="137"/>
      <c r="F666" s="137"/>
      <c r="G666" s="137"/>
      <c r="H666" s="137"/>
      <c r="I666" s="137"/>
      <c r="J666" s="137"/>
      <c r="K666" s="137"/>
      <c r="L666" s="137"/>
      <c r="M666" s="137"/>
      <c r="N666" s="137"/>
      <c r="O666" s="138"/>
    </row>
    <row r="667">
      <c r="A667" s="134"/>
      <c r="B667" s="135"/>
      <c r="C667" s="136"/>
      <c r="D667" s="137"/>
      <c r="E667" s="137"/>
      <c r="F667" s="137"/>
      <c r="G667" s="137"/>
      <c r="H667" s="137"/>
      <c r="I667" s="137"/>
      <c r="J667" s="137"/>
      <c r="K667" s="137"/>
      <c r="L667" s="137"/>
      <c r="M667" s="137"/>
      <c r="N667" s="137"/>
      <c r="O667" s="138"/>
    </row>
    <row r="668">
      <c r="A668" s="134"/>
      <c r="B668" s="135"/>
      <c r="C668" s="136"/>
      <c r="D668" s="137"/>
      <c r="E668" s="137"/>
      <c r="F668" s="137"/>
      <c r="G668" s="137"/>
      <c r="H668" s="137"/>
      <c r="I668" s="137"/>
      <c r="J668" s="137"/>
      <c r="K668" s="137"/>
      <c r="L668" s="137"/>
      <c r="M668" s="137"/>
      <c r="N668" s="137"/>
      <c r="O668" s="138"/>
    </row>
    <row r="669">
      <c r="A669" s="134"/>
      <c r="B669" s="135"/>
      <c r="C669" s="136"/>
      <c r="D669" s="137"/>
      <c r="E669" s="137"/>
      <c r="F669" s="137"/>
      <c r="G669" s="137"/>
      <c r="H669" s="137"/>
      <c r="I669" s="137"/>
      <c r="J669" s="137"/>
      <c r="K669" s="137"/>
      <c r="L669" s="137"/>
      <c r="M669" s="137"/>
      <c r="N669" s="137"/>
      <c r="O669" s="138"/>
    </row>
    <row r="670">
      <c r="A670" s="134"/>
      <c r="B670" s="135"/>
      <c r="C670" s="136"/>
      <c r="D670" s="137"/>
      <c r="E670" s="137"/>
      <c r="F670" s="137"/>
      <c r="G670" s="137"/>
      <c r="H670" s="137"/>
      <c r="I670" s="137"/>
      <c r="J670" s="137"/>
      <c r="K670" s="137"/>
      <c r="L670" s="137"/>
      <c r="M670" s="137"/>
      <c r="N670" s="137"/>
      <c r="O670" s="138"/>
    </row>
    <row r="671">
      <c r="A671" s="134"/>
      <c r="B671" s="135"/>
      <c r="C671" s="136"/>
      <c r="D671" s="137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  <c r="O671" s="138"/>
    </row>
    <row r="672">
      <c r="A672" s="134"/>
      <c r="B672" s="135"/>
      <c r="C672" s="136"/>
      <c r="D672" s="137"/>
      <c r="E672" s="137"/>
      <c r="F672" s="137"/>
      <c r="G672" s="137"/>
      <c r="H672" s="137"/>
      <c r="I672" s="137"/>
      <c r="J672" s="137"/>
      <c r="K672" s="137"/>
      <c r="L672" s="137"/>
      <c r="M672" s="137"/>
      <c r="N672" s="137"/>
      <c r="O672" s="138"/>
    </row>
    <row r="673">
      <c r="A673" s="134"/>
      <c r="B673" s="135"/>
      <c r="C673" s="136"/>
      <c r="D673" s="137"/>
      <c r="E673" s="137"/>
      <c r="F673" s="137"/>
      <c r="G673" s="137"/>
      <c r="H673" s="137"/>
      <c r="I673" s="137"/>
      <c r="J673" s="137"/>
      <c r="K673" s="137"/>
      <c r="L673" s="137"/>
      <c r="M673" s="137"/>
      <c r="N673" s="137"/>
      <c r="O673" s="138"/>
    </row>
    <row r="674">
      <c r="A674" s="134"/>
      <c r="B674" s="135"/>
      <c r="C674" s="136"/>
      <c r="D674" s="137"/>
      <c r="E674" s="137"/>
      <c r="F674" s="137"/>
      <c r="G674" s="137"/>
      <c r="H674" s="137"/>
      <c r="I674" s="137"/>
      <c r="J674" s="137"/>
      <c r="K674" s="137"/>
      <c r="L674" s="137"/>
      <c r="M674" s="137"/>
      <c r="N674" s="137"/>
      <c r="O674" s="138"/>
    </row>
    <row r="675">
      <c r="A675" s="134"/>
      <c r="B675" s="135"/>
      <c r="C675" s="136"/>
      <c r="D675" s="137"/>
      <c r="E675" s="137"/>
      <c r="F675" s="137"/>
      <c r="G675" s="137"/>
      <c r="H675" s="137"/>
      <c r="I675" s="137"/>
      <c r="J675" s="137"/>
      <c r="K675" s="137"/>
      <c r="L675" s="137"/>
      <c r="M675" s="137"/>
      <c r="N675" s="137"/>
      <c r="O675" s="138"/>
    </row>
    <row r="676">
      <c r="A676" s="134"/>
      <c r="B676" s="135"/>
      <c r="C676" s="136"/>
      <c r="D676" s="137"/>
      <c r="E676" s="137"/>
      <c r="F676" s="137"/>
      <c r="G676" s="137"/>
      <c r="H676" s="137"/>
      <c r="I676" s="137"/>
      <c r="J676" s="137"/>
      <c r="K676" s="137"/>
      <c r="L676" s="137"/>
      <c r="M676" s="137"/>
      <c r="N676" s="137"/>
      <c r="O676" s="138"/>
    </row>
    <row r="677">
      <c r="A677" s="134"/>
      <c r="B677" s="135"/>
      <c r="C677" s="136"/>
      <c r="D677" s="137"/>
      <c r="E677" s="137"/>
      <c r="F677" s="137"/>
      <c r="G677" s="137"/>
      <c r="H677" s="137"/>
      <c r="I677" s="137"/>
      <c r="J677" s="137"/>
      <c r="K677" s="137"/>
      <c r="L677" s="137"/>
      <c r="M677" s="137"/>
      <c r="N677" s="137"/>
      <c r="O677" s="138"/>
    </row>
    <row r="678">
      <c r="A678" s="134"/>
      <c r="B678" s="135"/>
      <c r="C678" s="136"/>
      <c r="D678" s="137"/>
      <c r="E678" s="137"/>
      <c r="F678" s="137"/>
      <c r="G678" s="137"/>
      <c r="H678" s="137"/>
      <c r="I678" s="137"/>
      <c r="J678" s="137"/>
      <c r="K678" s="137"/>
      <c r="L678" s="137"/>
      <c r="M678" s="137"/>
      <c r="N678" s="137"/>
      <c r="O678" s="138"/>
    </row>
    <row r="679">
      <c r="A679" s="134"/>
      <c r="B679" s="135"/>
      <c r="C679" s="136"/>
      <c r="D679" s="137"/>
      <c r="E679" s="137"/>
      <c r="F679" s="137"/>
      <c r="G679" s="137"/>
      <c r="H679" s="137"/>
      <c r="I679" s="137"/>
      <c r="J679" s="137"/>
      <c r="K679" s="137"/>
      <c r="L679" s="137"/>
      <c r="M679" s="137"/>
      <c r="N679" s="137"/>
      <c r="O679" s="138"/>
    </row>
    <row r="680">
      <c r="A680" s="134"/>
      <c r="B680" s="135"/>
      <c r="C680" s="136"/>
      <c r="D680" s="137"/>
      <c r="E680" s="137"/>
      <c r="F680" s="137"/>
      <c r="G680" s="137"/>
      <c r="H680" s="137"/>
      <c r="I680" s="137"/>
      <c r="J680" s="137"/>
      <c r="K680" s="137"/>
      <c r="L680" s="137"/>
      <c r="M680" s="137"/>
      <c r="N680" s="137"/>
      <c r="O680" s="138"/>
    </row>
    <row r="681">
      <c r="A681" s="134"/>
      <c r="B681" s="135"/>
      <c r="C681" s="136"/>
      <c r="D681" s="137"/>
      <c r="E681" s="137"/>
      <c r="F681" s="137"/>
      <c r="G681" s="137"/>
      <c r="H681" s="137"/>
      <c r="I681" s="137"/>
      <c r="J681" s="137"/>
      <c r="K681" s="137"/>
      <c r="L681" s="137"/>
      <c r="M681" s="137"/>
      <c r="N681" s="137"/>
      <c r="O681" s="138"/>
    </row>
    <row r="682">
      <c r="A682" s="134"/>
      <c r="B682" s="135"/>
      <c r="C682" s="136"/>
      <c r="D682" s="137"/>
      <c r="E682" s="137"/>
      <c r="F682" s="137"/>
      <c r="G682" s="137"/>
      <c r="H682" s="137"/>
      <c r="I682" s="137"/>
      <c r="J682" s="137"/>
      <c r="K682" s="137"/>
      <c r="L682" s="137"/>
      <c r="M682" s="137"/>
      <c r="N682" s="137"/>
      <c r="O682" s="138"/>
    </row>
    <row r="683">
      <c r="A683" s="134"/>
      <c r="B683" s="135"/>
      <c r="C683" s="136"/>
      <c r="D683" s="137"/>
      <c r="E683" s="137"/>
      <c r="F683" s="137"/>
      <c r="G683" s="137"/>
      <c r="H683" s="137"/>
      <c r="I683" s="137"/>
      <c r="J683" s="137"/>
      <c r="K683" s="137"/>
      <c r="L683" s="137"/>
      <c r="M683" s="137"/>
      <c r="N683" s="137"/>
      <c r="O683" s="138"/>
    </row>
    <row r="684">
      <c r="A684" s="134"/>
      <c r="B684" s="135"/>
      <c r="C684" s="136"/>
      <c r="D684" s="137"/>
      <c r="E684" s="137"/>
      <c r="F684" s="137"/>
      <c r="G684" s="137"/>
      <c r="H684" s="137"/>
      <c r="I684" s="137"/>
      <c r="J684" s="137"/>
      <c r="K684" s="137"/>
      <c r="L684" s="137"/>
      <c r="M684" s="137"/>
      <c r="N684" s="137"/>
      <c r="O684" s="138"/>
    </row>
    <row r="685">
      <c r="A685" s="134"/>
      <c r="B685" s="135"/>
      <c r="C685" s="136"/>
      <c r="D685" s="137"/>
      <c r="E685" s="137"/>
      <c r="F685" s="137"/>
      <c r="G685" s="137"/>
      <c r="H685" s="137"/>
      <c r="I685" s="137"/>
      <c r="J685" s="137"/>
      <c r="K685" s="137"/>
      <c r="L685" s="137"/>
      <c r="M685" s="137"/>
      <c r="N685" s="137"/>
      <c r="O685" s="138"/>
    </row>
    <row r="686">
      <c r="A686" s="134"/>
      <c r="B686" s="135"/>
      <c r="C686" s="136"/>
      <c r="D686" s="137"/>
      <c r="E686" s="137"/>
      <c r="F686" s="137"/>
      <c r="G686" s="137"/>
      <c r="H686" s="137"/>
      <c r="I686" s="137"/>
      <c r="J686" s="137"/>
      <c r="K686" s="137"/>
      <c r="L686" s="137"/>
      <c r="M686" s="137"/>
      <c r="N686" s="137"/>
      <c r="O686" s="138"/>
    </row>
    <row r="687">
      <c r="A687" s="134"/>
      <c r="B687" s="135"/>
      <c r="C687" s="136"/>
      <c r="D687" s="137"/>
      <c r="E687" s="137"/>
      <c r="F687" s="137"/>
      <c r="G687" s="137"/>
      <c r="H687" s="137"/>
      <c r="I687" s="137"/>
      <c r="J687" s="137"/>
      <c r="K687" s="137"/>
      <c r="L687" s="137"/>
      <c r="M687" s="137"/>
      <c r="N687" s="137"/>
      <c r="O687" s="138"/>
    </row>
    <row r="688">
      <c r="A688" s="134"/>
      <c r="B688" s="135"/>
      <c r="C688" s="136"/>
      <c r="D688" s="137"/>
      <c r="E688" s="137"/>
      <c r="F688" s="137"/>
      <c r="G688" s="137"/>
      <c r="H688" s="137"/>
      <c r="I688" s="137"/>
      <c r="J688" s="137"/>
      <c r="K688" s="137"/>
      <c r="L688" s="137"/>
      <c r="M688" s="137"/>
      <c r="N688" s="137"/>
      <c r="O688" s="138"/>
    </row>
    <row r="689">
      <c r="A689" s="134"/>
      <c r="B689" s="135"/>
      <c r="C689" s="136"/>
      <c r="D689" s="137"/>
      <c r="E689" s="137"/>
      <c r="F689" s="137"/>
      <c r="G689" s="137"/>
      <c r="H689" s="137"/>
      <c r="I689" s="137"/>
      <c r="J689" s="137"/>
      <c r="K689" s="137"/>
      <c r="L689" s="137"/>
      <c r="M689" s="137"/>
      <c r="N689" s="137"/>
      <c r="O689" s="138"/>
    </row>
    <row r="690">
      <c r="A690" s="134"/>
      <c r="B690" s="135"/>
      <c r="C690" s="136"/>
      <c r="D690" s="137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  <c r="O690" s="138"/>
    </row>
    <row r="691">
      <c r="A691" s="134"/>
      <c r="B691" s="135"/>
      <c r="C691" s="136"/>
      <c r="D691" s="137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  <c r="O691" s="138"/>
    </row>
    <row r="692">
      <c r="A692" s="134"/>
      <c r="B692" s="135"/>
      <c r="C692" s="136"/>
      <c r="D692" s="137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  <c r="O692" s="138"/>
    </row>
    <row r="693">
      <c r="A693" s="134"/>
      <c r="B693" s="135"/>
      <c r="C693" s="136"/>
      <c r="D693" s="137"/>
      <c r="E693" s="137"/>
      <c r="F693" s="137"/>
      <c r="G693" s="137"/>
      <c r="H693" s="137"/>
      <c r="I693" s="137"/>
      <c r="J693" s="137"/>
      <c r="K693" s="137"/>
      <c r="L693" s="137"/>
      <c r="M693" s="137"/>
      <c r="N693" s="137"/>
      <c r="O693" s="138"/>
    </row>
    <row r="694">
      <c r="A694" s="134"/>
      <c r="B694" s="135"/>
      <c r="C694" s="136"/>
      <c r="D694" s="137"/>
      <c r="E694" s="137"/>
      <c r="F694" s="137"/>
      <c r="G694" s="137"/>
      <c r="H694" s="137"/>
      <c r="I694" s="137"/>
      <c r="J694" s="137"/>
      <c r="K694" s="137"/>
      <c r="L694" s="137"/>
      <c r="M694" s="137"/>
      <c r="N694" s="137"/>
      <c r="O694" s="138"/>
    </row>
    <row r="695">
      <c r="A695" s="134"/>
      <c r="B695" s="135"/>
      <c r="C695" s="136"/>
      <c r="D695" s="137"/>
      <c r="E695" s="137"/>
      <c r="F695" s="137"/>
      <c r="G695" s="137"/>
      <c r="H695" s="137"/>
      <c r="I695" s="137"/>
      <c r="J695" s="137"/>
      <c r="K695" s="137"/>
      <c r="L695" s="137"/>
      <c r="M695" s="137"/>
      <c r="N695" s="137"/>
      <c r="O695" s="138"/>
    </row>
    <row r="696">
      <c r="A696" s="134"/>
      <c r="B696" s="135"/>
      <c r="C696" s="136"/>
      <c r="D696" s="137"/>
      <c r="E696" s="137"/>
      <c r="F696" s="137"/>
      <c r="G696" s="137"/>
      <c r="H696" s="137"/>
      <c r="I696" s="137"/>
      <c r="J696" s="137"/>
      <c r="K696" s="137"/>
      <c r="L696" s="137"/>
      <c r="M696" s="137"/>
      <c r="N696" s="137"/>
      <c r="O696" s="138"/>
    </row>
    <row r="697">
      <c r="A697" s="134"/>
      <c r="B697" s="135"/>
      <c r="C697" s="136"/>
      <c r="D697" s="137"/>
      <c r="E697" s="137"/>
      <c r="F697" s="137"/>
      <c r="G697" s="137"/>
      <c r="H697" s="137"/>
      <c r="I697" s="137"/>
      <c r="J697" s="137"/>
      <c r="K697" s="137"/>
      <c r="L697" s="137"/>
      <c r="M697" s="137"/>
      <c r="N697" s="137"/>
      <c r="O697" s="138"/>
    </row>
    <row r="698">
      <c r="A698" s="134"/>
      <c r="B698" s="135"/>
      <c r="C698" s="136"/>
      <c r="D698" s="137"/>
      <c r="E698" s="137"/>
      <c r="F698" s="137"/>
      <c r="G698" s="137"/>
      <c r="H698" s="137"/>
      <c r="I698" s="137"/>
      <c r="J698" s="137"/>
      <c r="K698" s="137"/>
      <c r="L698" s="137"/>
      <c r="M698" s="137"/>
      <c r="N698" s="137"/>
      <c r="O698" s="138"/>
    </row>
    <row r="699">
      <c r="A699" s="134"/>
      <c r="B699" s="135"/>
      <c r="C699" s="136"/>
      <c r="D699" s="137"/>
      <c r="E699" s="137"/>
      <c r="F699" s="137"/>
      <c r="G699" s="137"/>
      <c r="H699" s="137"/>
      <c r="I699" s="137"/>
      <c r="J699" s="137"/>
      <c r="K699" s="137"/>
      <c r="L699" s="137"/>
      <c r="M699" s="137"/>
      <c r="N699" s="137"/>
      <c r="O699" s="138"/>
    </row>
    <row r="700">
      <c r="A700" s="134"/>
      <c r="B700" s="135"/>
      <c r="C700" s="136"/>
      <c r="D700" s="137"/>
      <c r="E700" s="137"/>
      <c r="F700" s="137"/>
      <c r="G700" s="137"/>
      <c r="H700" s="137"/>
      <c r="I700" s="137"/>
      <c r="J700" s="137"/>
      <c r="K700" s="137"/>
      <c r="L700" s="137"/>
      <c r="M700" s="137"/>
      <c r="N700" s="137"/>
      <c r="O700" s="138"/>
    </row>
    <row r="701">
      <c r="A701" s="134"/>
      <c r="B701" s="135"/>
      <c r="C701" s="136"/>
      <c r="D701" s="137"/>
      <c r="E701" s="137"/>
      <c r="F701" s="137"/>
      <c r="G701" s="137"/>
      <c r="H701" s="137"/>
      <c r="I701" s="137"/>
      <c r="J701" s="137"/>
      <c r="K701" s="137"/>
      <c r="L701" s="137"/>
      <c r="M701" s="137"/>
      <c r="N701" s="137"/>
      <c r="O701" s="138"/>
    </row>
    <row r="702">
      <c r="A702" s="134"/>
      <c r="B702" s="135"/>
      <c r="C702" s="136"/>
      <c r="D702" s="137"/>
      <c r="E702" s="137"/>
      <c r="F702" s="137"/>
      <c r="G702" s="137"/>
      <c r="H702" s="137"/>
      <c r="I702" s="137"/>
      <c r="J702" s="137"/>
      <c r="K702" s="137"/>
      <c r="L702" s="137"/>
      <c r="M702" s="137"/>
      <c r="N702" s="137"/>
      <c r="O702" s="138"/>
    </row>
    <row r="703">
      <c r="A703" s="134"/>
      <c r="B703" s="135"/>
      <c r="C703" s="136"/>
      <c r="D703" s="137"/>
      <c r="E703" s="137"/>
      <c r="F703" s="137"/>
      <c r="G703" s="137"/>
      <c r="H703" s="137"/>
      <c r="I703" s="137"/>
      <c r="J703" s="137"/>
      <c r="K703" s="137"/>
      <c r="L703" s="137"/>
      <c r="M703" s="137"/>
      <c r="N703" s="137"/>
      <c r="O703" s="138"/>
    </row>
    <row r="704">
      <c r="A704" s="134"/>
      <c r="B704" s="135"/>
      <c r="C704" s="136"/>
      <c r="D704" s="137"/>
      <c r="E704" s="137"/>
      <c r="F704" s="137"/>
      <c r="G704" s="137"/>
      <c r="H704" s="137"/>
      <c r="I704" s="137"/>
      <c r="J704" s="137"/>
      <c r="K704" s="137"/>
      <c r="L704" s="137"/>
      <c r="M704" s="137"/>
      <c r="N704" s="137"/>
      <c r="O704" s="138"/>
    </row>
    <row r="705">
      <c r="A705" s="134"/>
      <c r="B705" s="135"/>
      <c r="C705" s="136"/>
      <c r="D705" s="137"/>
      <c r="E705" s="137"/>
      <c r="F705" s="137"/>
      <c r="G705" s="137"/>
      <c r="H705" s="137"/>
      <c r="I705" s="137"/>
      <c r="J705" s="137"/>
      <c r="K705" s="137"/>
      <c r="L705" s="137"/>
      <c r="M705" s="137"/>
      <c r="N705" s="137"/>
      <c r="O705" s="138"/>
    </row>
    <row r="706">
      <c r="A706" s="134"/>
      <c r="B706" s="135"/>
      <c r="C706" s="136"/>
      <c r="D706" s="137"/>
      <c r="E706" s="137"/>
      <c r="F706" s="137"/>
      <c r="G706" s="137"/>
      <c r="H706" s="137"/>
      <c r="I706" s="137"/>
      <c r="J706" s="137"/>
      <c r="K706" s="137"/>
      <c r="L706" s="137"/>
      <c r="M706" s="137"/>
      <c r="N706" s="137"/>
      <c r="O706" s="138"/>
    </row>
    <row r="707">
      <c r="A707" s="134"/>
      <c r="B707" s="135"/>
      <c r="C707" s="136"/>
      <c r="D707" s="137"/>
      <c r="E707" s="137"/>
      <c r="F707" s="137"/>
      <c r="G707" s="137"/>
      <c r="H707" s="137"/>
      <c r="I707" s="137"/>
      <c r="J707" s="137"/>
      <c r="K707" s="137"/>
      <c r="L707" s="137"/>
      <c r="M707" s="137"/>
      <c r="N707" s="137"/>
      <c r="O707" s="138"/>
    </row>
    <row r="708">
      <c r="A708" s="134"/>
      <c r="B708" s="135"/>
      <c r="C708" s="136"/>
      <c r="D708" s="137"/>
      <c r="E708" s="137"/>
      <c r="F708" s="137"/>
      <c r="G708" s="137"/>
      <c r="H708" s="137"/>
      <c r="I708" s="137"/>
      <c r="J708" s="137"/>
      <c r="K708" s="137"/>
      <c r="L708" s="137"/>
      <c r="M708" s="137"/>
      <c r="N708" s="137"/>
      <c r="O708" s="138"/>
    </row>
    <row r="709">
      <c r="A709" s="134"/>
      <c r="B709" s="135"/>
      <c r="C709" s="136"/>
      <c r="D709" s="137"/>
      <c r="E709" s="137"/>
      <c r="F709" s="137"/>
      <c r="G709" s="137"/>
      <c r="H709" s="137"/>
      <c r="I709" s="137"/>
      <c r="J709" s="137"/>
      <c r="K709" s="137"/>
      <c r="L709" s="137"/>
      <c r="M709" s="137"/>
      <c r="N709" s="137"/>
      <c r="O709" s="138"/>
    </row>
    <row r="710">
      <c r="A710" s="134"/>
      <c r="B710" s="135"/>
      <c r="C710" s="136"/>
      <c r="D710" s="137"/>
      <c r="E710" s="137"/>
      <c r="F710" s="137"/>
      <c r="G710" s="137"/>
      <c r="H710" s="137"/>
      <c r="I710" s="137"/>
      <c r="J710" s="137"/>
      <c r="K710" s="137"/>
      <c r="L710" s="137"/>
      <c r="M710" s="137"/>
      <c r="N710" s="137"/>
      <c r="O710" s="138"/>
    </row>
    <row r="711">
      <c r="A711" s="134"/>
      <c r="B711" s="135"/>
      <c r="C711" s="136"/>
      <c r="D711" s="137"/>
      <c r="E711" s="137"/>
      <c r="F711" s="137"/>
      <c r="G711" s="137"/>
      <c r="H711" s="137"/>
      <c r="I711" s="137"/>
      <c r="J711" s="137"/>
      <c r="K711" s="137"/>
      <c r="L711" s="137"/>
      <c r="M711" s="137"/>
      <c r="N711" s="137"/>
      <c r="O711" s="138"/>
    </row>
    <row r="712">
      <c r="A712" s="134"/>
      <c r="B712" s="135"/>
      <c r="C712" s="136"/>
      <c r="D712" s="137"/>
      <c r="E712" s="137"/>
      <c r="F712" s="137"/>
      <c r="G712" s="137"/>
      <c r="H712" s="137"/>
      <c r="I712" s="137"/>
      <c r="J712" s="137"/>
      <c r="K712" s="137"/>
      <c r="L712" s="137"/>
      <c r="M712" s="137"/>
      <c r="N712" s="137"/>
      <c r="O712" s="138"/>
    </row>
    <row r="713">
      <c r="A713" s="134"/>
      <c r="B713" s="135"/>
      <c r="C713" s="136"/>
      <c r="D713" s="137"/>
      <c r="E713" s="137"/>
      <c r="F713" s="137"/>
      <c r="G713" s="137"/>
      <c r="H713" s="137"/>
      <c r="I713" s="137"/>
      <c r="J713" s="137"/>
      <c r="K713" s="137"/>
      <c r="L713" s="137"/>
      <c r="M713" s="137"/>
      <c r="N713" s="137"/>
      <c r="O713" s="138"/>
    </row>
    <row r="714">
      <c r="A714" s="134"/>
      <c r="B714" s="135"/>
      <c r="C714" s="136"/>
      <c r="D714" s="137"/>
      <c r="E714" s="137"/>
      <c r="F714" s="137"/>
      <c r="G714" s="137"/>
      <c r="H714" s="137"/>
      <c r="I714" s="137"/>
      <c r="J714" s="137"/>
      <c r="K714" s="137"/>
      <c r="L714" s="137"/>
      <c r="M714" s="137"/>
      <c r="N714" s="137"/>
      <c r="O714" s="138"/>
    </row>
    <row r="715">
      <c r="A715" s="134"/>
      <c r="B715" s="135"/>
      <c r="C715" s="136"/>
      <c r="D715" s="137"/>
      <c r="E715" s="137"/>
      <c r="F715" s="137"/>
      <c r="G715" s="137"/>
      <c r="H715" s="137"/>
      <c r="I715" s="137"/>
      <c r="J715" s="137"/>
      <c r="K715" s="137"/>
      <c r="L715" s="137"/>
      <c r="M715" s="137"/>
      <c r="N715" s="137"/>
      <c r="O715" s="138"/>
    </row>
    <row r="716">
      <c r="A716" s="134"/>
      <c r="B716" s="135"/>
      <c r="C716" s="136"/>
      <c r="D716" s="137"/>
      <c r="E716" s="137"/>
      <c r="F716" s="137"/>
      <c r="G716" s="137"/>
      <c r="H716" s="137"/>
      <c r="I716" s="137"/>
      <c r="J716" s="137"/>
      <c r="K716" s="137"/>
      <c r="L716" s="137"/>
      <c r="M716" s="137"/>
      <c r="N716" s="137"/>
      <c r="O716" s="138"/>
    </row>
    <row r="717">
      <c r="A717" s="134"/>
      <c r="B717" s="135"/>
      <c r="C717" s="136"/>
      <c r="D717" s="137"/>
      <c r="E717" s="137"/>
      <c r="F717" s="137"/>
      <c r="G717" s="137"/>
      <c r="H717" s="137"/>
      <c r="I717" s="137"/>
      <c r="J717" s="137"/>
      <c r="K717" s="137"/>
      <c r="L717" s="137"/>
      <c r="M717" s="137"/>
      <c r="N717" s="137"/>
      <c r="O717" s="138"/>
    </row>
    <row r="718">
      <c r="A718" s="134"/>
      <c r="B718" s="135"/>
      <c r="C718" s="136"/>
      <c r="D718" s="137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  <c r="O718" s="138"/>
    </row>
    <row r="719">
      <c r="A719" s="134"/>
      <c r="B719" s="135"/>
      <c r="C719" s="136"/>
      <c r="D719" s="137"/>
      <c r="E719" s="137"/>
      <c r="F719" s="137"/>
      <c r="G719" s="137"/>
      <c r="H719" s="137"/>
      <c r="I719" s="137"/>
      <c r="J719" s="137"/>
      <c r="K719" s="137"/>
      <c r="L719" s="137"/>
      <c r="M719" s="137"/>
      <c r="N719" s="137"/>
      <c r="O719" s="138"/>
    </row>
    <row r="720">
      <c r="A720" s="134"/>
      <c r="B720" s="135"/>
      <c r="C720" s="136"/>
      <c r="D720" s="137"/>
      <c r="E720" s="137"/>
      <c r="F720" s="137"/>
      <c r="G720" s="137"/>
      <c r="H720" s="137"/>
      <c r="I720" s="137"/>
      <c r="J720" s="137"/>
      <c r="K720" s="137"/>
      <c r="L720" s="137"/>
      <c r="M720" s="137"/>
      <c r="N720" s="137"/>
      <c r="O720" s="138"/>
    </row>
    <row r="721">
      <c r="A721" s="134"/>
      <c r="B721" s="135"/>
      <c r="C721" s="136"/>
      <c r="D721" s="137"/>
      <c r="E721" s="137"/>
      <c r="F721" s="137"/>
      <c r="G721" s="137"/>
      <c r="H721" s="137"/>
      <c r="I721" s="137"/>
      <c r="J721" s="137"/>
      <c r="K721" s="137"/>
      <c r="L721" s="137"/>
      <c r="M721" s="137"/>
      <c r="N721" s="137"/>
      <c r="O721" s="138"/>
    </row>
    <row r="722">
      <c r="A722" s="134"/>
      <c r="B722" s="135"/>
      <c r="C722" s="136"/>
      <c r="D722" s="137"/>
      <c r="E722" s="137"/>
      <c r="F722" s="137"/>
      <c r="G722" s="137"/>
      <c r="H722" s="137"/>
      <c r="I722" s="137"/>
      <c r="J722" s="137"/>
      <c r="K722" s="137"/>
      <c r="L722" s="137"/>
      <c r="M722" s="137"/>
      <c r="N722" s="137"/>
      <c r="O722" s="138"/>
    </row>
    <row r="723">
      <c r="A723" s="134"/>
      <c r="B723" s="135"/>
      <c r="C723" s="136"/>
      <c r="D723" s="137"/>
      <c r="E723" s="137"/>
      <c r="F723" s="137"/>
      <c r="G723" s="137"/>
      <c r="H723" s="137"/>
      <c r="I723" s="137"/>
      <c r="J723" s="137"/>
      <c r="K723" s="137"/>
      <c r="L723" s="137"/>
      <c r="M723" s="137"/>
      <c r="N723" s="137"/>
      <c r="O723" s="138"/>
    </row>
    <row r="724">
      <c r="A724" s="134"/>
      <c r="B724" s="135"/>
      <c r="C724" s="136"/>
      <c r="D724" s="137"/>
      <c r="E724" s="137"/>
      <c r="F724" s="137"/>
      <c r="G724" s="137"/>
      <c r="H724" s="137"/>
      <c r="I724" s="137"/>
      <c r="J724" s="137"/>
      <c r="K724" s="137"/>
      <c r="L724" s="137"/>
      <c r="M724" s="137"/>
      <c r="N724" s="137"/>
      <c r="O724" s="138"/>
    </row>
    <row r="725">
      <c r="A725" s="134"/>
      <c r="B725" s="135"/>
      <c r="C725" s="136"/>
      <c r="D725" s="137"/>
      <c r="E725" s="137"/>
      <c r="F725" s="137"/>
      <c r="G725" s="137"/>
      <c r="H725" s="137"/>
      <c r="I725" s="137"/>
      <c r="J725" s="137"/>
      <c r="K725" s="137"/>
      <c r="L725" s="137"/>
      <c r="M725" s="137"/>
      <c r="N725" s="137"/>
      <c r="O725" s="138"/>
    </row>
    <row r="726">
      <c r="A726" s="134"/>
      <c r="B726" s="135"/>
      <c r="C726" s="136"/>
      <c r="D726" s="137"/>
      <c r="E726" s="137"/>
      <c r="F726" s="137"/>
      <c r="G726" s="137"/>
      <c r="H726" s="137"/>
      <c r="I726" s="137"/>
      <c r="J726" s="137"/>
      <c r="K726" s="137"/>
      <c r="L726" s="137"/>
      <c r="M726" s="137"/>
      <c r="N726" s="137"/>
      <c r="O726" s="138"/>
    </row>
    <row r="727">
      <c r="A727" s="134"/>
      <c r="B727" s="135"/>
      <c r="C727" s="136"/>
      <c r="D727" s="137"/>
      <c r="E727" s="137"/>
      <c r="F727" s="137"/>
      <c r="G727" s="137"/>
      <c r="H727" s="137"/>
      <c r="I727" s="137"/>
      <c r="J727" s="137"/>
      <c r="K727" s="137"/>
      <c r="L727" s="137"/>
      <c r="M727" s="137"/>
      <c r="N727" s="137"/>
      <c r="O727" s="138"/>
    </row>
    <row r="728">
      <c r="A728" s="134"/>
      <c r="B728" s="135"/>
      <c r="C728" s="136"/>
      <c r="D728" s="137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  <c r="O728" s="138"/>
    </row>
    <row r="729">
      <c r="A729" s="134"/>
      <c r="B729" s="135"/>
      <c r="C729" s="136"/>
      <c r="D729" s="137"/>
      <c r="E729" s="137"/>
      <c r="F729" s="137"/>
      <c r="G729" s="137"/>
      <c r="H729" s="137"/>
      <c r="I729" s="137"/>
      <c r="J729" s="137"/>
      <c r="K729" s="137"/>
      <c r="L729" s="137"/>
      <c r="M729" s="137"/>
      <c r="N729" s="137"/>
      <c r="O729" s="138"/>
    </row>
    <row r="730">
      <c r="A730" s="134"/>
      <c r="B730" s="135"/>
      <c r="C730" s="136"/>
      <c r="D730" s="137"/>
      <c r="E730" s="137"/>
      <c r="F730" s="137"/>
      <c r="G730" s="137"/>
      <c r="H730" s="137"/>
      <c r="I730" s="137"/>
      <c r="J730" s="137"/>
      <c r="K730" s="137"/>
      <c r="L730" s="137"/>
      <c r="M730" s="137"/>
      <c r="N730" s="137"/>
      <c r="O730" s="138"/>
    </row>
    <row r="731">
      <c r="A731" s="134"/>
      <c r="B731" s="135"/>
      <c r="C731" s="136"/>
      <c r="D731" s="137"/>
      <c r="E731" s="137"/>
      <c r="F731" s="137"/>
      <c r="G731" s="137"/>
      <c r="H731" s="137"/>
      <c r="I731" s="137"/>
      <c r="J731" s="137"/>
      <c r="K731" s="137"/>
      <c r="L731" s="137"/>
      <c r="M731" s="137"/>
      <c r="N731" s="137"/>
      <c r="O731" s="138"/>
    </row>
    <row r="732">
      <c r="A732" s="134"/>
      <c r="B732" s="135"/>
      <c r="C732" s="136"/>
      <c r="D732" s="137"/>
      <c r="E732" s="137"/>
      <c r="F732" s="137"/>
      <c r="G732" s="137"/>
      <c r="H732" s="137"/>
      <c r="I732" s="137"/>
      <c r="J732" s="137"/>
      <c r="K732" s="137"/>
      <c r="L732" s="137"/>
      <c r="M732" s="137"/>
      <c r="N732" s="137"/>
      <c r="O732" s="138"/>
    </row>
    <row r="733">
      <c r="A733" s="134"/>
      <c r="B733" s="135"/>
      <c r="C733" s="136"/>
      <c r="D733" s="137"/>
      <c r="E733" s="137"/>
      <c r="F733" s="137"/>
      <c r="G733" s="137"/>
      <c r="H733" s="137"/>
      <c r="I733" s="137"/>
      <c r="J733" s="137"/>
      <c r="K733" s="137"/>
      <c r="L733" s="137"/>
      <c r="M733" s="137"/>
      <c r="N733" s="137"/>
      <c r="O733" s="138"/>
    </row>
    <row r="734">
      <c r="A734" s="134"/>
      <c r="B734" s="135"/>
      <c r="C734" s="136"/>
      <c r="D734" s="137"/>
      <c r="E734" s="137"/>
      <c r="F734" s="137"/>
      <c r="G734" s="137"/>
      <c r="H734" s="137"/>
      <c r="I734" s="137"/>
      <c r="J734" s="137"/>
      <c r="K734" s="137"/>
      <c r="L734" s="137"/>
      <c r="M734" s="137"/>
      <c r="N734" s="137"/>
      <c r="O734" s="138"/>
    </row>
    <row r="735">
      <c r="A735" s="134"/>
      <c r="B735" s="135"/>
      <c r="C735" s="136"/>
      <c r="D735" s="137"/>
      <c r="E735" s="137"/>
      <c r="F735" s="137"/>
      <c r="G735" s="137"/>
      <c r="H735" s="137"/>
      <c r="I735" s="137"/>
      <c r="J735" s="137"/>
      <c r="K735" s="137"/>
      <c r="L735" s="137"/>
      <c r="M735" s="137"/>
      <c r="N735" s="137"/>
      <c r="O735" s="138"/>
    </row>
    <row r="736">
      <c r="A736" s="134"/>
      <c r="B736" s="135"/>
      <c r="C736" s="136"/>
      <c r="D736" s="137"/>
      <c r="E736" s="137"/>
      <c r="F736" s="137"/>
      <c r="G736" s="137"/>
      <c r="H736" s="137"/>
      <c r="I736" s="137"/>
      <c r="J736" s="137"/>
      <c r="K736" s="137"/>
      <c r="L736" s="137"/>
      <c r="M736" s="137"/>
      <c r="N736" s="137"/>
      <c r="O736" s="138"/>
    </row>
    <row r="737">
      <c r="A737" s="134"/>
      <c r="B737" s="135"/>
      <c r="C737" s="136"/>
      <c r="D737" s="137"/>
      <c r="E737" s="137"/>
      <c r="F737" s="137"/>
      <c r="G737" s="137"/>
      <c r="H737" s="137"/>
      <c r="I737" s="137"/>
      <c r="J737" s="137"/>
      <c r="K737" s="137"/>
      <c r="L737" s="137"/>
      <c r="M737" s="137"/>
      <c r="N737" s="137"/>
      <c r="O737" s="138"/>
    </row>
    <row r="738">
      <c r="A738" s="134"/>
      <c r="B738" s="135"/>
      <c r="C738" s="136"/>
      <c r="D738" s="137"/>
      <c r="E738" s="137"/>
      <c r="F738" s="137"/>
      <c r="G738" s="137"/>
      <c r="H738" s="137"/>
      <c r="I738" s="137"/>
      <c r="J738" s="137"/>
      <c r="K738" s="137"/>
      <c r="L738" s="137"/>
      <c r="M738" s="137"/>
      <c r="N738" s="137"/>
      <c r="O738" s="138"/>
    </row>
    <row r="739">
      <c r="A739" s="134"/>
      <c r="B739" s="135"/>
      <c r="C739" s="136"/>
      <c r="D739" s="137"/>
      <c r="E739" s="137"/>
      <c r="F739" s="137"/>
      <c r="G739" s="137"/>
      <c r="H739" s="137"/>
      <c r="I739" s="137"/>
      <c r="J739" s="137"/>
      <c r="K739" s="137"/>
      <c r="L739" s="137"/>
      <c r="M739" s="137"/>
      <c r="N739" s="137"/>
      <c r="O739" s="138"/>
    </row>
    <row r="740">
      <c r="A740" s="134"/>
      <c r="B740" s="135"/>
      <c r="C740" s="136"/>
      <c r="D740" s="137"/>
      <c r="E740" s="137"/>
      <c r="F740" s="137"/>
      <c r="G740" s="137"/>
      <c r="H740" s="137"/>
      <c r="I740" s="137"/>
      <c r="J740" s="137"/>
      <c r="K740" s="137"/>
      <c r="L740" s="137"/>
      <c r="M740" s="137"/>
      <c r="N740" s="137"/>
      <c r="O740" s="138"/>
    </row>
    <row r="741">
      <c r="A741" s="134"/>
      <c r="B741" s="135"/>
      <c r="C741" s="136"/>
      <c r="D741" s="137"/>
      <c r="E741" s="137"/>
      <c r="F741" s="137"/>
      <c r="G741" s="137"/>
      <c r="H741" s="137"/>
      <c r="I741" s="137"/>
      <c r="J741" s="137"/>
      <c r="K741" s="137"/>
      <c r="L741" s="137"/>
      <c r="M741" s="137"/>
      <c r="N741" s="137"/>
      <c r="O741" s="138"/>
    </row>
    <row r="742">
      <c r="A742" s="134"/>
      <c r="B742" s="135"/>
      <c r="C742" s="136"/>
      <c r="D742" s="137"/>
      <c r="E742" s="137"/>
      <c r="F742" s="137"/>
      <c r="G742" s="137"/>
      <c r="H742" s="137"/>
      <c r="I742" s="137"/>
      <c r="J742" s="137"/>
      <c r="K742" s="137"/>
      <c r="L742" s="137"/>
      <c r="M742" s="137"/>
      <c r="N742" s="137"/>
      <c r="O742" s="138"/>
    </row>
    <row r="743">
      <c r="A743" s="134"/>
      <c r="B743" s="135"/>
      <c r="C743" s="136"/>
      <c r="D743" s="137"/>
      <c r="E743" s="137"/>
      <c r="F743" s="137"/>
      <c r="G743" s="137"/>
      <c r="H743" s="137"/>
      <c r="I743" s="137"/>
      <c r="J743" s="137"/>
      <c r="K743" s="137"/>
      <c r="L743" s="137"/>
      <c r="M743" s="137"/>
      <c r="N743" s="137"/>
      <c r="O743" s="138"/>
    </row>
    <row r="744">
      <c r="A744" s="134"/>
      <c r="B744" s="135"/>
      <c r="C744" s="136"/>
      <c r="D744" s="137"/>
      <c r="E744" s="137"/>
      <c r="F744" s="137"/>
      <c r="G744" s="137"/>
      <c r="H744" s="137"/>
      <c r="I744" s="137"/>
      <c r="J744" s="137"/>
      <c r="K744" s="137"/>
      <c r="L744" s="137"/>
      <c r="M744" s="137"/>
      <c r="N744" s="137"/>
      <c r="O744" s="138"/>
    </row>
    <row r="745">
      <c r="A745" s="134"/>
      <c r="B745" s="135"/>
      <c r="C745" s="136"/>
      <c r="D745" s="137"/>
      <c r="E745" s="137"/>
      <c r="F745" s="137"/>
      <c r="G745" s="137"/>
      <c r="H745" s="137"/>
      <c r="I745" s="137"/>
      <c r="J745" s="137"/>
      <c r="K745" s="137"/>
      <c r="L745" s="137"/>
      <c r="M745" s="137"/>
      <c r="N745" s="137"/>
      <c r="O745" s="138"/>
    </row>
    <row r="746">
      <c r="A746" s="134"/>
      <c r="B746" s="135"/>
      <c r="C746" s="136"/>
      <c r="D746" s="137"/>
      <c r="E746" s="137"/>
      <c r="F746" s="137"/>
      <c r="G746" s="137"/>
      <c r="H746" s="137"/>
      <c r="I746" s="137"/>
      <c r="J746" s="137"/>
      <c r="K746" s="137"/>
      <c r="L746" s="137"/>
      <c r="M746" s="137"/>
      <c r="N746" s="137"/>
      <c r="O746" s="138"/>
    </row>
    <row r="747">
      <c r="A747" s="134"/>
      <c r="B747" s="135"/>
      <c r="C747" s="136"/>
      <c r="D747" s="137"/>
      <c r="E747" s="137"/>
      <c r="F747" s="137"/>
      <c r="G747" s="137"/>
      <c r="H747" s="137"/>
      <c r="I747" s="137"/>
      <c r="J747" s="137"/>
      <c r="K747" s="137"/>
      <c r="L747" s="137"/>
      <c r="M747" s="137"/>
      <c r="N747" s="137"/>
      <c r="O747" s="138"/>
    </row>
    <row r="748">
      <c r="A748" s="134"/>
      <c r="B748" s="135"/>
      <c r="C748" s="136"/>
      <c r="D748" s="137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  <c r="O748" s="138"/>
    </row>
    <row r="749">
      <c r="A749" s="134"/>
      <c r="B749" s="135"/>
      <c r="C749" s="136"/>
      <c r="D749" s="137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  <c r="O749" s="138"/>
    </row>
    <row r="750">
      <c r="A750" s="134"/>
      <c r="B750" s="135"/>
      <c r="C750" s="136"/>
      <c r="D750" s="137"/>
      <c r="E750" s="137"/>
      <c r="F750" s="137"/>
      <c r="G750" s="137"/>
      <c r="H750" s="137"/>
      <c r="I750" s="137"/>
      <c r="J750" s="137"/>
      <c r="K750" s="137"/>
      <c r="L750" s="137"/>
      <c r="M750" s="137"/>
      <c r="N750" s="137"/>
      <c r="O750" s="138"/>
    </row>
    <row r="751">
      <c r="A751" s="134"/>
      <c r="B751" s="135"/>
      <c r="C751" s="136"/>
      <c r="D751" s="137"/>
      <c r="E751" s="137"/>
      <c r="F751" s="137"/>
      <c r="G751" s="137"/>
      <c r="H751" s="137"/>
      <c r="I751" s="137"/>
      <c r="J751" s="137"/>
      <c r="K751" s="137"/>
      <c r="L751" s="137"/>
      <c r="M751" s="137"/>
      <c r="N751" s="137"/>
      <c r="O751" s="138"/>
    </row>
    <row r="752">
      <c r="A752" s="134"/>
      <c r="B752" s="135"/>
      <c r="C752" s="136"/>
      <c r="D752" s="137"/>
      <c r="E752" s="137"/>
      <c r="F752" s="137"/>
      <c r="G752" s="137"/>
      <c r="H752" s="137"/>
      <c r="I752" s="137"/>
      <c r="J752" s="137"/>
      <c r="K752" s="137"/>
      <c r="L752" s="137"/>
      <c r="M752" s="137"/>
      <c r="N752" s="137"/>
      <c r="O752" s="138"/>
    </row>
    <row r="753">
      <c r="A753" s="134"/>
      <c r="B753" s="135"/>
      <c r="C753" s="136"/>
      <c r="D753" s="137"/>
      <c r="E753" s="137"/>
      <c r="F753" s="137"/>
      <c r="G753" s="137"/>
      <c r="H753" s="137"/>
      <c r="I753" s="137"/>
      <c r="J753" s="137"/>
      <c r="K753" s="137"/>
      <c r="L753" s="137"/>
      <c r="M753" s="137"/>
      <c r="N753" s="137"/>
      <c r="O753" s="138"/>
    </row>
    <row r="754">
      <c r="A754" s="134"/>
      <c r="B754" s="135"/>
      <c r="C754" s="136"/>
      <c r="D754" s="137"/>
      <c r="E754" s="137"/>
      <c r="F754" s="137"/>
      <c r="G754" s="137"/>
      <c r="H754" s="137"/>
      <c r="I754" s="137"/>
      <c r="J754" s="137"/>
      <c r="K754" s="137"/>
      <c r="L754" s="137"/>
      <c r="M754" s="137"/>
      <c r="N754" s="137"/>
      <c r="O754" s="138"/>
    </row>
    <row r="755">
      <c r="A755" s="134"/>
      <c r="B755" s="135"/>
      <c r="C755" s="136"/>
      <c r="D755" s="137"/>
      <c r="E755" s="137"/>
      <c r="F755" s="137"/>
      <c r="G755" s="137"/>
      <c r="H755" s="137"/>
      <c r="I755" s="137"/>
      <c r="J755" s="137"/>
      <c r="K755" s="137"/>
      <c r="L755" s="137"/>
      <c r="M755" s="137"/>
      <c r="N755" s="137"/>
      <c r="O755" s="138"/>
    </row>
    <row r="756">
      <c r="A756" s="134"/>
      <c r="B756" s="135"/>
      <c r="C756" s="136"/>
      <c r="D756" s="137"/>
      <c r="E756" s="137"/>
      <c r="F756" s="137"/>
      <c r="G756" s="137"/>
      <c r="H756" s="137"/>
      <c r="I756" s="137"/>
      <c r="J756" s="137"/>
      <c r="K756" s="137"/>
      <c r="L756" s="137"/>
      <c r="M756" s="137"/>
      <c r="N756" s="137"/>
      <c r="O756" s="138"/>
    </row>
    <row r="757">
      <c r="A757" s="134"/>
      <c r="B757" s="135"/>
      <c r="C757" s="136"/>
      <c r="D757" s="137"/>
      <c r="E757" s="137"/>
      <c r="F757" s="137"/>
      <c r="G757" s="137"/>
      <c r="H757" s="137"/>
      <c r="I757" s="137"/>
      <c r="J757" s="137"/>
      <c r="K757" s="137"/>
      <c r="L757" s="137"/>
      <c r="M757" s="137"/>
      <c r="N757" s="137"/>
      <c r="O757" s="138"/>
    </row>
    <row r="758">
      <c r="A758" s="134"/>
      <c r="B758" s="135"/>
      <c r="C758" s="136"/>
      <c r="D758" s="137"/>
      <c r="E758" s="137"/>
      <c r="F758" s="137"/>
      <c r="G758" s="137"/>
      <c r="H758" s="137"/>
      <c r="I758" s="137"/>
      <c r="J758" s="137"/>
      <c r="K758" s="137"/>
      <c r="L758" s="137"/>
      <c r="M758" s="137"/>
      <c r="N758" s="137"/>
      <c r="O758" s="138"/>
    </row>
    <row r="759">
      <c r="A759" s="134"/>
      <c r="B759" s="135"/>
      <c r="C759" s="136"/>
      <c r="D759" s="137"/>
      <c r="E759" s="137"/>
      <c r="F759" s="137"/>
      <c r="G759" s="137"/>
      <c r="H759" s="137"/>
      <c r="I759" s="137"/>
      <c r="J759" s="137"/>
      <c r="K759" s="137"/>
      <c r="L759" s="137"/>
      <c r="M759" s="137"/>
      <c r="N759" s="137"/>
      <c r="O759" s="138"/>
    </row>
    <row r="760">
      <c r="A760" s="134"/>
      <c r="B760" s="135"/>
      <c r="C760" s="136"/>
      <c r="D760" s="137"/>
      <c r="E760" s="137"/>
      <c r="F760" s="137"/>
      <c r="G760" s="137"/>
      <c r="H760" s="137"/>
      <c r="I760" s="137"/>
      <c r="J760" s="137"/>
      <c r="K760" s="137"/>
      <c r="L760" s="137"/>
      <c r="M760" s="137"/>
      <c r="N760" s="137"/>
      <c r="O760" s="138"/>
    </row>
    <row r="761">
      <c r="A761" s="134"/>
      <c r="B761" s="135"/>
      <c r="C761" s="136"/>
      <c r="D761" s="137"/>
      <c r="E761" s="137"/>
      <c r="F761" s="137"/>
      <c r="G761" s="137"/>
      <c r="H761" s="137"/>
      <c r="I761" s="137"/>
      <c r="J761" s="137"/>
      <c r="K761" s="137"/>
      <c r="L761" s="137"/>
      <c r="M761" s="137"/>
      <c r="N761" s="137"/>
      <c r="O761" s="138"/>
    </row>
    <row r="762">
      <c r="A762" s="134"/>
      <c r="B762" s="135"/>
      <c r="C762" s="136"/>
      <c r="D762" s="137"/>
      <c r="E762" s="137"/>
      <c r="F762" s="137"/>
      <c r="G762" s="137"/>
      <c r="H762" s="137"/>
      <c r="I762" s="137"/>
      <c r="J762" s="137"/>
      <c r="K762" s="137"/>
      <c r="L762" s="137"/>
      <c r="M762" s="137"/>
      <c r="N762" s="137"/>
      <c r="O762" s="138"/>
    </row>
    <row r="763">
      <c r="A763" s="134"/>
      <c r="B763" s="135"/>
      <c r="C763" s="136"/>
      <c r="D763" s="137"/>
      <c r="E763" s="137"/>
      <c r="F763" s="137"/>
      <c r="G763" s="137"/>
      <c r="H763" s="137"/>
      <c r="I763" s="137"/>
      <c r="J763" s="137"/>
      <c r="K763" s="137"/>
      <c r="L763" s="137"/>
      <c r="M763" s="137"/>
      <c r="N763" s="137"/>
      <c r="O763" s="138"/>
    </row>
    <row r="764">
      <c r="A764" s="134"/>
      <c r="B764" s="135"/>
      <c r="C764" s="136"/>
      <c r="D764" s="137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  <c r="O764" s="138"/>
    </row>
    <row r="765">
      <c r="A765" s="134"/>
      <c r="B765" s="135"/>
      <c r="C765" s="136"/>
      <c r="D765" s="137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  <c r="O765" s="138"/>
    </row>
    <row r="766">
      <c r="A766" s="134"/>
      <c r="B766" s="135"/>
      <c r="C766" s="136"/>
      <c r="D766" s="137"/>
      <c r="E766" s="137"/>
      <c r="F766" s="137"/>
      <c r="G766" s="137"/>
      <c r="H766" s="137"/>
      <c r="I766" s="137"/>
      <c r="J766" s="137"/>
      <c r="K766" s="137"/>
      <c r="L766" s="137"/>
      <c r="M766" s="137"/>
      <c r="N766" s="137"/>
      <c r="O766" s="138"/>
    </row>
    <row r="767">
      <c r="A767" s="134"/>
      <c r="B767" s="135"/>
      <c r="C767" s="136"/>
      <c r="D767" s="137"/>
      <c r="E767" s="137"/>
      <c r="F767" s="137"/>
      <c r="G767" s="137"/>
      <c r="H767" s="137"/>
      <c r="I767" s="137"/>
      <c r="J767" s="137"/>
      <c r="K767" s="137"/>
      <c r="L767" s="137"/>
      <c r="M767" s="137"/>
      <c r="N767" s="137"/>
      <c r="O767" s="138"/>
    </row>
    <row r="768">
      <c r="A768" s="134"/>
      <c r="B768" s="135"/>
      <c r="C768" s="136"/>
      <c r="D768" s="137"/>
      <c r="E768" s="137"/>
      <c r="F768" s="137"/>
      <c r="G768" s="137"/>
      <c r="H768" s="137"/>
      <c r="I768" s="137"/>
      <c r="J768" s="137"/>
      <c r="K768" s="137"/>
      <c r="L768" s="137"/>
      <c r="M768" s="137"/>
      <c r="N768" s="137"/>
      <c r="O768" s="138"/>
    </row>
    <row r="769">
      <c r="A769" s="134"/>
      <c r="B769" s="135"/>
      <c r="C769" s="136"/>
      <c r="D769" s="137"/>
      <c r="E769" s="137"/>
      <c r="F769" s="137"/>
      <c r="G769" s="137"/>
      <c r="H769" s="137"/>
      <c r="I769" s="137"/>
      <c r="J769" s="137"/>
      <c r="K769" s="137"/>
      <c r="L769" s="137"/>
      <c r="M769" s="137"/>
      <c r="N769" s="137"/>
      <c r="O769" s="138"/>
    </row>
    <row r="770">
      <c r="A770" s="134"/>
      <c r="B770" s="135"/>
      <c r="C770" s="136"/>
      <c r="D770" s="137"/>
      <c r="E770" s="137"/>
      <c r="F770" s="137"/>
      <c r="G770" s="137"/>
      <c r="H770" s="137"/>
      <c r="I770" s="137"/>
      <c r="J770" s="137"/>
      <c r="K770" s="137"/>
      <c r="L770" s="137"/>
      <c r="M770" s="137"/>
      <c r="N770" s="137"/>
      <c r="O770" s="138"/>
    </row>
    <row r="771">
      <c r="A771" s="134"/>
      <c r="B771" s="135"/>
      <c r="C771" s="136"/>
      <c r="D771" s="137"/>
      <c r="E771" s="137"/>
      <c r="F771" s="137"/>
      <c r="G771" s="137"/>
      <c r="H771" s="137"/>
      <c r="I771" s="137"/>
      <c r="J771" s="137"/>
      <c r="K771" s="137"/>
      <c r="L771" s="137"/>
      <c r="M771" s="137"/>
      <c r="N771" s="137"/>
      <c r="O771" s="138"/>
    </row>
    <row r="772">
      <c r="A772" s="134"/>
      <c r="B772" s="135"/>
      <c r="C772" s="136"/>
      <c r="D772" s="137"/>
      <c r="E772" s="137"/>
      <c r="F772" s="137"/>
      <c r="G772" s="137"/>
      <c r="H772" s="137"/>
      <c r="I772" s="137"/>
      <c r="J772" s="137"/>
      <c r="K772" s="137"/>
      <c r="L772" s="137"/>
      <c r="M772" s="137"/>
      <c r="N772" s="137"/>
      <c r="O772" s="138"/>
    </row>
    <row r="773">
      <c r="A773" s="134"/>
      <c r="B773" s="135"/>
      <c r="C773" s="136"/>
      <c r="D773" s="137"/>
      <c r="E773" s="137"/>
      <c r="F773" s="137"/>
      <c r="G773" s="137"/>
      <c r="H773" s="137"/>
      <c r="I773" s="137"/>
      <c r="J773" s="137"/>
      <c r="K773" s="137"/>
      <c r="L773" s="137"/>
      <c r="M773" s="137"/>
      <c r="N773" s="137"/>
      <c r="O773" s="138"/>
    </row>
    <row r="774">
      <c r="A774" s="134"/>
      <c r="B774" s="135"/>
      <c r="C774" s="136"/>
      <c r="D774" s="137"/>
      <c r="E774" s="137"/>
      <c r="F774" s="137"/>
      <c r="G774" s="137"/>
      <c r="H774" s="137"/>
      <c r="I774" s="137"/>
      <c r="J774" s="137"/>
      <c r="K774" s="137"/>
      <c r="L774" s="137"/>
      <c r="M774" s="137"/>
      <c r="N774" s="137"/>
      <c r="O774" s="138"/>
    </row>
    <row r="775">
      <c r="A775" s="134"/>
      <c r="B775" s="135"/>
      <c r="C775" s="136"/>
      <c r="D775" s="137"/>
      <c r="E775" s="137"/>
      <c r="F775" s="137"/>
      <c r="G775" s="137"/>
      <c r="H775" s="137"/>
      <c r="I775" s="137"/>
      <c r="J775" s="137"/>
      <c r="K775" s="137"/>
      <c r="L775" s="137"/>
      <c r="M775" s="137"/>
      <c r="N775" s="137"/>
      <c r="O775" s="138"/>
    </row>
    <row r="776">
      <c r="A776" s="134"/>
      <c r="B776" s="135"/>
      <c r="C776" s="136"/>
      <c r="D776" s="137"/>
      <c r="E776" s="137"/>
      <c r="F776" s="137"/>
      <c r="G776" s="137"/>
      <c r="H776" s="137"/>
      <c r="I776" s="137"/>
      <c r="J776" s="137"/>
      <c r="K776" s="137"/>
      <c r="L776" s="137"/>
      <c r="M776" s="137"/>
      <c r="N776" s="137"/>
      <c r="O776" s="138"/>
    </row>
    <row r="777">
      <c r="A777" s="134"/>
      <c r="B777" s="135"/>
      <c r="C777" s="136"/>
      <c r="D777" s="137"/>
      <c r="E777" s="137"/>
      <c r="F777" s="137"/>
      <c r="G777" s="137"/>
      <c r="H777" s="137"/>
      <c r="I777" s="137"/>
      <c r="J777" s="137"/>
      <c r="K777" s="137"/>
      <c r="L777" s="137"/>
      <c r="M777" s="137"/>
      <c r="N777" s="137"/>
      <c r="O777" s="138"/>
    </row>
    <row r="778">
      <c r="A778" s="134"/>
      <c r="B778" s="135"/>
      <c r="C778" s="136"/>
      <c r="D778" s="137"/>
      <c r="E778" s="137"/>
      <c r="F778" s="137"/>
      <c r="G778" s="137"/>
      <c r="H778" s="137"/>
      <c r="I778" s="137"/>
      <c r="J778" s="137"/>
      <c r="K778" s="137"/>
      <c r="L778" s="137"/>
      <c r="M778" s="137"/>
      <c r="N778" s="137"/>
      <c r="O778" s="138"/>
    </row>
    <row r="779">
      <c r="A779" s="134"/>
      <c r="B779" s="135"/>
      <c r="C779" s="136"/>
      <c r="D779" s="137"/>
      <c r="E779" s="137"/>
      <c r="F779" s="137"/>
      <c r="G779" s="137"/>
      <c r="H779" s="137"/>
      <c r="I779" s="137"/>
      <c r="J779" s="137"/>
      <c r="K779" s="137"/>
      <c r="L779" s="137"/>
      <c r="M779" s="137"/>
      <c r="N779" s="137"/>
      <c r="O779" s="138"/>
    </row>
    <row r="780">
      <c r="A780" s="134"/>
      <c r="B780" s="135"/>
      <c r="C780" s="136"/>
      <c r="D780" s="137"/>
      <c r="E780" s="137"/>
      <c r="F780" s="137"/>
      <c r="G780" s="137"/>
      <c r="H780" s="137"/>
      <c r="I780" s="137"/>
      <c r="J780" s="137"/>
      <c r="K780" s="137"/>
      <c r="L780" s="137"/>
      <c r="M780" s="137"/>
      <c r="N780" s="137"/>
      <c r="O780" s="138"/>
    </row>
    <row r="781">
      <c r="A781" s="134"/>
      <c r="B781" s="135"/>
      <c r="C781" s="136"/>
      <c r="D781" s="137"/>
      <c r="E781" s="137"/>
      <c r="F781" s="137"/>
      <c r="G781" s="137"/>
      <c r="H781" s="137"/>
      <c r="I781" s="137"/>
      <c r="J781" s="137"/>
      <c r="K781" s="137"/>
      <c r="L781" s="137"/>
      <c r="M781" s="137"/>
      <c r="N781" s="137"/>
      <c r="O781" s="138"/>
    </row>
    <row r="782">
      <c r="A782" s="134"/>
      <c r="B782" s="135"/>
      <c r="C782" s="136"/>
      <c r="D782" s="137"/>
      <c r="E782" s="137"/>
      <c r="F782" s="137"/>
      <c r="G782" s="137"/>
      <c r="H782" s="137"/>
      <c r="I782" s="137"/>
      <c r="J782" s="137"/>
      <c r="K782" s="137"/>
      <c r="L782" s="137"/>
      <c r="M782" s="137"/>
      <c r="N782" s="137"/>
      <c r="O782" s="138"/>
    </row>
    <row r="783">
      <c r="A783" s="134"/>
      <c r="B783" s="135"/>
      <c r="C783" s="136"/>
      <c r="D783" s="137"/>
      <c r="E783" s="137"/>
      <c r="F783" s="137"/>
      <c r="G783" s="137"/>
      <c r="H783" s="137"/>
      <c r="I783" s="137"/>
      <c r="J783" s="137"/>
      <c r="K783" s="137"/>
      <c r="L783" s="137"/>
      <c r="M783" s="137"/>
      <c r="N783" s="137"/>
      <c r="O783" s="138"/>
    </row>
    <row r="784">
      <c r="A784" s="134"/>
      <c r="B784" s="135"/>
      <c r="C784" s="136"/>
      <c r="D784" s="137"/>
      <c r="E784" s="137"/>
      <c r="F784" s="137"/>
      <c r="G784" s="137"/>
      <c r="H784" s="137"/>
      <c r="I784" s="137"/>
      <c r="J784" s="137"/>
      <c r="K784" s="137"/>
      <c r="L784" s="137"/>
      <c r="M784" s="137"/>
      <c r="N784" s="137"/>
      <c r="O784" s="138"/>
    </row>
    <row r="785">
      <c r="A785" s="134"/>
      <c r="B785" s="135"/>
      <c r="C785" s="136"/>
      <c r="D785" s="137"/>
      <c r="E785" s="137"/>
      <c r="F785" s="137"/>
      <c r="G785" s="137"/>
      <c r="H785" s="137"/>
      <c r="I785" s="137"/>
      <c r="J785" s="137"/>
      <c r="K785" s="137"/>
      <c r="L785" s="137"/>
      <c r="M785" s="137"/>
      <c r="N785" s="137"/>
      <c r="O785" s="138"/>
    </row>
    <row r="786">
      <c r="A786" s="134"/>
      <c r="B786" s="135"/>
      <c r="C786" s="136"/>
      <c r="D786" s="137"/>
      <c r="E786" s="137"/>
      <c r="F786" s="137"/>
      <c r="G786" s="137"/>
      <c r="H786" s="137"/>
      <c r="I786" s="137"/>
      <c r="J786" s="137"/>
      <c r="K786" s="137"/>
      <c r="L786" s="137"/>
      <c r="M786" s="137"/>
      <c r="N786" s="137"/>
      <c r="O786" s="138"/>
    </row>
    <row r="787">
      <c r="A787" s="134"/>
      <c r="B787" s="135"/>
      <c r="C787" s="136"/>
      <c r="D787" s="137"/>
      <c r="E787" s="137"/>
      <c r="F787" s="137"/>
      <c r="G787" s="137"/>
      <c r="H787" s="137"/>
      <c r="I787" s="137"/>
      <c r="J787" s="137"/>
      <c r="K787" s="137"/>
      <c r="L787" s="137"/>
      <c r="M787" s="137"/>
      <c r="N787" s="137"/>
      <c r="O787" s="138"/>
    </row>
    <row r="788">
      <c r="A788" s="134"/>
      <c r="B788" s="135"/>
      <c r="C788" s="136"/>
      <c r="D788" s="137"/>
      <c r="E788" s="137"/>
      <c r="F788" s="137"/>
      <c r="G788" s="137"/>
      <c r="H788" s="137"/>
      <c r="I788" s="137"/>
      <c r="J788" s="137"/>
      <c r="K788" s="137"/>
      <c r="L788" s="137"/>
      <c r="M788" s="137"/>
      <c r="N788" s="137"/>
      <c r="O788" s="138"/>
    </row>
    <row r="789">
      <c r="A789" s="134"/>
      <c r="B789" s="135"/>
      <c r="C789" s="136"/>
      <c r="D789" s="137"/>
      <c r="E789" s="137"/>
      <c r="F789" s="137"/>
      <c r="G789" s="137"/>
      <c r="H789" s="137"/>
      <c r="I789" s="137"/>
      <c r="J789" s="137"/>
      <c r="K789" s="137"/>
      <c r="L789" s="137"/>
      <c r="M789" s="137"/>
      <c r="N789" s="137"/>
      <c r="O789" s="138"/>
    </row>
    <row r="790">
      <c r="A790" s="134"/>
      <c r="B790" s="135"/>
      <c r="C790" s="136"/>
      <c r="D790" s="137"/>
      <c r="E790" s="137"/>
      <c r="F790" s="137"/>
      <c r="G790" s="137"/>
      <c r="H790" s="137"/>
      <c r="I790" s="137"/>
      <c r="J790" s="137"/>
      <c r="K790" s="137"/>
      <c r="L790" s="137"/>
      <c r="M790" s="137"/>
      <c r="N790" s="137"/>
      <c r="O790" s="138"/>
    </row>
    <row r="791">
      <c r="A791" s="134"/>
      <c r="B791" s="135"/>
      <c r="C791" s="136"/>
      <c r="D791" s="137"/>
      <c r="E791" s="137"/>
      <c r="F791" s="137"/>
      <c r="G791" s="137"/>
      <c r="H791" s="137"/>
      <c r="I791" s="137"/>
      <c r="J791" s="137"/>
      <c r="K791" s="137"/>
      <c r="L791" s="137"/>
      <c r="M791" s="137"/>
      <c r="N791" s="137"/>
      <c r="O791" s="138"/>
    </row>
    <row r="792">
      <c r="A792" s="134"/>
      <c r="B792" s="135"/>
      <c r="C792" s="136"/>
      <c r="D792" s="137"/>
      <c r="E792" s="137"/>
      <c r="F792" s="137"/>
      <c r="G792" s="137"/>
      <c r="H792" s="137"/>
      <c r="I792" s="137"/>
      <c r="J792" s="137"/>
      <c r="K792" s="137"/>
      <c r="L792" s="137"/>
      <c r="M792" s="137"/>
      <c r="N792" s="137"/>
      <c r="O792" s="138"/>
    </row>
    <row r="793">
      <c r="A793" s="134"/>
      <c r="B793" s="135"/>
      <c r="C793" s="136"/>
      <c r="D793" s="137"/>
      <c r="E793" s="137"/>
      <c r="F793" s="137"/>
      <c r="G793" s="137"/>
      <c r="H793" s="137"/>
      <c r="I793" s="137"/>
      <c r="J793" s="137"/>
      <c r="K793" s="137"/>
      <c r="L793" s="137"/>
      <c r="M793" s="137"/>
      <c r="N793" s="137"/>
      <c r="O793" s="138"/>
    </row>
    <row r="794">
      <c r="A794" s="134"/>
      <c r="B794" s="135"/>
      <c r="C794" s="136"/>
      <c r="D794" s="137"/>
      <c r="E794" s="137"/>
      <c r="F794" s="137"/>
      <c r="G794" s="137"/>
      <c r="H794" s="137"/>
      <c r="I794" s="137"/>
      <c r="J794" s="137"/>
      <c r="K794" s="137"/>
      <c r="L794" s="137"/>
      <c r="M794" s="137"/>
      <c r="N794" s="137"/>
      <c r="O794" s="138"/>
    </row>
    <row r="795">
      <c r="A795" s="134"/>
      <c r="B795" s="135"/>
      <c r="C795" s="136"/>
      <c r="D795" s="137"/>
      <c r="E795" s="137"/>
      <c r="F795" s="137"/>
      <c r="G795" s="137"/>
      <c r="H795" s="137"/>
      <c r="I795" s="137"/>
      <c r="J795" s="137"/>
      <c r="K795" s="137"/>
      <c r="L795" s="137"/>
      <c r="M795" s="137"/>
      <c r="N795" s="137"/>
      <c r="O795" s="138"/>
    </row>
    <row r="796">
      <c r="A796" s="134"/>
      <c r="B796" s="135"/>
      <c r="C796" s="136"/>
      <c r="D796" s="137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  <c r="O796" s="138"/>
    </row>
    <row r="797">
      <c r="A797" s="134"/>
      <c r="B797" s="135"/>
      <c r="C797" s="136"/>
      <c r="D797" s="137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  <c r="O797" s="138"/>
    </row>
    <row r="798">
      <c r="A798" s="134"/>
      <c r="B798" s="135"/>
      <c r="C798" s="136"/>
      <c r="D798" s="137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  <c r="O798" s="138"/>
    </row>
    <row r="799">
      <c r="A799" s="134"/>
      <c r="B799" s="135"/>
      <c r="C799" s="136"/>
      <c r="D799" s="137"/>
      <c r="E799" s="137"/>
      <c r="F799" s="137"/>
      <c r="G799" s="137"/>
      <c r="H799" s="137"/>
      <c r="I799" s="137"/>
      <c r="J799" s="137"/>
      <c r="K799" s="137"/>
      <c r="L799" s="137"/>
      <c r="M799" s="137"/>
      <c r="N799" s="137"/>
      <c r="O799" s="138"/>
    </row>
    <row r="800">
      <c r="A800" s="134"/>
      <c r="B800" s="135"/>
      <c r="C800" s="136"/>
      <c r="D800" s="137"/>
      <c r="E800" s="137"/>
      <c r="F800" s="137"/>
      <c r="G800" s="137"/>
      <c r="H800" s="137"/>
      <c r="I800" s="137"/>
      <c r="J800" s="137"/>
      <c r="K800" s="137"/>
      <c r="L800" s="137"/>
      <c r="M800" s="137"/>
      <c r="N800" s="137"/>
      <c r="O800" s="138"/>
    </row>
    <row r="801">
      <c r="A801" s="134"/>
      <c r="B801" s="135"/>
      <c r="C801" s="136"/>
      <c r="D801" s="137"/>
      <c r="E801" s="137"/>
      <c r="F801" s="137"/>
      <c r="G801" s="137"/>
      <c r="H801" s="137"/>
      <c r="I801" s="137"/>
      <c r="J801" s="137"/>
      <c r="K801" s="137"/>
      <c r="L801" s="137"/>
      <c r="M801" s="137"/>
      <c r="N801" s="137"/>
      <c r="O801" s="138"/>
    </row>
    <row r="802">
      <c r="A802" s="134"/>
      <c r="B802" s="135"/>
      <c r="C802" s="136"/>
      <c r="D802" s="137"/>
      <c r="E802" s="137"/>
      <c r="F802" s="137"/>
      <c r="G802" s="137"/>
      <c r="H802" s="137"/>
      <c r="I802" s="137"/>
      <c r="J802" s="137"/>
      <c r="K802" s="137"/>
      <c r="L802" s="137"/>
      <c r="M802" s="137"/>
      <c r="N802" s="137"/>
      <c r="O802" s="138"/>
    </row>
    <row r="803">
      <c r="A803" s="134"/>
      <c r="B803" s="135"/>
      <c r="C803" s="136"/>
      <c r="D803" s="137"/>
      <c r="E803" s="137"/>
      <c r="F803" s="137"/>
      <c r="G803" s="137"/>
      <c r="H803" s="137"/>
      <c r="I803" s="137"/>
      <c r="J803" s="137"/>
      <c r="K803" s="137"/>
      <c r="L803" s="137"/>
      <c r="M803" s="137"/>
      <c r="N803" s="137"/>
      <c r="O803" s="138"/>
    </row>
    <row r="804">
      <c r="A804" s="134"/>
      <c r="B804" s="135"/>
      <c r="C804" s="136"/>
      <c r="D804" s="137"/>
      <c r="E804" s="137"/>
      <c r="F804" s="137"/>
      <c r="G804" s="137"/>
      <c r="H804" s="137"/>
      <c r="I804" s="137"/>
      <c r="J804" s="137"/>
      <c r="K804" s="137"/>
      <c r="L804" s="137"/>
      <c r="M804" s="137"/>
      <c r="N804" s="137"/>
      <c r="O804" s="138"/>
    </row>
    <row r="805">
      <c r="A805" s="134"/>
      <c r="B805" s="135"/>
      <c r="C805" s="136"/>
      <c r="D805" s="137"/>
      <c r="E805" s="137"/>
      <c r="F805" s="137"/>
      <c r="G805" s="137"/>
      <c r="H805" s="137"/>
      <c r="I805" s="137"/>
      <c r="J805" s="137"/>
      <c r="K805" s="137"/>
      <c r="L805" s="137"/>
      <c r="M805" s="137"/>
      <c r="N805" s="137"/>
      <c r="O805" s="138"/>
    </row>
    <row r="806">
      <c r="A806" s="134"/>
      <c r="B806" s="135"/>
      <c r="C806" s="136"/>
      <c r="D806" s="137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  <c r="O806" s="138"/>
    </row>
    <row r="807">
      <c r="A807" s="134"/>
      <c r="B807" s="135"/>
      <c r="C807" s="136"/>
      <c r="D807" s="137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  <c r="O807" s="138"/>
    </row>
    <row r="808">
      <c r="A808" s="134"/>
      <c r="B808" s="135"/>
      <c r="C808" s="136"/>
      <c r="D808" s="137"/>
      <c r="E808" s="137"/>
      <c r="F808" s="137"/>
      <c r="G808" s="137"/>
      <c r="H808" s="137"/>
      <c r="I808" s="137"/>
      <c r="J808" s="137"/>
      <c r="K808" s="137"/>
      <c r="L808" s="137"/>
      <c r="M808" s="137"/>
      <c r="N808" s="137"/>
      <c r="O808" s="138"/>
    </row>
    <row r="809">
      <c r="A809" s="134"/>
      <c r="B809" s="135"/>
      <c r="C809" s="136"/>
      <c r="D809" s="137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  <c r="O809" s="138"/>
    </row>
    <row r="810">
      <c r="A810" s="134"/>
      <c r="B810" s="135"/>
      <c r="C810" s="136"/>
      <c r="D810" s="137"/>
      <c r="E810" s="137"/>
      <c r="F810" s="137"/>
      <c r="G810" s="137"/>
      <c r="H810" s="137"/>
      <c r="I810" s="137"/>
      <c r="J810" s="137"/>
      <c r="K810" s="137"/>
      <c r="L810" s="137"/>
      <c r="M810" s="137"/>
      <c r="N810" s="137"/>
      <c r="O810" s="138"/>
    </row>
    <row r="811">
      <c r="A811" s="134"/>
      <c r="B811" s="135"/>
      <c r="C811" s="136"/>
      <c r="D811" s="137"/>
      <c r="E811" s="137"/>
      <c r="F811" s="137"/>
      <c r="G811" s="137"/>
      <c r="H811" s="137"/>
      <c r="I811" s="137"/>
      <c r="J811" s="137"/>
      <c r="K811" s="137"/>
      <c r="L811" s="137"/>
      <c r="M811" s="137"/>
      <c r="N811" s="137"/>
      <c r="O811" s="138"/>
    </row>
    <row r="812">
      <c r="A812" s="134"/>
      <c r="B812" s="135"/>
      <c r="C812" s="136"/>
      <c r="D812" s="137"/>
      <c r="E812" s="137"/>
      <c r="F812" s="137"/>
      <c r="G812" s="137"/>
      <c r="H812" s="137"/>
      <c r="I812" s="137"/>
      <c r="J812" s="137"/>
      <c r="K812" s="137"/>
      <c r="L812" s="137"/>
      <c r="M812" s="137"/>
      <c r="N812" s="137"/>
      <c r="O812" s="138"/>
    </row>
    <row r="813">
      <c r="A813" s="134"/>
      <c r="B813" s="135"/>
      <c r="C813" s="136"/>
      <c r="D813" s="137"/>
      <c r="E813" s="137"/>
      <c r="F813" s="137"/>
      <c r="G813" s="137"/>
      <c r="H813" s="137"/>
      <c r="I813" s="137"/>
      <c r="J813" s="137"/>
      <c r="K813" s="137"/>
      <c r="L813" s="137"/>
      <c r="M813" s="137"/>
      <c r="N813" s="137"/>
      <c r="O813" s="138"/>
    </row>
    <row r="814">
      <c r="A814" s="134"/>
      <c r="B814" s="135"/>
      <c r="C814" s="136"/>
      <c r="D814" s="137"/>
      <c r="E814" s="137"/>
      <c r="F814" s="137"/>
      <c r="G814" s="137"/>
      <c r="H814" s="137"/>
      <c r="I814" s="137"/>
      <c r="J814" s="137"/>
      <c r="K814" s="137"/>
      <c r="L814" s="137"/>
      <c r="M814" s="137"/>
      <c r="N814" s="137"/>
      <c r="O814" s="138"/>
    </row>
    <row r="815">
      <c r="A815" s="134"/>
      <c r="B815" s="135"/>
      <c r="C815" s="136"/>
      <c r="D815" s="137"/>
      <c r="E815" s="137"/>
      <c r="F815" s="137"/>
      <c r="G815" s="137"/>
      <c r="H815" s="137"/>
      <c r="I815" s="137"/>
      <c r="J815" s="137"/>
      <c r="K815" s="137"/>
      <c r="L815" s="137"/>
      <c r="M815" s="137"/>
      <c r="N815" s="137"/>
      <c r="O815" s="138"/>
    </row>
    <row r="816">
      <c r="A816" s="134"/>
      <c r="B816" s="135"/>
      <c r="C816" s="136"/>
      <c r="D816" s="137"/>
      <c r="E816" s="137"/>
      <c r="F816" s="137"/>
      <c r="G816" s="137"/>
      <c r="H816" s="137"/>
      <c r="I816" s="137"/>
      <c r="J816" s="137"/>
      <c r="K816" s="137"/>
      <c r="L816" s="137"/>
      <c r="M816" s="137"/>
      <c r="N816" s="137"/>
      <c r="O816" s="138"/>
    </row>
    <row r="817">
      <c r="A817" s="134"/>
      <c r="B817" s="135"/>
      <c r="C817" s="136"/>
      <c r="D817" s="137"/>
      <c r="E817" s="137"/>
      <c r="F817" s="137"/>
      <c r="G817" s="137"/>
      <c r="H817" s="137"/>
      <c r="I817" s="137"/>
      <c r="J817" s="137"/>
      <c r="K817" s="137"/>
      <c r="L817" s="137"/>
      <c r="M817" s="137"/>
      <c r="N817" s="137"/>
      <c r="O817" s="138"/>
    </row>
    <row r="818">
      <c r="A818" s="134"/>
      <c r="B818" s="135"/>
      <c r="C818" s="136"/>
      <c r="D818" s="137"/>
      <c r="E818" s="137"/>
      <c r="F818" s="137"/>
      <c r="G818" s="137"/>
      <c r="H818" s="137"/>
      <c r="I818" s="137"/>
      <c r="J818" s="137"/>
      <c r="K818" s="137"/>
      <c r="L818" s="137"/>
      <c r="M818" s="137"/>
      <c r="N818" s="137"/>
      <c r="O818" s="138"/>
    </row>
    <row r="819">
      <c r="A819" s="134"/>
      <c r="B819" s="135"/>
      <c r="C819" s="136"/>
      <c r="D819" s="137"/>
      <c r="E819" s="137"/>
      <c r="F819" s="137"/>
      <c r="G819" s="137"/>
      <c r="H819" s="137"/>
      <c r="I819" s="137"/>
      <c r="J819" s="137"/>
      <c r="K819" s="137"/>
      <c r="L819" s="137"/>
      <c r="M819" s="137"/>
      <c r="N819" s="137"/>
      <c r="O819" s="138"/>
    </row>
    <row r="820">
      <c r="A820" s="134"/>
      <c r="B820" s="135"/>
      <c r="C820" s="136"/>
      <c r="D820" s="137"/>
      <c r="E820" s="137"/>
      <c r="F820" s="137"/>
      <c r="G820" s="137"/>
      <c r="H820" s="137"/>
      <c r="I820" s="137"/>
      <c r="J820" s="137"/>
      <c r="K820" s="137"/>
      <c r="L820" s="137"/>
      <c r="M820" s="137"/>
      <c r="N820" s="137"/>
      <c r="O820" s="138"/>
    </row>
    <row r="821">
      <c r="A821" s="134"/>
      <c r="B821" s="135"/>
      <c r="C821" s="136"/>
      <c r="D821" s="137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8"/>
    </row>
    <row r="822">
      <c r="A822" s="134"/>
      <c r="B822" s="135"/>
      <c r="C822" s="136"/>
      <c r="D822" s="137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8"/>
    </row>
    <row r="823">
      <c r="A823" s="134"/>
      <c r="B823" s="135"/>
      <c r="C823" s="136"/>
      <c r="D823" s="137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  <c r="O823" s="138"/>
    </row>
    <row r="824">
      <c r="A824" s="134"/>
      <c r="B824" s="135"/>
      <c r="C824" s="136"/>
      <c r="D824" s="137"/>
      <c r="E824" s="137"/>
      <c r="F824" s="137"/>
      <c r="G824" s="137"/>
      <c r="H824" s="137"/>
      <c r="I824" s="137"/>
      <c r="J824" s="137"/>
      <c r="K824" s="137"/>
      <c r="L824" s="137"/>
      <c r="M824" s="137"/>
      <c r="N824" s="137"/>
      <c r="O824" s="138"/>
    </row>
    <row r="825">
      <c r="A825" s="134"/>
      <c r="B825" s="135"/>
      <c r="C825" s="136"/>
      <c r="D825" s="137"/>
      <c r="E825" s="137"/>
      <c r="F825" s="137"/>
      <c r="G825" s="137"/>
      <c r="H825" s="137"/>
      <c r="I825" s="137"/>
      <c r="J825" s="137"/>
      <c r="K825" s="137"/>
      <c r="L825" s="137"/>
      <c r="M825" s="137"/>
      <c r="N825" s="137"/>
      <c r="O825" s="138"/>
    </row>
    <row r="826">
      <c r="A826" s="134"/>
      <c r="B826" s="135"/>
      <c r="C826" s="136"/>
      <c r="D826" s="137"/>
      <c r="E826" s="137"/>
      <c r="F826" s="137"/>
      <c r="G826" s="137"/>
      <c r="H826" s="137"/>
      <c r="I826" s="137"/>
      <c r="J826" s="137"/>
      <c r="K826" s="137"/>
      <c r="L826" s="137"/>
      <c r="M826" s="137"/>
      <c r="N826" s="137"/>
      <c r="O826" s="138"/>
    </row>
    <row r="827">
      <c r="A827" s="134"/>
      <c r="B827" s="135"/>
      <c r="C827" s="136"/>
      <c r="D827" s="137"/>
      <c r="E827" s="137"/>
      <c r="F827" s="137"/>
      <c r="G827" s="137"/>
      <c r="H827" s="137"/>
      <c r="I827" s="137"/>
      <c r="J827" s="137"/>
      <c r="K827" s="137"/>
      <c r="L827" s="137"/>
      <c r="M827" s="137"/>
      <c r="N827" s="137"/>
      <c r="O827" s="138"/>
    </row>
    <row r="828">
      <c r="A828" s="134"/>
      <c r="B828" s="135"/>
      <c r="C828" s="136"/>
      <c r="D828" s="137"/>
      <c r="E828" s="137"/>
      <c r="F828" s="137"/>
      <c r="G828" s="137"/>
      <c r="H828" s="137"/>
      <c r="I828" s="137"/>
      <c r="J828" s="137"/>
      <c r="K828" s="137"/>
      <c r="L828" s="137"/>
      <c r="M828" s="137"/>
      <c r="N828" s="137"/>
      <c r="O828" s="138"/>
    </row>
    <row r="829">
      <c r="A829" s="134"/>
      <c r="B829" s="135"/>
      <c r="C829" s="136"/>
      <c r="D829" s="137"/>
      <c r="E829" s="137"/>
      <c r="F829" s="137"/>
      <c r="G829" s="137"/>
      <c r="H829" s="137"/>
      <c r="I829" s="137"/>
      <c r="J829" s="137"/>
      <c r="K829" s="137"/>
      <c r="L829" s="137"/>
      <c r="M829" s="137"/>
      <c r="N829" s="137"/>
      <c r="O829" s="138"/>
    </row>
    <row r="830">
      <c r="A830" s="134"/>
      <c r="B830" s="135"/>
      <c r="C830" s="136"/>
      <c r="D830" s="137"/>
      <c r="E830" s="137"/>
      <c r="F830" s="137"/>
      <c r="G830" s="137"/>
      <c r="H830" s="137"/>
      <c r="I830" s="137"/>
      <c r="J830" s="137"/>
      <c r="K830" s="137"/>
      <c r="L830" s="137"/>
      <c r="M830" s="137"/>
      <c r="N830" s="137"/>
      <c r="O830" s="138"/>
    </row>
    <row r="831">
      <c r="A831" s="134"/>
      <c r="B831" s="135"/>
      <c r="C831" s="136"/>
      <c r="D831" s="137"/>
      <c r="E831" s="137"/>
      <c r="F831" s="137"/>
      <c r="G831" s="137"/>
      <c r="H831" s="137"/>
      <c r="I831" s="137"/>
      <c r="J831" s="137"/>
      <c r="K831" s="137"/>
      <c r="L831" s="137"/>
      <c r="M831" s="137"/>
      <c r="N831" s="137"/>
      <c r="O831" s="138"/>
    </row>
    <row r="832">
      <c r="A832" s="134"/>
      <c r="B832" s="135"/>
      <c r="C832" s="136"/>
      <c r="D832" s="137"/>
      <c r="E832" s="137"/>
      <c r="F832" s="137"/>
      <c r="G832" s="137"/>
      <c r="H832" s="137"/>
      <c r="I832" s="137"/>
      <c r="J832" s="137"/>
      <c r="K832" s="137"/>
      <c r="L832" s="137"/>
      <c r="M832" s="137"/>
      <c r="N832" s="137"/>
      <c r="O832" s="138"/>
    </row>
    <row r="833">
      <c r="A833" s="134"/>
      <c r="B833" s="135"/>
      <c r="C833" s="136"/>
      <c r="D833" s="137"/>
      <c r="E833" s="137"/>
      <c r="F833" s="137"/>
      <c r="G833" s="137"/>
      <c r="H833" s="137"/>
      <c r="I833" s="137"/>
      <c r="J833" s="137"/>
      <c r="K833" s="137"/>
      <c r="L833" s="137"/>
      <c r="M833" s="137"/>
      <c r="N833" s="137"/>
      <c r="O833" s="138"/>
    </row>
    <row r="834">
      <c r="A834" s="134"/>
      <c r="B834" s="135"/>
      <c r="C834" s="136"/>
      <c r="D834" s="137"/>
      <c r="E834" s="137"/>
      <c r="F834" s="137"/>
      <c r="G834" s="137"/>
      <c r="H834" s="137"/>
      <c r="I834" s="137"/>
      <c r="J834" s="137"/>
      <c r="K834" s="137"/>
      <c r="L834" s="137"/>
      <c r="M834" s="137"/>
      <c r="N834" s="137"/>
      <c r="O834" s="138"/>
    </row>
    <row r="835">
      <c r="A835" s="134"/>
      <c r="B835" s="135"/>
      <c r="C835" s="136"/>
      <c r="D835" s="137"/>
      <c r="E835" s="137"/>
      <c r="F835" s="137"/>
      <c r="G835" s="137"/>
      <c r="H835" s="137"/>
      <c r="I835" s="137"/>
      <c r="J835" s="137"/>
      <c r="K835" s="137"/>
      <c r="L835" s="137"/>
      <c r="M835" s="137"/>
      <c r="N835" s="137"/>
      <c r="O835" s="138"/>
    </row>
    <row r="836">
      <c r="A836" s="134"/>
      <c r="B836" s="135"/>
      <c r="C836" s="136"/>
      <c r="D836" s="137"/>
      <c r="E836" s="137"/>
      <c r="F836" s="137"/>
      <c r="G836" s="137"/>
      <c r="H836" s="137"/>
      <c r="I836" s="137"/>
      <c r="J836" s="137"/>
      <c r="K836" s="137"/>
      <c r="L836" s="137"/>
      <c r="M836" s="137"/>
      <c r="N836" s="137"/>
      <c r="O836" s="138"/>
    </row>
    <row r="837">
      <c r="A837" s="134"/>
      <c r="B837" s="135"/>
      <c r="C837" s="136"/>
      <c r="D837" s="137"/>
      <c r="E837" s="137"/>
      <c r="F837" s="137"/>
      <c r="G837" s="137"/>
      <c r="H837" s="137"/>
      <c r="I837" s="137"/>
      <c r="J837" s="137"/>
      <c r="K837" s="137"/>
      <c r="L837" s="137"/>
      <c r="M837" s="137"/>
      <c r="N837" s="137"/>
      <c r="O837" s="138"/>
    </row>
    <row r="838">
      <c r="A838" s="134"/>
      <c r="B838" s="135"/>
      <c r="C838" s="136"/>
      <c r="D838" s="137"/>
      <c r="E838" s="137"/>
      <c r="F838" s="137"/>
      <c r="G838" s="137"/>
      <c r="H838" s="137"/>
      <c r="I838" s="137"/>
      <c r="J838" s="137"/>
      <c r="K838" s="137"/>
      <c r="L838" s="137"/>
      <c r="M838" s="137"/>
      <c r="N838" s="137"/>
      <c r="O838" s="138"/>
    </row>
    <row r="839">
      <c r="A839" s="134"/>
      <c r="B839" s="135"/>
      <c r="C839" s="136"/>
      <c r="D839" s="137"/>
      <c r="E839" s="137"/>
      <c r="F839" s="137"/>
      <c r="G839" s="137"/>
      <c r="H839" s="137"/>
      <c r="I839" s="137"/>
      <c r="J839" s="137"/>
      <c r="K839" s="137"/>
      <c r="L839" s="137"/>
      <c r="M839" s="137"/>
      <c r="N839" s="137"/>
      <c r="O839" s="138"/>
    </row>
    <row r="840">
      <c r="A840" s="134"/>
      <c r="B840" s="135"/>
      <c r="C840" s="136"/>
      <c r="D840" s="137"/>
      <c r="E840" s="137"/>
      <c r="F840" s="137"/>
      <c r="G840" s="137"/>
      <c r="H840" s="137"/>
      <c r="I840" s="137"/>
      <c r="J840" s="137"/>
      <c r="K840" s="137"/>
      <c r="L840" s="137"/>
      <c r="M840" s="137"/>
      <c r="N840" s="137"/>
      <c r="O840" s="138"/>
    </row>
    <row r="841">
      <c r="A841" s="134"/>
      <c r="B841" s="135"/>
      <c r="C841" s="136"/>
      <c r="D841" s="137"/>
      <c r="E841" s="137"/>
      <c r="F841" s="137"/>
      <c r="G841" s="137"/>
      <c r="H841" s="137"/>
      <c r="I841" s="137"/>
      <c r="J841" s="137"/>
      <c r="K841" s="137"/>
      <c r="L841" s="137"/>
      <c r="M841" s="137"/>
      <c r="N841" s="137"/>
      <c r="O841" s="138"/>
    </row>
    <row r="842">
      <c r="A842" s="134"/>
      <c r="B842" s="135"/>
      <c r="C842" s="136"/>
      <c r="D842" s="137"/>
      <c r="E842" s="137"/>
      <c r="F842" s="137"/>
      <c r="G842" s="137"/>
      <c r="H842" s="137"/>
      <c r="I842" s="137"/>
      <c r="J842" s="137"/>
      <c r="K842" s="137"/>
      <c r="L842" s="137"/>
      <c r="M842" s="137"/>
      <c r="N842" s="137"/>
      <c r="O842" s="138"/>
    </row>
    <row r="843">
      <c r="A843" s="134"/>
      <c r="B843" s="135"/>
      <c r="C843" s="136"/>
      <c r="D843" s="137"/>
      <c r="E843" s="137"/>
      <c r="F843" s="137"/>
      <c r="G843" s="137"/>
      <c r="H843" s="137"/>
      <c r="I843" s="137"/>
      <c r="J843" s="137"/>
      <c r="K843" s="137"/>
      <c r="L843" s="137"/>
      <c r="M843" s="137"/>
      <c r="N843" s="137"/>
      <c r="O843" s="138"/>
    </row>
    <row r="844">
      <c r="A844" s="134"/>
      <c r="B844" s="135"/>
      <c r="C844" s="136"/>
      <c r="D844" s="137"/>
      <c r="E844" s="137"/>
      <c r="F844" s="137"/>
      <c r="G844" s="137"/>
      <c r="H844" s="137"/>
      <c r="I844" s="137"/>
      <c r="J844" s="137"/>
      <c r="K844" s="137"/>
      <c r="L844" s="137"/>
      <c r="M844" s="137"/>
      <c r="N844" s="137"/>
      <c r="O844" s="138"/>
    </row>
    <row r="845">
      <c r="A845" s="134"/>
      <c r="B845" s="135"/>
      <c r="C845" s="136"/>
      <c r="D845" s="137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  <c r="O845" s="138"/>
    </row>
    <row r="846">
      <c r="A846" s="134"/>
      <c r="B846" s="135"/>
      <c r="C846" s="136"/>
      <c r="D846" s="137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  <c r="O846" s="138"/>
    </row>
    <row r="847">
      <c r="A847" s="134"/>
      <c r="B847" s="135"/>
      <c r="C847" s="136"/>
      <c r="D847" s="137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  <c r="O847" s="138"/>
    </row>
    <row r="848">
      <c r="A848" s="134"/>
      <c r="B848" s="135"/>
      <c r="C848" s="136"/>
      <c r="D848" s="137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  <c r="O848" s="138"/>
    </row>
    <row r="849">
      <c r="A849" s="134"/>
      <c r="B849" s="135"/>
      <c r="C849" s="136"/>
      <c r="D849" s="137"/>
      <c r="E849" s="137"/>
      <c r="F849" s="137"/>
      <c r="G849" s="137"/>
      <c r="H849" s="137"/>
      <c r="I849" s="137"/>
      <c r="J849" s="137"/>
      <c r="K849" s="137"/>
      <c r="L849" s="137"/>
      <c r="M849" s="137"/>
      <c r="N849" s="137"/>
      <c r="O849" s="138"/>
    </row>
    <row r="850">
      <c r="A850" s="134"/>
      <c r="B850" s="135"/>
      <c r="C850" s="136"/>
      <c r="D850" s="137"/>
      <c r="E850" s="137"/>
      <c r="F850" s="137"/>
      <c r="G850" s="137"/>
      <c r="H850" s="137"/>
      <c r="I850" s="137"/>
      <c r="J850" s="137"/>
      <c r="K850" s="137"/>
      <c r="L850" s="137"/>
      <c r="M850" s="137"/>
      <c r="N850" s="137"/>
      <c r="O850" s="138"/>
    </row>
    <row r="851">
      <c r="A851" s="134"/>
      <c r="B851" s="135"/>
      <c r="C851" s="136"/>
      <c r="D851" s="137"/>
      <c r="E851" s="137"/>
      <c r="F851" s="137"/>
      <c r="G851" s="137"/>
      <c r="H851" s="137"/>
      <c r="I851" s="137"/>
      <c r="J851" s="137"/>
      <c r="K851" s="137"/>
      <c r="L851" s="137"/>
      <c r="M851" s="137"/>
      <c r="N851" s="137"/>
      <c r="O851" s="138"/>
    </row>
    <row r="852">
      <c r="A852" s="134"/>
      <c r="B852" s="135"/>
      <c r="C852" s="136"/>
      <c r="D852" s="137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  <c r="O852" s="138"/>
    </row>
    <row r="853">
      <c r="A853" s="134"/>
      <c r="B853" s="135"/>
      <c r="C853" s="136"/>
      <c r="D853" s="137"/>
      <c r="E853" s="137"/>
      <c r="F853" s="137"/>
      <c r="G853" s="137"/>
      <c r="H853" s="137"/>
      <c r="I853" s="137"/>
      <c r="J853" s="137"/>
      <c r="K853" s="137"/>
      <c r="L853" s="137"/>
      <c r="M853" s="137"/>
      <c r="N853" s="137"/>
      <c r="O853" s="138"/>
    </row>
    <row r="854">
      <c r="A854" s="134"/>
      <c r="B854" s="135"/>
      <c r="C854" s="136"/>
      <c r="D854" s="137"/>
      <c r="E854" s="137"/>
      <c r="F854" s="137"/>
      <c r="G854" s="137"/>
      <c r="H854" s="137"/>
      <c r="I854" s="137"/>
      <c r="J854" s="137"/>
      <c r="K854" s="137"/>
      <c r="L854" s="137"/>
      <c r="M854" s="137"/>
      <c r="N854" s="137"/>
      <c r="O854" s="138"/>
    </row>
    <row r="855">
      <c r="A855" s="134"/>
      <c r="B855" s="135"/>
      <c r="C855" s="136"/>
      <c r="D855" s="137"/>
      <c r="E855" s="137"/>
      <c r="F855" s="137"/>
      <c r="G855" s="137"/>
      <c r="H855" s="137"/>
      <c r="I855" s="137"/>
      <c r="J855" s="137"/>
      <c r="K855" s="137"/>
      <c r="L855" s="137"/>
      <c r="M855" s="137"/>
      <c r="N855" s="137"/>
      <c r="O855" s="138"/>
    </row>
    <row r="856">
      <c r="A856" s="134"/>
      <c r="B856" s="135"/>
      <c r="C856" s="136"/>
      <c r="D856" s="137"/>
      <c r="E856" s="137"/>
      <c r="F856" s="137"/>
      <c r="G856" s="137"/>
      <c r="H856" s="137"/>
      <c r="I856" s="137"/>
      <c r="J856" s="137"/>
      <c r="K856" s="137"/>
      <c r="L856" s="137"/>
      <c r="M856" s="137"/>
      <c r="N856" s="137"/>
      <c r="O856" s="138"/>
    </row>
    <row r="857">
      <c r="A857" s="134"/>
      <c r="B857" s="135"/>
      <c r="C857" s="136"/>
      <c r="D857" s="137"/>
      <c r="E857" s="137"/>
      <c r="F857" s="137"/>
      <c r="G857" s="137"/>
      <c r="H857" s="137"/>
      <c r="I857" s="137"/>
      <c r="J857" s="137"/>
      <c r="K857" s="137"/>
      <c r="L857" s="137"/>
      <c r="M857" s="137"/>
      <c r="N857" s="137"/>
      <c r="O857" s="138"/>
    </row>
    <row r="858">
      <c r="A858" s="134"/>
      <c r="B858" s="135"/>
      <c r="C858" s="136"/>
      <c r="D858" s="137"/>
      <c r="E858" s="137"/>
      <c r="F858" s="137"/>
      <c r="G858" s="137"/>
      <c r="H858" s="137"/>
      <c r="I858" s="137"/>
      <c r="J858" s="137"/>
      <c r="K858" s="137"/>
      <c r="L858" s="137"/>
      <c r="M858" s="137"/>
      <c r="N858" s="137"/>
      <c r="O858" s="138"/>
    </row>
    <row r="859">
      <c r="A859" s="134"/>
      <c r="B859" s="135"/>
      <c r="C859" s="136"/>
      <c r="D859" s="137"/>
      <c r="E859" s="137"/>
      <c r="F859" s="137"/>
      <c r="G859" s="137"/>
      <c r="H859" s="137"/>
      <c r="I859" s="137"/>
      <c r="J859" s="137"/>
      <c r="K859" s="137"/>
      <c r="L859" s="137"/>
      <c r="M859" s="137"/>
      <c r="N859" s="137"/>
      <c r="O859" s="138"/>
    </row>
    <row r="860">
      <c r="A860" s="134"/>
      <c r="B860" s="135"/>
      <c r="C860" s="136"/>
      <c r="D860" s="137"/>
      <c r="E860" s="137"/>
      <c r="F860" s="137"/>
      <c r="G860" s="137"/>
      <c r="H860" s="137"/>
      <c r="I860" s="137"/>
      <c r="J860" s="137"/>
      <c r="K860" s="137"/>
      <c r="L860" s="137"/>
      <c r="M860" s="137"/>
      <c r="N860" s="137"/>
      <c r="O860" s="138"/>
    </row>
    <row r="861">
      <c r="A861" s="134"/>
      <c r="B861" s="135"/>
      <c r="C861" s="136"/>
      <c r="D861" s="137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  <c r="O861" s="138"/>
    </row>
    <row r="862">
      <c r="A862" s="134"/>
      <c r="B862" s="135"/>
      <c r="C862" s="136"/>
      <c r="D862" s="137"/>
      <c r="E862" s="137"/>
      <c r="F862" s="137"/>
      <c r="G862" s="137"/>
      <c r="H862" s="137"/>
      <c r="I862" s="137"/>
      <c r="J862" s="137"/>
      <c r="K862" s="137"/>
      <c r="L862" s="137"/>
      <c r="M862" s="137"/>
      <c r="N862" s="137"/>
      <c r="O862" s="138"/>
    </row>
    <row r="863">
      <c r="A863" s="134"/>
      <c r="B863" s="135"/>
      <c r="C863" s="136"/>
      <c r="D863" s="137"/>
      <c r="E863" s="137"/>
      <c r="F863" s="137"/>
      <c r="G863" s="137"/>
      <c r="H863" s="137"/>
      <c r="I863" s="137"/>
      <c r="J863" s="137"/>
      <c r="K863" s="137"/>
      <c r="L863" s="137"/>
      <c r="M863" s="137"/>
      <c r="N863" s="137"/>
      <c r="O863" s="138"/>
    </row>
    <row r="864">
      <c r="A864" s="134"/>
      <c r="B864" s="135"/>
      <c r="C864" s="136"/>
      <c r="D864" s="137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  <c r="O864" s="138"/>
    </row>
    <row r="865">
      <c r="A865" s="134"/>
      <c r="B865" s="135"/>
      <c r="C865" s="136"/>
      <c r="D865" s="137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  <c r="O865" s="138"/>
    </row>
    <row r="866">
      <c r="A866" s="134"/>
      <c r="B866" s="135"/>
      <c r="C866" s="136"/>
      <c r="D866" s="137"/>
      <c r="E866" s="137"/>
      <c r="F866" s="137"/>
      <c r="G866" s="137"/>
      <c r="H866" s="137"/>
      <c r="I866" s="137"/>
      <c r="J866" s="137"/>
      <c r="K866" s="137"/>
      <c r="L866" s="137"/>
      <c r="M866" s="137"/>
      <c r="N866" s="137"/>
      <c r="O866" s="138"/>
    </row>
    <row r="867">
      <c r="A867" s="134"/>
      <c r="B867" s="135"/>
      <c r="C867" s="136"/>
      <c r="D867" s="137"/>
      <c r="E867" s="137"/>
      <c r="F867" s="137"/>
      <c r="G867" s="137"/>
      <c r="H867" s="137"/>
      <c r="I867" s="137"/>
      <c r="J867" s="137"/>
      <c r="K867" s="137"/>
      <c r="L867" s="137"/>
      <c r="M867" s="137"/>
      <c r="N867" s="137"/>
      <c r="O867" s="138"/>
    </row>
    <row r="868">
      <c r="A868" s="134"/>
      <c r="B868" s="135"/>
      <c r="C868" s="136"/>
      <c r="D868" s="137"/>
      <c r="E868" s="137"/>
      <c r="F868" s="137"/>
      <c r="G868" s="137"/>
      <c r="H868" s="137"/>
      <c r="I868" s="137"/>
      <c r="J868" s="137"/>
      <c r="K868" s="137"/>
      <c r="L868" s="137"/>
      <c r="M868" s="137"/>
      <c r="N868" s="137"/>
      <c r="O868" s="138"/>
    </row>
    <row r="869">
      <c r="A869" s="134"/>
      <c r="B869" s="135"/>
      <c r="C869" s="136"/>
      <c r="D869" s="137"/>
      <c r="E869" s="137"/>
      <c r="F869" s="137"/>
      <c r="G869" s="137"/>
      <c r="H869" s="137"/>
      <c r="I869" s="137"/>
      <c r="J869" s="137"/>
      <c r="K869" s="137"/>
      <c r="L869" s="137"/>
      <c r="M869" s="137"/>
      <c r="N869" s="137"/>
      <c r="O869" s="138"/>
    </row>
    <row r="870">
      <c r="A870" s="134"/>
      <c r="B870" s="135"/>
      <c r="C870" s="136"/>
      <c r="D870" s="137"/>
      <c r="E870" s="137"/>
      <c r="F870" s="137"/>
      <c r="G870" s="137"/>
      <c r="H870" s="137"/>
      <c r="I870" s="137"/>
      <c r="J870" s="137"/>
      <c r="K870" s="137"/>
      <c r="L870" s="137"/>
      <c r="M870" s="137"/>
      <c r="N870" s="137"/>
      <c r="O870" s="138"/>
    </row>
    <row r="871">
      <c r="A871" s="134"/>
      <c r="B871" s="135"/>
      <c r="C871" s="136"/>
      <c r="D871" s="137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  <c r="O871" s="138"/>
    </row>
    <row r="872">
      <c r="A872" s="134"/>
      <c r="B872" s="135"/>
      <c r="C872" s="136"/>
      <c r="D872" s="137"/>
      <c r="E872" s="137"/>
      <c r="F872" s="137"/>
      <c r="G872" s="137"/>
      <c r="H872" s="137"/>
      <c r="I872" s="137"/>
      <c r="J872" s="137"/>
      <c r="K872" s="137"/>
      <c r="L872" s="137"/>
      <c r="M872" s="137"/>
      <c r="N872" s="137"/>
      <c r="O872" s="138"/>
    </row>
    <row r="873">
      <c r="A873" s="134"/>
      <c r="B873" s="135"/>
      <c r="C873" s="136"/>
      <c r="D873" s="137"/>
      <c r="E873" s="137"/>
      <c r="F873" s="137"/>
      <c r="G873" s="137"/>
      <c r="H873" s="137"/>
      <c r="I873" s="137"/>
      <c r="J873" s="137"/>
      <c r="K873" s="137"/>
      <c r="L873" s="137"/>
      <c r="M873" s="137"/>
      <c r="N873" s="137"/>
      <c r="O873" s="138"/>
    </row>
    <row r="874">
      <c r="A874" s="134"/>
      <c r="B874" s="135"/>
      <c r="C874" s="136"/>
      <c r="D874" s="137"/>
      <c r="E874" s="137"/>
      <c r="F874" s="137"/>
      <c r="G874" s="137"/>
      <c r="H874" s="137"/>
      <c r="I874" s="137"/>
      <c r="J874" s="137"/>
      <c r="K874" s="137"/>
      <c r="L874" s="137"/>
      <c r="M874" s="137"/>
      <c r="N874" s="137"/>
      <c r="O874" s="138"/>
    </row>
    <row r="875">
      <c r="A875" s="134"/>
      <c r="B875" s="135"/>
      <c r="C875" s="136"/>
      <c r="D875" s="137"/>
      <c r="E875" s="137"/>
      <c r="F875" s="137"/>
      <c r="G875" s="137"/>
      <c r="H875" s="137"/>
      <c r="I875" s="137"/>
      <c r="J875" s="137"/>
      <c r="K875" s="137"/>
      <c r="L875" s="137"/>
      <c r="M875" s="137"/>
      <c r="N875" s="137"/>
      <c r="O875" s="138"/>
    </row>
    <row r="876">
      <c r="A876" s="134"/>
      <c r="B876" s="135"/>
      <c r="C876" s="136"/>
      <c r="D876" s="137"/>
      <c r="E876" s="137"/>
      <c r="F876" s="137"/>
      <c r="G876" s="137"/>
      <c r="H876" s="137"/>
      <c r="I876" s="137"/>
      <c r="J876" s="137"/>
      <c r="K876" s="137"/>
      <c r="L876" s="137"/>
      <c r="M876" s="137"/>
      <c r="N876" s="137"/>
      <c r="O876" s="138"/>
    </row>
    <row r="877">
      <c r="A877" s="134"/>
      <c r="B877" s="135"/>
      <c r="C877" s="136"/>
      <c r="D877" s="137"/>
      <c r="E877" s="137"/>
      <c r="F877" s="137"/>
      <c r="G877" s="137"/>
      <c r="H877" s="137"/>
      <c r="I877" s="137"/>
      <c r="J877" s="137"/>
      <c r="K877" s="137"/>
      <c r="L877" s="137"/>
      <c r="M877" s="137"/>
      <c r="N877" s="137"/>
      <c r="O877" s="138"/>
    </row>
    <row r="878">
      <c r="A878" s="134"/>
      <c r="B878" s="135"/>
      <c r="C878" s="136"/>
      <c r="D878" s="137"/>
      <c r="E878" s="137"/>
      <c r="F878" s="137"/>
      <c r="G878" s="137"/>
      <c r="H878" s="137"/>
      <c r="I878" s="137"/>
      <c r="J878" s="137"/>
      <c r="K878" s="137"/>
      <c r="L878" s="137"/>
      <c r="M878" s="137"/>
      <c r="N878" s="137"/>
      <c r="O878" s="138"/>
    </row>
    <row r="879">
      <c r="A879" s="134"/>
      <c r="B879" s="135"/>
      <c r="C879" s="136"/>
      <c r="D879" s="137"/>
      <c r="E879" s="137"/>
      <c r="F879" s="137"/>
      <c r="G879" s="137"/>
      <c r="H879" s="137"/>
      <c r="I879" s="137"/>
      <c r="J879" s="137"/>
      <c r="K879" s="137"/>
      <c r="L879" s="137"/>
      <c r="M879" s="137"/>
      <c r="N879" s="137"/>
      <c r="O879" s="138"/>
    </row>
    <row r="880">
      <c r="A880" s="134"/>
      <c r="B880" s="135"/>
      <c r="C880" s="136"/>
      <c r="D880" s="137"/>
      <c r="E880" s="137"/>
      <c r="F880" s="137"/>
      <c r="G880" s="137"/>
      <c r="H880" s="137"/>
      <c r="I880" s="137"/>
      <c r="J880" s="137"/>
      <c r="K880" s="137"/>
      <c r="L880" s="137"/>
      <c r="M880" s="137"/>
      <c r="N880" s="137"/>
      <c r="O880" s="138"/>
    </row>
    <row r="881">
      <c r="A881" s="134"/>
      <c r="B881" s="135"/>
      <c r="C881" s="136"/>
      <c r="D881" s="137"/>
      <c r="E881" s="137"/>
      <c r="F881" s="137"/>
      <c r="G881" s="137"/>
      <c r="H881" s="137"/>
      <c r="I881" s="137"/>
      <c r="J881" s="137"/>
      <c r="K881" s="137"/>
      <c r="L881" s="137"/>
      <c r="M881" s="137"/>
      <c r="N881" s="137"/>
      <c r="O881" s="138"/>
    </row>
    <row r="882">
      <c r="A882" s="134"/>
      <c r="B882" s="135"/>
      <c r="C882" s="136"/>
      <c r="D882" s="137"/>
      <c r="E882" s="137"/>
      <c r="F882" s="137"/>
      <c r="G882" s="137"/>
      <c r="H882" s="137"/>
      <c r="I882" s="137"/>
      <c r="J882" s="137"/>
      <c r="K882" s="137"/>
      <c r="L882" s="137"/>
      <c r="M882" s="137"/>
      <c r="N882" s="137"/>
      <c r="O882" s="138"/>
    </row>
    <row r="883">
      <c r="A883" s="134"/>
      <c r="B883" s="135"/>
      <c r="C883" s="136"/>
      <c r="D883" s="137"/>
      <c r="E883" s="137"/>
      <c r="F883" s="137"/>
      <c r="G883" s="137"/>
      <c r="H883" s="137"/>
      <c r="I883" s="137"/>
      <c r="J883" s="137"/>
      <c r="K883" s="137"/>
      <c r="L883" s="137"/>
      <c r="M883" s="137"/>
      <c r="N883" s="137"/>
      <c r="O883" s="138"/>
    </row>
    <row r="884">
      <c r="A884" s="134"/>
      <c r="B884" s="135"/>
      <c r="C884" s="136"/>
      <c r="D884" s="137"/>
      <c r="E884" s="137"/>
      <c r="F884" s="137"/>
      <c r="G884" s="137"/>
      <c r="H884" s="137"/>
      <c r="I884" s="137"/>
      <c r="J884" s="137"/>
      <c r="K884" s="137"/>
      <c r="L884" s="137"/>
      <c r="M884" s="137"/>
      <c r="N884" s="137"/>
      <c r="O884" s="138"/>
    </row>
    <row r="885">
      <c r="A885" s="134"/>
      <c r="B885" s="135"/>
      <c r="C885" s="136"/>
      <c r="D885" s="137"/>
      <c r="E885" s="137"/>
      <c r="F885" s="137"/>
      <c r="G885" s="137"/>
      <c r="H885" s="137"/>
      <c r="I885" s="137"/>
      <c r="J885" s="137"/>
      <c r="K885" s="137"/>
      <c r="L885" s="137"/>
      <c r="M885" s="137"/>
      <c r="N885" s="137"/>
      <c r="O885" s="138"/>
    </row>
    <row r="886">
      <c r="A886" s="134"/>
      <c r="B886" s="135"/>
      <c r="C886" s="136"/>
      <c r="D886" s="137"/>
      <c r="E886" s="137"/>
      <c r="F886" s="137"/>
      <c r="G886" s="137"/>
      <c r="H886" s="137"/>
      <c r="I886" s="137"/>
      <c r="J886" s="137"/>
      <c r="K886" s="137"/>
      <c r="L886" s="137"/>
      <c r="M886" s="137"/>
      <c r="N886" s="137"/>
      <c r="O886" s="138"/>
    </row>
    <row r="887">
      <c r="A887" s="134"/>
      <c r="B887" s="135"/>
      <c r="C887" s="136"/>
      <c r="D887" s="137"/>
      <c r="E887" s="137"/>
      <c r="F887" s="137"/>
      <c r="G887" s="137"/>
      <c r="H887" s="137"/>
      <c r="I887" s="137"/>
      <c r="J887" s="137"/>
      <c r="K887" s="137"/>
      <c r="L887" s="137"/>
      <c r="M887" s="137"/>
      <c r="N887" s="137"/>
      <c r="O887" s="138"/>
    </row>
    <row r="888">
      <c r="A888" s="134"/>
      <c r="B888" s="135"/>
      <c r="C888" s="136"/>
      <c r="D888" s="137"/>
      <c r="E888" s="137"/>
      <c r="F888" s="137"/>
      <c r="G888" s="137"/>
      <c r="H888" s="137"/>
      <c r="I888" s="137"/>
      <c r="J888" s="137"/>
      <c r="K888" s="137"/>
      <c r="L888" s="137"/>
      <c r="M888" s="137"/>
      <c r="N888" s="137"/>
      <c r="O888" s="138"/>
    </row>
    <row r="889">
      <c r="A889" s="134"/>
      <c r="B889" s="135"/>
      <c r="C889" s="136"/>
      <c r="D889" s="137"/>
      <c r="E889" s="137"/>
      <c r="F889" s="137"/>
      <c r="G889" s="137"/>
      <c r="H889" s="137"/>
      <c r="I889" s="137"/>
      <c r="J889" s="137"/>
      <c r="K889" s="137"/>
      <c r="L889" s="137"/>
      <c r="M889" s="137"/>
      <c r="N889" s="137"/>
      <c r="O889" s="138"/>
    </row>
    <row r="890">
      <c r="A890" s="134"/>
      <c r="B890" s="135"/>
      <c r="C890" s="136"/>
      <c r="D890" s="137"/>
      <c r="E890" s="137"/>
      <c r="F890" s="137"/>
      <c r="G890" s="137"/>
      <c r="H890" s="137"/>
      <c r="I890" s="137"/>
      <c r="J890" s="137"/>
      <c r="K890" s="137"/>
      <c r="L890" s="137"/>
      <c r="M890" s="137"/>
      <c r="N890" s="137"/>
      <c r="O890" s="138"/>
    </row>
    <row r="891">
      <c r="A891" s="134"/>
      <c r="B891" s="135"/>
      <c r="C891" s="136"/>
      <c r="D891" s="137"/>
      <c r="E891" s="137"/>
      <c r="F891" s="137"/>
      <c r="G891" s="137"/>
      <c r="H891" s="137"/>
      <c r="I891" s="137"/>
      <c r="J891" s="137"/>
      <c r="K891" s="137"/>
      <c r="L891" s="137"/>
      <c r="M891" s="137"/>
      <c r="N891" s="137"/>
      <c r="O891" s="138"/>
    </row>
    <row r="892">
      <c r="A892" s="134"/>
      <c r="B892" s="135"/>
      <c r="C892" s="136"/>
      <c r="D892" s="137"/>
      <c r="E892" s="137"/>
      <c r="F892" s="137"/>
      <c r="G892" s="137"/>
      <c r="H892" s="137"/>
      <c r="I892" s="137"/>
      <c r="J892" s="137"/>
      <c r="K892" s="137"/>
      <c r="L892" s="137"/>
      <c r="M892" s="137"/>
      <c r="N892" s="137"/>
      <c r="O892" s="138"/>
    </row>
    <row r="893">
      <c r="A893" s="134"/>
      <c r="B893" s="135"/>
      <c r="C893" s="136"/>
      <c r="D893" s="137"/>
      <c r="E893" s="137"/>
      <c r="F893" s="137"/>
      <c r="G893" s="137"/>
      <c r="H893" s="137"/>
      <c r="I893" s="137"/>
      <c r="J893" s="137"/>
      <c r="K893" s="137"/>
      <c r="L893" s="137"/>
      <c r="M893" s="137"/>
      <c r="N893" s="137"/>
      <c r="O893" s="138"/>
    </row>
    <row r="894">
      <c r="A894" s="134"/>
      <c r="B894" s="135"/>
      <c r="C894" s="136"/>
      <c r="D894" s="137"/>
      <c r="E894" s="137"/>
      <c r="F894" s="137"/>
      <c r="G894" s="137"/>
      <c r="H894" s="137"/>
      <c r="I894" s="137"/>
      <c r="J894" s="137"/>
      <c r="K894" s="137"/>
      <c r="L894" s="137"/>
      <c r="M894" s="137"/>
      <c r="N894" s="137"/>
      <c r="O894" s="138"/>
    </row>
    <row r="895">
      <c r="A895" s="134"/>
      <c r="B895" s="135"/>
      <c r="C895" s="136"/>
      <c r="D895" s="137"/>
      <c r="E895" s="137"/>
      <c r="F895" s="137"/>
      <c r="G895" s="137"/>
      <c r="H895" s="137"/>
      <c r="I895" s="137"/>
      <c r="J895" s="137"/>
      <c r="K895" s="137"/>
      <c r="L895" s="137"/>
      <c r="M895" s="137"/>
      <c r="N895" s="137"/>
      <c r="O895" s="138"/>
    </row>
    <row r="896">
      <c r="A896" s="134"/>
      <c r="B896" s="135"/>
      <c r="C896" s="136"/>
      <c r="D896" s="137"/>
      <c r="E896" s="137"/>
      <c r="F896" s="137"/>
      <c r="G896" s="137"/>
      <c r="H896" s="137"/>
      <c r="I896" s="137"/>
      <c r="J896" s="137"/>
      <c r="K896" s="137"/>
      <c r="L896" s="137"/>
      <c r="M896" s="137"/>
      <c r="N896" s="137"/>
      <c r="O896" s="138"/>
    </row>
    <row r="897">
      <c r="A897" s="134"/>
      <c r="B897" s="135"/>
      <c r="C897" s="136"/>
      <c r="D897" s="137"/>
      <c r="E897" s="137"/>
      <c r="F897" s="137"/>
      <c r="G897" s="137"/>
      <c r="H897" s="137"/>
      <c r="I897" s="137"/>
      <c r="J897" s="137"/>
      <c r="K897" s="137"/>
      <c r="L897" s="137"/>
      <c r="M897" s="137"/>
      <c r="N897" s="137"/>
      <c r="O897" s="138"/>
    </row>
    <row r="898">
      <c r="A898" s="134"/>
      <c r="B898" s="135"/>
      <c r="C898" s="136"/>
      <c r="D898" s="137"/>
      <c r="E898" s="137"/>
      <c r="F898" s="137"/>
      <c r="G898" s="137"/>
      <c r="H898" s="137"/>
      <c r="I898" s="137"/>
      <c r="J898" s="137"/>
      <c r="K898" s="137"/>
      <c r="L898" s="137"/>
      <c r="M898" s="137"/>
      <c r="N898" s="137"/>
      <c r="O898" s="138"/>
    </row>
    <row r="899">
      <c r="A899" s="134"/>
      <c r="B899" s="135"/>
      <c r="C899" s="136"/>
      <c r="D899" s="137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  <c r="O899" s="138"/>
    </row>
    <row r="900">
      <c r="A900" s="134"/>
      <c r="B900" s="135"/>
      <c r="C900" s="136"/>
      <c r="D900" s="137"/>
      <c r="E900" s="137"/>
      <c r="F900" s="137"/>
      <c r="G900" s="137"/>
      <c r="H900" s="137"/>
      <c r="I900" s="137"/>
      <c r="J900" s="137"/>
      <c r="K900" s="137"/>
      <c r="L900" s="137"/>
      <c r="M900" s="137"/>
      <c r="N900" s="137"/>
      <c r="O900" s="138"/>
    </row>
    <row r="901">
      <c r="A901" s="134"/>
      <c r="B901" s="135"/>
      <c r="C901" s="136"/>
      <c r="D901" s="137"/>
      <c r="E901" s="137"/>
      <c r="F901" s="137"/>
      <c r="G901" s="137"/>
      <c r="H901" s="137"/>
      <c r="I901" s="137"/>
      <c r="J901" s="137"/>
      <c r="K901" s="137"/>
      <c r="L901" s="137"/>
      <c r="M901" s="137"/>
      <c r="N901" s="137"/>
      <c r="O901" s="138"/>
    </row>
    <row r="902">
      <c r="A902" s="134"/>
      <c r="B902" s="135"/>
      <c r="C902" s="136"/>
      <c r="D902" s="137"/>
      <c r="E902" s="137"/>
      <c r="F902" s="137"/>
      <c r="G902" s="137"/>
      <c r="H902" s="137"/>
      <c r="I902" s="137"/>
      <c r="J902" s="137"/>
      <c r="K902" s="137"/>
      <c r="L902" s="137"/>
      <c r="M902" s="137"/>
      <c r="N902" s="137"/>
      <c r="O902" s="138"/>
    </row>
    <row r="903">
      <c r="A903" s="134"/>
      <c r="B903" s="135"/>
      <c r="C903" s="136"/>
      <c r="D903" s="137"/>
      <c r="E903" s="137"/>
      <c r="F903" s="137"/>
      <c r="G903" s="137"/>
      <c r="H903" s="137"/>
      <c r="I903" s="137"/>
      <c r="J903" s="137"/>
      <c r="K903" s="137"/>
      <c r="L903" s="137"/>
      <c r="M903" s="137"/>
      <c r="N903" s="137"/>
      <c r="O903" s="138"/>
    </row>
    <row r="904">
      <c r="A904" s="134"/>
      <c r="B904" s="135"/>
      <c r="C904" s="136"/>
      <c r="D904" s="137"/>
      <c r="E904" s="137"/>
      <c r="F904" s="137"/>
      <c r="G904" s="137"/>
      <c r="H904" s="137"/>
      <c r="I904" s="137"/>
      <c r="J904" s="137"/>
      <c r="K904" s="137"/>
      <c r="L904" s="137"/>
      <c r="M904" s="137"/>
      <c r="N904" s="137"/>
      <c r="O904" s="138"/>
    </row>
    <row r="905">
      <c r="A905" s="134"/>
      <c r="B905" s="135"/>
      <c r="C905" s="136"/>
      <c r="D905" s="137"/>
      <c r="E905" s="137"/>
      <c r="F905" s="137"/>
      <c r="G905" s="137"/>
      <c r="H905" s="137"/>
      <c r="I905" s="137"/>
      <c r="J905" s="137"/>
      <c r="K905" s="137"/>
      <c r="L905" s="137"/>
      <c r="M905" s="137"/>
      <c r="N905" s="137"/>
      <c r="O905" s="138"/>
    </row>
    <row r="906">
      <c r="A906" s="134"/>
      <c r="B906" s="135"/>
      <c r="C906" s="136"/>
      <c r="D906" s="137"/>
      <c r="E906" s="137"/>
      <c r="F906" s="137"/>
      <c r="G906" s="137"/>
      <c r="H906" s="137"/>
      <c r="I906" s="137"/>
      <c r="J906" s="137"/>
      <c r="K906" s="137"/>
      <c r="L906" s="137"/>
      <c r="M906" s="137"/>
      <c r="N906" s="137"/>
      <c r="O906" s="138"/>
    </row>
    <row r="907">
      <c r="A907" s="134"/>
      <c r="B907" s="135"/>
      <c r="C907" s="136"/>
      <c r="D907" s="137"/>
      <c r="E907" s="137"/>
      <c r="F907" s="137"/>
      <c r="G907" s="137"/>
      <c r="H907" s="137"/>
      <c r="I907" s="137"/>
      <c r="J907" s="137"/>
      <c r="K907" s="137"/>
      <c r="L907" s="137"/>
      <c r="M907" s="137"/>
      <c r="N907" s="137"/>
      <c r="O907" s="138"/>
    </row>
    <row r="908">
      <c r="A908" s="134"/>
      <c r="B908" s="135"/>
      <c r="C908" s="136"/>
      <c r="D908" s="137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  <c r="O908" s="138"/>
    </row>
    <row r="909">
      <c r="A909" s="134"/>
      <c r="B909" s="135"/>
      <c r="C909" s="136"/>
      <c r="D909" s="137"/>
      <c r="E909" s="137"/>
      <c r="F909" s="137"/>
      <c r="G909" s="137"/>
      <c r="H909" s="137"/>
      <c r="I909" s="137"/>
      <c r="J909" s="137"/>
      <c r="K909" s="137"/>
      <c r="L909" s="137"/>
      <c r="M909" s="137"/>
      <c r="N909" s="137"/>
      <c r="O909" s="138"/>
    </row>
    <row r="910">
      <c r="A910" s="134"/>
      <c r="B910" s="135"/>
      <c r="C910" s="136"/>
      <c r="D910" s="137"/>
      <c r="E910" s="137"/>
      <c r="F910" s="137"/>
      <c r="G910" s="137"/>
      <c r="H910" s="137"/>
      <c r="I910" s="137"/>
      <c r="J910" s="137"/>
      <c r="K910" s="137"/>
      <c r="L910" s="137"/>
      <c r="M910" s="137"/>
      <c r="N910" s="137"/>
      <c r="O910" s="138"/>
    </row>
    <row r="911">
      <c r="A911" s="134"/>
      <c r="B911" s="135"/>
      <c r="C911" s="136"/>
      <c r="D911" s="137"/>
      <c r="E911" s="137"/>
      <c r="F911" s="137"/>
      <c r="G911" s="137"/>
      <c r="H911" s="137"/>
      <c r="I911" s="137"/>
      <c r="J911" s="137"/>
      <c r="K911" s="137"/>
      <c r="L911" s="137"/>
      <c r="M911" s="137"/>
      <c r="N911" s="137"/>
      <c r="O911" s="138"/>
    </row>
    <row r="912">
      <c r="A912" s="134"/>
      <c r="B912" s="135"/>
      <c r="C912" s="136"/>
      <c r="D912" s="137"/>
      <c r="E912" s="137"/>
      <c r="F912" s="137"/>
      <c r="G912" s="137"/>
      <c r="H912" s="137"/>
      <c r="I912" s="137"/>
      <c r="J912" s="137"/>
      <c r="K912" s="137"/>
      <c r="L912" s="137"/>
      <c r="M912" s="137"/>
      <c r="N912" s="137"/>
      <c r="O912" s="138"/>
    </row>
    <row r="913">
      <c r="A913" s="134"/>
      <c r="B913" s="135"/>
      <c r="C913" s="136"/>
      <c r="D913" s="137"/>
      <c r="E913" s="137"/>
      <c r="F913" s="137"/>
      <c r="G913" s="137"/>
      <c r="H913" s="137"/>
      <c r="I913" s="137"/>
      <c r="J913" s="137"/>
      <c r="K913" s="137"/>
      <c r="L913" s="137"/>
      <c r="M913" s="137"/>
      <c r="N913" s="137"/>
      <c r="O913" s="138"/>
    </row>
    <row r="914">
      <c r="A914" s="134"/>
      <c r="B914" s="135"/>
      <c r="C914" s="136"/>
      <c r="D914" s="137"/>
      <c r="E914" s="137"/>
      <c r="F914" s="137"/>
      <c r="G914" s="137"/>
      <c r="H914" s="137"/>
      <c r="I914" s="137"/>
      <c r="J914" s="137"/>
      <c r="K914" s="137"/>
      <c r="L914" s="137"/>
      <c r="M914" s="137"/>
      <c r="N914" s="137"/>
      <c r="O914" s="138"/>
    </row>
    <row r="915">
      <c r="A915" s="134"/>
      <c r="B915" s="135"/>
      <c r="C915" s="136"/>
      <c r="D915" s="137"/>
      <c r="E915" s="137"/>
      <c r="F915" s="137"/>
      <c r="G915" s="137"/>
      <c r="H915" s="137"/>
      <c r="I915" s="137"/>
      <c r="J915" s="137"/>
      <c r="K915" s="137"/>
      <c r="L915" s="137"/>
      <c r="M915" s="137"/>
      <c r="N915" s="137"/>
      <c r="O915" s="138"/>
    </row>
    <row r="916">
      <c r="A916" s="134"/>
      <c r="B916" s="135"/>
      <c r="C916" s="136"/>
      <c r="D916" s="137"/>
      <c r="E916" s="137"/>
      <c r="F916" s="137"/>
      <c r="G916" s="137"/>
      <c r="H916" s="137"/>
      <c r="I916" s="137"/>
      <c r="J916" s="137"/>
      <c r="K916" s="137"/>
      <c r="L916" s="137"/>
      <c r="M916" s="137"/>
      <c r="N916" s="137"/>
      <c r="O916" s="138"/>
    </row>
    <row r="917">
      <c r="A917" s="134"/>
      <c r="B917" s="135"/>
      <c r="C917" s="136"/>
      <c r="D917" s="137"/>
      <c r="E917" s="137"/>
      <c r="F917" s="137"/>
      <c r="G917" s="137"/>
      <c r="H917" s="137"/>
      <c r="I917" s="137"/>
      <c r="J917" s="137"/>
      <c r="K917" s="137"/>
      <c r="L917" s="137"/>
      <c r="M917" s="137"/>
      <c r="N917" s="137"/>
      <c r="O917" s="138"/>
    </row>
    <row r="918">
      <c r="A918" s="134"/>
      <c r="B918" s="135"/>
      <c r="C918" s="136"/>
      <c r="D918" s="137"/>
      <c r="E918" s="137"/>
      <c r="F918" s="137"/>
      <c r="G918" s="137"/>
      <c r="H918" s="137"/>
      <c r="I918" s="137"/>
      <c r="J918" s="137"/>
      <c r="K918" s="137"/>
      <c r="L918" s="137"/>
      <c r="M918" s="137"/>
      <c r="N918" s="137"/>
      <c r="O918" s="138"/>
    </row>
    <row r="919">
      <c r="A919" s="134"/>
      <c r="B919" s="135"/>
      <c r="C919" s="136"/>
      <c r="D919" s="137"/>
      <c r="E919" s="137"/>
      <c r="F919" s="137"/>
      <c r="G919" s="137"/>
      <c r="H919" s="137"/>
      <c r="I919" s="137"/>
      <c r="J919" s="137"/>
      <c r="K919" s="137"/>
      <c r="L919" s="137"/>
      <c r="M919" s="137"/>
      <c r="N919" s="137"/>
      <c r="O919" s="138"/>
    </row>
    <row r="920">
      <c r="A920" s="134"/>
      <c r="B920" s="135"/>
      <c r="C920" s="136"/>
      <c r="D920" s="137"/>
      <c r="E920" s="137"/>
      <c r="F920" s="137"/>
      <c r="G920" s="137"/>
      <c r="H920" s="137"/>
      <c r="I920" s="137"/>
      <c r="J920" s="137"/>
      <c r="K920" s="137"/>
      <c r="L920" s="137"/>
      <c r="M920" s="137"/>
      <c r="N920" s="137"/>
      <c r="O920" s="138"/>
    </row>
    <row r="921">
      <c r="A921" s="134"/>
      <c r="B921" s="135"/>
      <c r="C921" s="136"/>
      <c r="D921" s="137"/>
      <c r="E921" s="137"/>
      <c r="F921" s="137"/>
      <c r="G921" s="137"/>
      <c r="H921" s="137"/>
      <c r="I921" s="137"/>
      <c r="J921" s="137"/>
      <c r="K921" s="137"/>
      <c r="L921" s="137"/>
      <c r="M921" s="137"/>
      <c r="N921" s="137"/>
      <c r="O921" s="138"/>
    </row>
    <row r="922">
      <c r="A922" s="134"/>
      <c r="B922" s="135"/>
      <c r="C922" s="136"/>
      <c r="D922" s="137"/>
      <c r="E922" s="137"/>
      <c r="F922" s="137"/>
      <c r="G922" s="137"/>
      <c r="H922" s="137"/>
      <c r="I922" s="137"/>
      <c r="J922" s="137"/>
      <c r="K922" s="137"/>
      <c r="L922" s="137"/>
      <c r="M922" s="137"/>
      <c r="N922" s="137"/>
      <c r="O922" s="138"/>
    </row>
    <row r="923">
      <c r="A923" s="134"/>
      <c r="B923" s="135"/>
      <c r="C923" s="136"/>
      <c r="D923" s="137"/>
      <c r="E923" s="137"/>
      <c r="F923" s="137"/>
      <c r="G923" s="137"/>
      <c r="H923" s="137"/>
      <c r="I923" s="137"/>
      <c r="J923" s="137"/>
      <c r="K923" s="137"/>
      <c r="L923" s="137"/>
      <c r="M923" s="137"/>
      <c r="N923" s="137"/>
      <c r="O923" s="138"/>
    </row>
    <row r="924">
      <c r="A924" s="134"/>
      <c r="B924" s="135"/>
      <c r="C924" s="136"/>
      <c r="D924" s="137"/>
      <c r="E924" s="137"/>
      <c r="F924" s="137"/>
      <c r="G924" s="137"/>
      <c r="H924" s="137"/>
      <c r="I924" s="137"/>
      <c r="J924" s="137"/>
      <c r="K924" s="137"/>
      <c r="L924" s="137"/>
      <c r="M924" s="137"/>
      <c r="N924" s="137"/>
      <c r="O924" s="138"/>
    </row>
    <row r="925">
      <c r="A925" s="134"/>
      <c r="B925" s="135"/>
      <c r="C925" s="136"/>
      <c r="D925" s="137"/>
      <c r="E925" s="137"/>
      <c r="F925" s="137"/>
      <c r="G925" s="137"/>
      <c r="H925" s="137"/>
      <c r="I925" s="137"/>
      <c r="J925" s="137"/>
      <c r="K925" s="137"/>
      <c r="L925" s="137"/>
      <c r="M925" s="137"/>
      <c r="N925" s="137"/>
      <c r="O925" s="138"/>
    </row>
    <row r="926">
      <c r="A926" s="134"/>
      <c r="B926" s="135"/>
      <c r="C926" s="136"/>
      <c r="D926" s="137"/>
      <c r="E926" s="137"/>
      <c r="F926" s="137"/>
      <c r="G926" s="137"/>
      <c r="H926" s="137"/>
      <c r="I926" s="137"/>
      <c r="J926" s="137"/>
      <c r="K926" s="137"/>
      <c r="L926" s="137"/>
      <c r="M926" s="137"/>
      <c r="N926" s="137"/>
      <c r="O926" s="138"/>
    </row>
    <row r="927">
      <c r="A927" s="134"/>
      <c r="B927" s="135"/>
      <c r="C927" s="136"/>
      <c r="D927" s="137"/>
      <c r="E927" s="137"/>
      <c r="F927" s="137"/>
      <c r="G927" s="137"/>
      <c r="H927" s="137"/>
      <c r="I927" s="137"/>
      <c r="J927" s="137"/>
      <c r="K927" s="137"/>
      <c r="L927" s="137"/>
      <c r="M927" s="137"/>
      <c r="N927" s="137"/>
      <c r="O927" s="138"/>
    </row>
    <row r="928">
      <c r="A928" s="134"/>
      <c r="B928" s="135"/>
      <c r="C928" s="136"/>
      <c r="D928" s="137"/>
      <c r="E928" s="137"/>
      <c r="F928" s="137"/>
      <c r="G928" s="137"/>
      <c r="H928" s="137"/>
      <c r="I928" s="137"/>
      <c r="J928" s="137"/>
      <c r="K928" s="137"/>
      <c r="L928" s="137"/>
      <c r="M928" s="137"/>
      <c r="N928" s="137"/>
      <c r="O928" s="138"/>
    </row>
    <row r="929">
      <c r="A929" s="134"/>
      <c r="B929" s="135"/>
      <c r="C929" s="136"/>
      <c r="D929" s="137"/>
      <c r="E929" s="137"/>
      <c r="F929" s="137"/>
      <c r="G929" s="137"/>
      <c r="H929" s="137"/>
      <c r="I929" s="137"/>
      <c r="J929" s="137"/>
      <c r="K929" s="137"/>
      <c r="L929" s="137"/>
      <c r="M929" s="137"/>
      <c r="N929" s="137"/>
      <c r="O929" s="138"/>
    </row>
    <row r="930">
      <c r="A930" s="134"/>
      <c r="B930" s="135"/>
      <c r="C930" s="136"/>
      <c r="D930" s="137"/>
      <c r="E930" s="137"/>
      <c r="F930" s="137"/>
      <c r="G930" s="137"/>
      <c r="H930" s="137"/>
      <c r="I930" s="137"/>
      <c r="J930" s="137"/>
      <c r="K930" s="137"/>
      <c r="L930" s="137"/>
      <c r="M930" s="137"/>
      <c r="N930" s="137"/>
      <c r="O930" s="138"/>
    </row>
    <row r="931">
      <c r="A931" s="134"/>
      <c r="B931" s="135"/>
      <c r="C931" s="136"/>
      <c r="D931" s="137"/>
      <c r="E931" s="137"/>
      <c r="F931" s="137"/>
      <c r="G931" s="137"/>
      <c r="H931" s="137"/>
      <c r="I931" s="137"/>
      <c r="J931" s="137"/>
      <c r="K931" s="137"/>
      <c r="L931" s="137"/>
      <c r="M931" s="137"/>
      <c r="N931" s="137"/>
      <c r="O931" s="138"/>
    </row>
    <row r="932">
      <c r="A932" s="134"/>
      <c r="B932" s="135"/>
      <c r="C932" s="136"/>
      <c r="D932" s="137"/>
      <c r="E932" s="137"/>
      <c r="F932" s="137"/>
      <c r="G932" s="137"/>
      <c r="H932" s="137"/>
      <c r="I932" s="137"/>
      <c r="J932" s="137"/>
      <c r="K932" s="137"/>
      <c r="L932" s="137"/>
      <c r="M932" s="137"/>
      <c r="N932" s="137"/>
      <c r="O932" s="138"/>
    </row>
    <row r="933">
      <c r="A933" s="134"/>
      <c r="B933" s="135"/>
      <c r="C933" s="136"/>
      <c r="D933" s="137"/>
      <c r="E933" s="137"/>
      <c r="F933" s="137"/>
      <c r="G933" s="137"/>
      <c r="H933" s="137"/>
      <c r="I933" s="137"/>
      <c r="J933" s="137"/>
      <c r="K933" s="137"/>
      <c r="L933" s="137"/>
      <c r="M933" s="137"/>
      <c r="N933" s="137"/>
      <c r="O933" s="138"/>
    </row>
    <row r="934">
      <c r="A934" s="134"/>
      <c r="B934" s="135"/>
      <c r="C934" s="136"/>
      <c r="D934" s="137"/>
      <c r="E934" s="137"/>
      <c r="F934" s="137"/>
      <c r="G934" s="137"/>
      <c r="H934" s="137"/>
      <c r="I934" s="137"/>
      <c r="J934" s="137"/>
      <c r="K934" s="137"/>
      <c r="L934" s="137"/>
      <c r="M934" s="137"/>
      <c r="N934" s="137"/>
      <c r="O934" s="138"/>
    </row>
    <row r="935">
      <c r="A935" s="134"/>
      <c r="B935" s="135"/>
      <c r="C935" s="136"/>
      <c r="D935" s="137"/>
      <c r="E935" s="137"/>
      <c r="F935" s="137"/>
      <c r="G935" s="137"/>
      <c r="H935" s="137"/>
      <c r="I935" s="137"/>
      <c r="J935" s="137"/>
      <c r="K935" s="137"/>
      <c r="L935" s="137"/>
      <c r="M935" s="137"/>
      <c r="N935" s="137"/>
      <c r="O935" s="138"/>
    </row>
    <row r="936">
      <c r="A936" s="134"/>
      <c r="B936" s="135"/>
      <c r="C936" s="136"/>
      <c r="D936" s="137"/>
      <c r="E936" s="137"/>
      <c r="F936" s="137"/>
      <c r="G936" s="137"/>
      <c r="H936" s="137"/>
      <c r="I936" s="137"/>
      <c r="J936" s="137"/>
      <c r="K936" s="137"/>
      <c r="L936" s="137"/>
      <c r="M936" s="137"/>
      <c r="N936" s="137"/>
      <c r="O936" s="138"/>
    </row>
    <row r="937">
      <c r="A937" s="134"/>
      <c r="B937" s="135"/>
      <c r="C937" s="136"/>
      <c r="D937" s="137"/>
      <c r="E937" s="137"/>
      <c r="F937" s="137"/>
      <c r="G937" s="137"/>
      <c r="H937" s="137"/>
      <c r="I937" s="137"/>
      <c r="J937" s="137"/>
      <c r="K937" s="137"/>
      <c r="L937" s="137"/>
      <c r="M937" s="137"/>
      <c r="N937" s="137"/>
      <c r="O937" s="138"/>
    </row>
    <row r="938">
      <c r="A938" s="134"/>
      <c r="B938" s="135"/>
      <c r="C938" s="136"/>
      <c r="D938" s="137"/>
      <c r="E938" s="137"/>
      <c r="F938" s="137"/>
      <c r="G938" s="137"/>
      <c r="H938" s="137"/>
      <c r="I938" s="137"/>
      <c r="J938" s="137"/>
      <c r="K938" s="137"/>
      <c r="L938" s="137"/>
      <c r="M938" s="137"/>
      <c r="N938" s="137"/>
      <c r="O938" s="138"/>
    </row>
    <row r="939">
      <c r="A939" s="134"/>
      <c r="B939" s="135"/>
      <c r="C939" s="136"/>
      <c r="D939" s="137"/>
      <c r="E939" s="137"/>
      <c r="F939" s="137"/>
      <c r="G939" s="137"/>
      <c r="H939" s="137"/>
      <c r="I939" s="137"/>
      <c r="J939" s="137"/>
      <c r="K939" s="137"/>
      <c r="L939" s="137"/>
      <c r="M939" s="137"/>
      <c r="N939" s="137"/>
      <c r="O939" s="138"/>
    </row>
    <row r="940">
      <c r="A940" s="134"/>
      <c r="B940" s="135"/>
      <c r="C940" s="136"/>
      <c r="D940" s="137"/>
      <c r="E940" s="137"/>
      <c r="F940" s="137"/>
      <c r="G940" s="137"/>
      <c r="H940" s="137"/>
      <c r="I940" s="137"/>
      <c r="J940" s="137"/>
      <c r="K940" s="137"/>
      <c r="L940" s="137"/>
      <c r="M940" s="137"/>
      <c r="N940" s="137"/>
      <c r="O940" s="138"/>
    </row>
    <row r="941">
      <c r="A941" s="134"/>
      <c r="B941" s="135"/>
      <c r="C941" s="136"/>
      <c r="D941" s="137"/>
      <c r="E941" s="137"/>
      <c r="F941" s="137"/>
      <c r="G941" s="137"/>
      <c r="H941" s="137"/>
      <c r="I941" s="137"/>
      <c r="J941" s="137"/>
      <c r="K941" s="137"/>
      <c r="L941" s="137"/>
      <c r="M941" s="137"/>
      <c r="N941" s="137"/>
      <c r="O941" s="138"/>
    </row>
    <row r="942">
      <c r="A942" s="134"/>
      <c r="B942" s="135"/>
      <c r="C942" s="136"/>
      <c r="D942" s="137"/>
      <c r="E942" s="137"/>
      <c r="F942" s="137"/>
      <c r="G942" s="137"/>
      <c r="H942" s="137"/>
      <c r="I942" s="137"/>
      <c r="J942" s="137"/>
      <c r="K942" s="137"/>
      <c r="L942" s="137"/>
      <c r="M942" s="137"/>
      <c r="N942" s="137"/>
      <c r="O942" s="138"/>
    </row>
    <row r="943">
      <c r="A943" s="134"/>
      <c r="B943" s="135"/>
      <c r="C943" s="136"/>
      <c r="D943" s="137"/>
      <c r="E943" s="137"/>
      <c r="F943" s="137"/>
      <c r="G943" s="137"/>
      <c r="H943" s="137"/>
      <c r="I943" s="137"/>
      <c r="J943" s="137"/>
      <c r="K943" s="137"/>
      <c r="L943" s="137"/>
      <c r="M943" s="137"/>
      <c r="N943" s="137"/>
      <c r="O943" s="138"/>
    </row>
    <row r="944">
      <c r="A944" s="134"/>
      <c r="B944" s="135"/>
      <c r="C944" s="136"/>
      <c r="D944" s="137"/>
      <c r="E944" s="137"/>
      <c r="F944" s="137"/>
      <c r="G944" s="137"/>
      <c r="H944" s="137"/>
      <c r="I944" s="137"/>
      <c r="J944" s="137"/>
      <c r="K944" s="137"/>
      <c r="L944" s="137"/>
      <c r="M944" s="137"/>
      <c r="N944" s="137"/>
      <c r="O944" s="138"/>
    </row>
    <row r="945">
      <c r="A945" s="134"/>
      <c r="B945" s="135"/>
      <c r="C945" s="136"/>
      <c r="D945" s="137"/>
      <c r="E945" s="137"/>
      <c r="F945" s="137"/>
      <c r="G945" s="137"/>
      <c r="H945" s="137"/>
      <c r="I945" s="137"/>
      <c r="J945" s="137"/>
      <c r="K945" s="137"/>
      <c r="L945" s="137"/>
      <c r="M945" s="137"/>
      <c r="N945" s="137"/>
      <c r="O945" s="138"/>
    </row>
    <row r="946">
      <c r="A946" s="134"/>
      <c r="B946" s="135"/>
      <c r="C946" s="136"/>
      <c r="D946" s="137"/>
      <c r="E946" s="137"/>
      <c r="F946" s="137"/>
      <c r="G946" s="137"/>
      <c r="H946" s="137"/>
      <c r="I946" s="137"/>
      <c r="J946" s="137"/>
      <c r="K946" s="137"/>
      <c r="L946" s="137"/>
      <c r="M946" s="137"/>
      <c r="N946" s="137"/>
      <c r="O946" s="138"/>
    </row>
    <row r="947">
      <c r="A947" s="134"/>
      <c r="B947" s="135"/>
      <c r="C947" s="136"/>
      <c r="D947" s="137"/>
      <c r="E947" s="137"/>
      <c r="F947" s="137"/>
      <c r="G947" s="137"/>
      <c r="H947" s="137"/>
      <c r="I947" s="137"/>
      <c r="J947" s="137"/>
      <c r="K947" s="137"/>
      <c r="L947" s="137"/>
      <c r="M947" s="137"/>
      <c r="N947" s="137"/>
      <c r="O947" s="138"/>
    </row>
    <row r="948">
      <c r="A948" s="134"/>
      <c r="B948" s="135"/>
      <c r="C948" s="136"/>
      <c r="D948" s="137"/>
      <c r="E948" s="137"/>
      <c r="F948" s="137"/>
      <c r="G948" s="137"/>
      <c r="H948" s="137"/>
      <c r="I948" s="137"/>
      <c r="J948" s="137"/>
      <c r="K948" s="137"/>
      <c r="L948" s="137"/>
      <c r="M948" s="137"/>
      <c r="N948" s="137"/>
      <c r="O948" s="138"/>
    </row>
    <row r="949">
      <c r="A949" s="134"/>
      <c r="B949" s="135"/>
      <c r="C949" s="136"/>
      <c r="D949" s="137"/>
      <c r="E949" s="137"/>
      <c r="F949" s="137"/>
      <c r="G949" s="137"/>
      <c r="H949" s="137"/>
      <c r="I949" s="137"/>
      <c r="J949" s="137"/>
      <c r="K949" s="137"/>
      <c r="L949" s="137"/>
      <c r="M949" s="137"/>
      <c r="N949" s="137"/>
      <c r="O949" s="138"/>
    </row>
    <row r="950">
      <c r="A950" s="134"/>
      <c r="B950" s="135"/>
      <c r="C950" s="136"/>
      <c r="D950" s="137"/>
      <c r="E950" s="137"/>
      <c r="F950" s="137"/>
      <c r="G950" s="137"/>
      <c r="H950" s="137"/>
      <c r="I950" s="137"/>
      <c r="J950" s="137"/>
      <c r="K950" s="137"/>
      <c r="L950" s="137"/>
      <c r="M950" s="137"/>
      <c r="N950" s="137"/>
      <c r="O950" s="138"/>
    </row>
    <row r="951">
      <c r="A951" s="134"/>
      <c r="B951" s="135"/>
      <c r="C951" s="136"/>
      <c r="D951" s="137"/>
      <c r="E951" s="137"/>
      <c r="F951" s="137"/>
      <c r="G951" s="137"/>
      <c r="H951" s="137"/>
      <c r="I951" s="137"/>
      <c r="J951" s="137"/>
      <c r="K951" s="137"/>
      <c r="L951" s="137"/>
      <c r="M951" s="137"/>
      <c r="N951" s="137"/>
      <c r="O951" s="138"/>
    </row>
    <row r="952">
      <c r="A952" s="134"/>
      <c r="B952" s="135"/>
      <c r="C952" s="136"/>
      <c r="D952" s="137"/>
      <c r="E952" s="137"/>
      <c r="F952" s="137"/>
      <c r="G952" s="137"/>
      <c r="H952" s="137"/>
      <c r="I952" s="137"/>
      <c r="J952" s="137"/>
      <c r="K952" s="137"/>
      <c r="L952" s="137"/>
      <c r="M952" s="137"/>
      <c r="N952" s="137"/>
      <c r="O952" s="138"/>
    </row>
    <row r="953">
      <c r="A953" s="134"/>
      <c r="B953" s="135"/>
      <c r="C953" s="136"/>
      <c r="D953" s="137"/>
      <c r="E953" s="137"/>
      <c r="F953" s="137"/>
      <c r="G953" s="137"/>
      <c r="H953" s="137"/>
      <c r="I953" s="137"/>
      <c r="J953" s="137"/>
      <c r="K953" s="137"/>
      <c r="L953" s="137"/>
      <c r="M953" s="137"/>
      <c r="N953" s="137"/>
      <c r="O953" s="138"/>
    </row>
    <row r="954">
      <c r="A954" s="134"/>
      <c r="B954" s="135"/>
      <c r="C954" s="136"/>
      <c r="D954" s="137"/>
      <c r="E954" s="137"/>
      <c r="F954" s="137"/>
      <c r="G954" s="137"/>
      <c r="H954" s="137"/>
      <c r="I954" s="137"/>
      <c r="J954" s="137"/>
      <c r="K954" s="137"/>
      <c r="L954" s="137"/>
      <c r="M954" s="137"/>
      <c r="N954" s="137"/>
      <c r="O954" s="138"/>
    </row>
    <row r="955">
      <c r="A955" s="134"/>
      <c r="B955" s="135"/>
      <c r="C955" s="136"/>
      <c r="D955" s="137"/>
      <c r="E955" s="137"/>
      <c r="F955" s="137"/>
      <c r="G955" s="137"/>
      <c r="H955" s="137"/>
      <c r="I955" s="137"/>
      <c r="J955" s="137"/>
      <c r="K955" s="137"/>
      <c r="L955" s="137"/>
      <c r="M955" s="137"/>
      <c r="N955" s="137"/>
      <c r="O955" s="138"/>
    </row>
    <row r="956">
      <c r="A956" s="134"/>
      <c r="B956" s="135"/>
      <c r="C956" s="136"/>
      <c r="D956" s="137"/>
      <c r="E956" s="137"/>
      <c r="F956" s="137"/>
      <c r="G956" s="137"/>
      <c r="H956" s="137"/>
      <c r="I956" s="137"/>
      <c r="J956" s="137"/>
      <c r="K956" s="137"/>
      <c r="L956" s="137"/>
      <c r="M956" s="137"/>
      <c r="N956" s="137"/>
      <c r="O956" s="138"/>
    </row>
    <row r="957">
      <c r="A957" s="134"/>
      <c r="B957" s="135"/>
      <c r="C957" s="136"/>
      <c r="D957" s="137"/>
      <c r="E957" s="137"/>
      <c r="F957" s="137"/>
      <c r="G957" s="137"/>
      <c r="H957" s="137"/>
      <c r="I957" s="137"/>
      <c r="J957" s="137"/>
      <c r="K957" s="137"/>
      <c r="L957" s="137"/>
      <c r="M957" s="137"/>
      <c r="N957" s="137"/>
      <c r="O957" s="138"/>
    </row>
    <row r="958">
      <c r="A958" s="134"/>
      <c r="B958" s="135"/>
      <c r="C958" s="136"/>
      <c r="D958" s="137"/>
      <c r="E958" s="137"/>
      <c r="F958" s="137"/>
      <c r="G958" s="137"/>
      <c r="H958" s="137"/>
      <c r="I958" s="137"/>
      <c r="J958" s="137"/>
      <c r="K958" s="137"/>
      <c r="L958" s="137"/>
      <c r="M958" s="137"/>
      <c r="N958" s="137"/>
      <c r="O958" s="138"/>
    </row>
    <row r="959">
      <c r="A959" s="134"/>
      <c r="B959" s="135"/>
      <c r="C959" s="136"/>
      <c r="D959" s="137"/>
      <c r="E959" s="137"/>
      <c r="F959" s="137"/>
      <c r="G959" s="137"/>
      <c r="H959" s="137"/>
      <c r="I959" s="137"/>
      <c r="J959" s="137"/>
      <c r="K959" s="137"/>
      <c r="L959" s="137"/>
      <c r="M959" s="137"/>
      <c r="N959" s="137"/>
      <c r="O959" s="138"/>
    </row>
    <row r="960">
      <c r="A960" s="134"/>
      <c r="B960" s="135"/>
      <c r="C960" s="136"/>
      <c r="D960" s="137"/>
      <c r="E960" s="137"/>
      <c r="F960" s="137"/>
      <c r="G960" s="137"/>
      <c r="H960" s="137"/>
      <c r="I960" s="137"/>
      <c r="J960" s="137"/>
      <c r="K960" s="137"/>
      <c r="L960" s="137"/>
      <c r="M960" s="137"/>
      <c r="N960" s="137"/>
      <c r="O960" s="138"/>
    </row>
    <row r="961">
      <c r="A961" s="134"/>
      <c r="B961" s="135"/>
      <c r="C961" s="136"/>
      <c r="D961" s="137"/>
      <c r="E961" s="137"/>
      <c r="F961" s="137"/>
      <c r="G961" s="137"/>
      <c r="H961" s="137"/>
      <c r="I961" s="137"/>
      <c r="J961" s="137"/>
      <c r="K961" s="137"/>
      <c r="L961" s="137"/>
      <c r="M961" s="137"/>
      <c r="N961" s="137"/>
      <c r="O961" s="138"/>
    </row>
    <row r="962">
      <c r="A962" s="134"/>
      <c r="B962" s="135"/>
      <c r="C962" s="136"/>
      <c r="D962" s="137"/>
      <c r="E962" s="137"/>
      <c r="F962" s="137"/>
      <c r="G962" s="137"/>
      <c r="H962" s="137"/>
      <c r="I962" s="137"/>
      <c r="J962" s="137"/>
      <c r="K962" s="137"/>
      <c r="L962" s="137"/>
      <c r="M962" s="137"/>
      <c r="N962" s="137"/>
      <c r="O962" s="138"/>
    </row>
    <row r="963">
      <c r="A963" s="134"/>
      <c r="B963" s="135"/>
      <c r="C963" s="136"/>
      <c r="D963" s="137"/>
      <c r="E963" s="137"/>
      <c r="F963" s="137"/>
      <c r="G963" s="137"/>
      <c r="H963" s="137"/>
      <c r="I963" s="137"/>
      <c r="J963" s="137"/>
      <c r="K963" s="137"/>
      <c r="L963" s="137"/>
      <c r="M963" s="137"/>
      <c r="N963" s="137"/>
      <c r="O963" s="138"/>
    </row>
    <row r="964">
      <c r="A964" s="134"/>
      <c r="B964" s="135"/>
      <c r="C964" s="136"/>
      <c r="D964" s="137"/>
      <c r="E964" s="137"/>
      <c r="F964" s="137"/>
      <c r="G964" s="137"/>
      <c r="H964" s="137"/>
      <c r="I964" s="137"/>
      <c r="J964" s="137"/>
      <c r="K964" s="137"/>
      <c r="L964" s="137"/>
      <c r="M964" s="137"/>
      <c r="N964" s="137"/>
      <c r="O964" s="138"/>
    </row>
    <row r="965">
      <c r="A965" s="134"/>
      <c r="B965" s="135"/>
      <c r="C965" s="136"/>
      <c r="D965" s="137"/>
      <c r="E965" s="137"/>
      <c r="F965" s="137"/>
      <c r="G965" s="137"/>
      <c r="H965" s="137"/>
      <c r="I965" s="137"/>
      <c r="J965" s="137"/>
      <c r="K965" s="137"/>
      <c r="L965" s="137"/>
      <c r="M965" s="137"/>
      <c r="N965" s="137"/>
      <c r="O965" s="138"/>
    </row>
    <row r="966">
      <c r="A966" s="134"/>
      <c r="B966" s="135"/>
      <c r="C966" s="136"/>
      <c r="D966" s="137"/>
      <c r="E966" s="137"/>
      <c r="F966" s="137"/>
      <c r="G966" s="137"/>
      <c r="H966" s="137"/>
      <c r="I966" s="137"/>
      <c r="J966" s="137"/>
      <c r="K966" s="137"/>
      <c r="L966" s="137"/>
      <c r="M966" s="137"/>
      <c r="N966" s="137"/>
      <c r="O966" s="138"/>
    </row>
    <row r="967">
      <c r="A967" s="134"/>
      <c r="B967" s="135"/>
      <c r="C967" s="136"/>
      <c r="D967" s="137"/>
      <c r="E967" s="137"/>
      <c r="F967" s="137"/>
      <c r="G967" s="137"/>
      <c r="H967" s="137"/>
      <c r="I967" s="137"/>
      <c r="J967" s="137"/>
      <c r="K967" s="137"/>
      <c r="L967" s="137"/>
      <c r="M967" s="137"/>
      <c r="N967" s="137"/>
      <c r="O967" s="138"/>
    </row>
    <row r="968">
      <c r="A968" s="134"/>
      <c r="B968" s="135"/>
      <c r="C968" s="136"/>
      <c r="D968" s="137"/>
      <c r="E968" s="137"/>
      <c r="F968" s="137"/>
      <c r="G968" s="137"/>
      <c r="H968" s="137"/>
      <c r="I968" s="137"/>
      <c r="J968" s="137"/>
      <c r="K968" s="137"/>
      <c r="L968" s="137"/>
      <c r="M968" s="137"/>
      <c r="N968" s="137"/>
      <c r="O968" s="138"/>
    </row>
    <row r="969">
      <c r="A969" s="134"/>
      <c r="B969" s="135"/>
      <c r="C969" s="136"/>
      <c r="D969" s="137"/>
      <c r="E969" s="137"/>
      <c r="F969" s="137"/>
      <c r="G969" s="137"/>
      <c r="H969" s="137"/>
      <c r="I969" s="137"/>
      <c r="J969" s="137"/>
      <c r="K969" s="137"/>
      <c r="L969" s="137"/>
      <c r="M969" s="137"/>
      <c r="N969" s="137"/>
      <c r="O969" s="138"/>
    </row>
    <row r="970">
      <c r="A970" s="134"/>
      <c r="B970" s="135"/>
      <c r="C970" s="136"/>
      <c r="D970" s="137"/>
      <c r="E970" s="137"/>
      <c r="F970" s="137"/>
      <c r="G970" s="137"/>
      <c r="H970" s="137"/>
      <c r="I970" s="137"/>
      <c r="J970" s="137"/>
      <c r="K970" s="137"/>
      <c r="L970" s="137"/>
      <c r="M970" s="137"/>
      <c r="N970" s="137"/>
      <c r="O970" s="138"/>
    </row>
    <row r="971">
      <c r="A971" s="134"/>
      <c r="B971" s="135"/>
      <c r="C971" s="136"/>
      <c r="D971" s="137"/>
      <c r="E971" s="137"/>
      <c r="F971" s="137"/>
      <c r="G971" s="137"/>
      <c r="H971" s="137"/>
      <c r="I971" s="137"/>
      <c r="J971" s="137"/>
      <c r="K971" s="137"/>
      <c r="L971" s="137"/>
      <c r="M971" s="137"/>
      <c r="N971" s="137"/>
      <c r="O971" s="138"/>
    </row>
    <row r="972">
      <c r="A972" s="134"/>
      <c r="B972" s="135"/>
      <c r="C972" s="136"/>
      <c r="D972" s="137"/>
      <c r="E972" s="137"/>
      <c r="F972" s="137"/>
      <c r="G972" s="137"/>
      <c r="H972" s="137"/>
      <c r="I972" s="137"/>
      <c r="J972" s="137"/>
      <c r="K972" s="137"/>
      <c r="L972" s="137"/>
      <c r="M972" s="137"/>
      <c r="N972" s="137"/>
      <c r="O972" s="138"/>
    </row>
    <row r="973">
      <c r="A973" s="134"/>
      <c r="B973" s="135"/>
      <c r="C973" s="136"/>
      <c r="D973" s="137"/>
      <c r="E973" s="137"/>
      <c r="F973" s="137"/>
      <c r="G973" s="137"/>
      <c r="H973" s="137"/>
      <c r="I973" s="137"/>
      <c r="J973" s="137"/>
      <c r="K973" s="137"/>
      <c r="L973" s="137"/>
      <c r="M973" s="137"/>
      <c r="N973" s="137"/>
      <c r="O973" s="138"/>
    </row>
    <row r="974">
      <c r="A974" s="134"/>
      <c r="B974" s="135"/>
      <c r="C974" s="136"/>
      <c r="D974" s="137"/>
      <c r="E974" s="137"/>
      <c r="F974" s="137"/>
      <c r="G974" s="137"/>
      <c r="H974" s="137"/>
      <c r="I974" s="137"/>
      <c r="J974" s="137"/>
      <c r="K974" s="137"/>
      <c r="L974" s="137"/>
      <c r="M974" s="137"/>
      <c r="N974" s="137"/>
      <c r="O974" s="138"/>
    </row>
    <row r="975">
      <c r="A975" s="134"/>
      <c r="B975" s="135"/>
      <c r="C975" s="136"/>
      <c r="D975" s="137"/>
      <c r="E975" s="137"/>
      <c r="F975" s="137"/>
      <c r="G975" s="137"/>
      <c r="H975" s="137"/>
      <c r="I975" s="137"/>
      <c r="J975" s="137"/>
      <c r="K975" s="137"/>
      <c r="L975" s="137"/>
      <c r="M975" s="137"/>
      <c r="N975" s="137"/>
      <c r="O975" s="138"/>
    </row>
    <row r="976">
      <c r="A976" s="134"/>
      <c r="B976" s="135"/>
      <c r="C976" s="136"/>
      <c r="D976" s="137"/>
      <c r="E976" s="137"/>
      <c r="F976" s="137"/>
      <c r="G976" s="137"/>
      <c r="H976" s="137"/>
      <c r="I976" s="137"/>
      <c r="J976" s="137"/>
      <c r="K976" s="137"/>
      <c r="L976" s="137"/>
      <c r="M976" s="137"/>
      <c r="N976" s="137"/>
      <c r="O976" s="138"/>
    </row>
    <row r="977">
      <c r="A977" s="134"/>
      <c r="B977" s="135"/>
      <c r="C977" s="136"/>
      <c r="D977" s="137"/>
      <c r="E977" s="137"/>
      <c r="F977" s="137"/>
      <c r="G977" s="137"/>
      <c r="H977" s="137"/>
      <c r="I977" s="137"/>
      <c r="J977" s="137"/>
      <c r="K977" s="137"/>
      <c r="L977" s="137"/>
      <c r="M977" s="137"/>
      <c r="N977" s="137"/>
      <c r="O977" s="138"/>
    </row>
    <row r="978">
      <c r="A978" s="134"/>
      <c r="B978" s="135"/>
      <c r="C978" s="136"/>
      <c r="D978" s="137"/>
      <c r="E978" s="137"/>
      <c r="F978" s="137"/>
      <c r="G978" s="137"/>
      <c r="H978" s="137"/>
      <c r="I978" s="137"/>
      <c r="J978" s="137"/>
      <c r="K978" s="137"/>
      <c r="L978" s="137"/>
      <c r="M978" s="137"/>
      <c r="N978" s="137"/>
      <c r="O978" s="138"/>
    </row>
    <row r="979">
      <c r="A979" s="134"/>
      <c r="B979" s="135"/>
      <c r="C979" s="136"/>
      <c r="D979" s="137"/>
      <c r="E979" s="137"/>
      <c r="F979" s="137"/>
      <c r="G979" s="137"/>
      <c r="H979" s="137"/>
      <c r="I979" s="137"/>
      <c r="J979" s="137"/>
      <c r="K979" s="137"/>
      <c r="L979" s="137"/>
      <c r="M979" s="137"/>
      <c r="N979" s="137"/>
      <c r="O979" s="138"/>
    </row>
    <row r="980">
      <c r="A980" s="134"/>
      <c r="B980" s="135"/>
      <c r="C980" s="136"/>
      <c r="D980" s="137"/>
      <c r="E980" s="137"/>
      <c r="F980" s="137"/>
      <c r="G980" s="137"/>
      <c r="H980" s="137"/>
      <c r="I980" s="137"/>
      <c r="J980" s="137"/>
      <c r="K980" s="137"/>
      <c r="L980" s="137"/>
      <c r="M980" s="137"/>
      <c r="N980" s="137"/>
      <c r="O980" s="138"/>
    </row>
    <row r="981">
      <c r="A981" s="134"/>
      <c r="B981" s="135"/>
      <c r="C981" s="136"/>
      <c r="D981" s="137"/>
      <c r="E981" s="137"/>
      <c r="F981" s="137"/>
      <c r="G981" s="137"/>
      <c r="H981" s="137"/>
      <c r="I981" s="137"/>
      <c r="J981" s="137"/>
      <c r="K981" s="137"/>
      <c r="L981" s="137"/>
      <c r="M981" s="137"/>
      <c r="N981" s="137"/>
      <c r="O981" s="138"/>
    </row>
    <row r="982">
      <c r="A982" s="134"/>
      <c r="B982" s="135"/>
      <c r="C982" s="136"/>
      <c r="D982" s="137"/>
      <c r="E982" s="137"/>
      <c r="F982" s="137"/>
      <c r="G982" s="137"/>
      <c r="H982" s="137"/>
      <c r="I982" s="137"/>
      <c r="J982" s="137"/>
      <c r="K982" s="137"/>
      <c r="L982" s="137"/>
      <c r="M982" s="137"/>
      <c r="N982" s="137"/>
      <c r="O982" s="138"/>
    </row>
    <row r="983">
      <c r="A983" s="134"/>
      <c r="B983" s="135"/>
      <c r="C983" s="136"/>
      <c r="D983" s="137"/>
      <c r="E983" s="137"/>
      <c r="F983" s="137"/>
      <c r="G983" s="137"/>
      <c r="H983" s="137"/>
      <c r="I983" s="137"/>
      <c r="J983" s="137"/>
      <c r="K983" s="137"/>
      <c r="L983" s="137"/>
      <c r="M983" s="137"/>
      <c r="N983" s="137"/>
      <c r="O983" s="138"/>
    </row>
    <row r="984">
      <c r="A984" s="134"/>
      <c r="B984" s="135"/>
      <c r="C984" s="136"/>
      <c r="D984" s="137"/>
      <c r="E984" s="137"/>
      <c r="F984" s="137"/>
      <c r="G984" s="137"/>
      <c r="H984" s="137"/>
      <c r="I984" s="137"/>
      <c r="J984" s="137"/>
      <c r="K984" s="137"/>
      <c r="L984" s="137"/>
      <c r="M984" s="137"/>
      <c r="N984" s="137"/>
      <c r="O984" s="138"/>
    </row>
    <row r="985">
      <c r="A985" s="134"/>
      <c r="B985" s="135"/>
      <c r="C985" s="136"/>
      <c r="D985" s="137"/>
      <c r="E985" s="137"/>
      <c r="F985" s="137"/>
      <c r="G985" s="137"/>
      <c r="H985" s="137"/>
      <c r="I985" s="137"/>
      <c r="J985" s="137"/>
      <c r="K985" s="137"/>
      <c r="L985" s="137"/>
      <c r="M985" s="137"/>
      <c r="N985" s="137"/>
      <c r="O985" s="138"/>
    </row>
    <row r="986">
      <c r="A986" s="134"/>
      <c r="B986" s="135"/>
      <c r="C986" s="136"/>
      <c r="D986" s="137"/>
      <c r="E986" s="137"/>
      <c r="F986" s="137"/>
      <c r="G986" s="137"/>
      <c r="H986" s="137"/>
      <c r="I986" s="137"/>
      <c r="J986" s="137"/>
      <c r="K986" s="137"/>
      <c r="L986" s="137"/>
      <c r="M986" s="137"/>
      <c r="N986" s="137"/>
      <c r="O986" s="138"/>
    </row>
    <row r="987">
      <c r="A987" s="134"/>
      <c r="B987" s="135"/>
      <c r="C987" s="136"/>
      <c r="D987" s="137"/>
      <c r="E987" s="137"/>
      <c r="F987" s="137"/>
      <c r="G987" s="137"/>
      <c r="H987" s="137"/>
      <c r="I987" s="137"/>
      <c r="J987" s="137"/>
      <c r="K987" s="137"/>
      <c r="L987" s="137"/>
      <c r="M987" s="137"/>
      <c r="N987" s="137"/>
      <c r="O987" s="138"/>
    </row>
    <row r="988">
      <c r="A988" s="134"/>
      <c r="B988" s="135"/>
      <c r="C988" s="136"/>
      <c r="D988" s="137"/>
      <c r="E988" s="137"/>
      <c r="F988" s="137"/>
      <c r="G988" s="137"/>
      <c r="H988" s="137"/>
      <c r="I988" s="137"/>
      <c r="J988" s="137"/>
      <c r="K988" s="137"/>
      <c r="L988" s="137"/>
      <c r="M988" s="137"/>
      <c r="N988" s="137"/>
      <c r="O988" s="138"/>
    </row>
    <row r="989">
      <c r="A989" s="134"/>
      <c r="B989" s="135"/>
      <c r="C989" s="136"/>
      <c r="D989" s="137"/>
      <c r="E989" s="137"/>
      <c r="F989" s="137"/>
      <c r="G989" s="137"/>
      <c r="H989" s="137"/>
      <c r="I989" s="137"/>
      <c r="J989" s="137"/>
      <c r="K989" s="137"/>
      <c r="L989" s="137"/>
      <c r="M989" s="137"/>
      <c r="N989" s="137"/>
      <c r="O989" s="138"/>
    </row>
    <row r="990">
      <c r="A990" s="134"/>
      <c r="B990" s="135"/>
      <c r="C990" s="136"/>
      <c r="D990" s="137"/>
      <c r="E990" s="137"/>
      <c r="F990" s="137"/>
      <c r="G990" s="137"/>
      <c r="H990" s="137"/>
      <c r="I990" s="137"/>
      <c r="J990" s="137"/>
      <c r="K990" s="137"/>
      <c r="L990" s="137"/>
      <c r="M990" s="137"/>
      <c r="N990" s="137"/>
      <c r="O990" s="138"/>
    </row>
    <row r="991">
      <c r="A991" s="134"/>
      <c r="B991" s="135"/>
      <c r="C991" s="136"/>
      <c r="D991" s="137"/>
      <c r="E991" s="137"/>
      <c r="F991" s="137"/>
      <c r="G991" s="137"/>
      <c r="H991" s="137"/>
      <c r="I991" s="137"/>
      <c r="J991" s="137"/>
      <c r="K991" s="137"/>
      <c r="L991" s="137"/>
      <c r="M991" s="137"/>
      <c r="N991" s="137"/>
      <c r="O991" s="138"/>
    </row>
    <row r="992">
      <c r="A992" s="134"/>
      <c r="B992" s="135"/>
      <c r="C992" s="136"/>
      <c r="D992" s="137"/>
      <c r="E992" s="137"/>
      <c r="F992" s="137"/>
      <c r="G992" s="137"/>
      <c r="H992" s="137"/>
      <c r="I992" s="137"/>
      <c r="J992" s="137"/>
      <c r="K992" s="137"/>
      <c r="L992" s="137"/>
      <c r="M992" s="137"/>
      <c r="N992" s="137"/>
      <c r="O992" s="138"/>
    </row>
    <row r="993">
      <c r="A993" s="134"/>
      <c r="B993" s="135"/>
      <c r="C993" s="136"/>
      <c r="D993" s="137"/>
      <c r="E993" s="137"/>
      <c r="F993" s="137"/>
      <c r="G993" s="137"/>
      <c r="H993" s="137"/>
      <c r="I993" s="137"/>
      <c r="J993" s="137"/>
      <c r="K993" s="137"/>
      <c r="L993" s="137"/>
      <c r="M993" s="137"/>
      <c r="N993" s="137"/>
      <c r="O993" s="138"/>
    </row>
    <row r="994">
      <c r="A994" s="134"/>
      <c r="B994" s="135"/>
      <c r="C994" s="136"/>
      <c r="D994" s="137"/>
      <c r="E994" s="137"/>
      <c r="F994" s="137"/>
      <c r="G994" s="137"/>
      <c r="H994" s="137"/>
      <c r="I994" s="137"/>
      <c r="J994" s="137"/>
      <c r="K994" s="137"/>
      <c r="L994" s="137"/>
      <c r="M994" s="137"/>
      <c r="N994" s="137"/>
      <c r="O994" s="138"/>
    </row>
    <row r="995">
      <c r="A995" s="134"/>
      <c r="B995" s="135"/>
      <c r="C995" s="136"/>
      <c r="D995" s="137"/>
      <c r="E995" s="137"/>
      <c r="F995" s="137"/>
      <c r="G995" s="137"/>
      <c r="H995" s="137"/>
      <c r="I995" s="137"/>
      <c r="J995" s="137"/>
      <c r="K995" s="137"/>
      <c r="L995" s="137"/>
      <c r="M995" s="137"/>
      <c r="N995" s="137"/>
      <c r="O995" s="138"/>
    </row>
    <row r="996">
      <c r="A996" s="134"/>
      <c r="B996" s="135"/>
      <c r="C996" s="136"/>
      <c r="D996" s="137"/>
      <c r="E996" s="137"/>
      <c r="F996" s="137"/>
      <c r="G996" s="137"/>
      <c r="H996" s="137"/>
      <c r="I996" s="137"/>
      <c r="J996" s="137"/>
      <c r="K996" s="137"/>
      <c r="L996" s="137"/>
      <c r="M996" s="137"/>
      <c r="N996" s="137"/>
      <c r="O996" s="138"/>
    </row>
    <row r="997">
      <c r="A997" s="134"/>
      <c r="B997" s="135"/>
      <c r="C997" s="136"/>
      <c r="D997" s="137"/>
      <c r="E997" s="137"/>
      <c r="F997" s="137"/>
      <c r="G997" s="137"/>
      <c r="H997" s="137"/>
      <c r="I997" s="137"/>
      <c r="J997" s="137"/>
      <c r="K997" s="137"/>
      <c r="L997" s="137"/>
      <c r="M997" s="137"/>
      <c r="N997" s="137"/>
      <c r="O997" s="138"/>
    </row>
    <row r="998">
      <c r="A998" s="134"/>
      <c r="B998" s="135"/>
      <c r="C998" s="136"/>
      <c r="D998" s="137"/>
      <c r="E998" s="137"/>
      <c r="F998" s="137"/>
      <c r="G998" s="137"/>
      <c r="H998" s="137"/>
      <c r="I998" s="137"/>
      <c r="J998" s="137"/>
      <c r="K998" s="137"/>
      <c r="L998" s="137"/>
      <c r="M998" s="137"/>
      <c r="N998" s="137"/>
      <c r="O998" s="138"/>
    </row>
    <row r="999">
      <c r="A999" s="134"/>
      <c r="B999" s="135"/>
      <c r="C999" s="136"/>
      <c r="D999" s="137"/>
      <c r="E999" s="137"/>
      <c r="F999" s="137"/>
      <c r="G999" s="137"/>
      <c r="H999" s="137"/>
      <c r="I999" s="137"/>
      <c r="J999" s="137"/>
      <c r="K999" s="137"/>
      <c r="L999" s="137"/>
      <c r="M999" s="137"/>
      <c r="N999" s="137"/>
      <c r="O999" s="138"/>
    </row>
    <row r="1000">
      <c r="A1000" s="134"/>
      <c r="B1000" s="135"/>
      <c r="C1000" s="136"/>
      <c r="D1000" s="137"/>
      <c r="E1000" s="137"/>
      <c r="F1000" s="137"/>
      <c r="G1000" s="137"/>
      <c r="H1000" s="137"/>
      <c r="I1000" s="137"/>
      <c r="J1000" s="137"/>
      <c r="K1000" s="137"/>
      <c r="L1000" s="137"/>
      <c r="M1000" s="137"/>
      <c r="N1000" s="137"/>
      <c r="O1000" s="138"/>
    </row>
    <row r="1001">
      <c r="A1001" s="134"/>
      <c r="B1001" s="135"/>
      <c r="C1001" s="136"/>
      <c r="D1001" s="137"/>
      <c r="E1001" s="137"/>
      <c r="F1001" s="137"/>
      <c r="G1001" s="137"/>
      <c r="H1001" s="137"/>
      <c r="I1001" s="137"/>
      <c r="J1001" s="137"/>
      <c r="K1001" s="137"/>
      <c r="L1001" s="137"/>
      <c r="M1001" s="137"/>
      <c r="N1001" s="137"/>
      <c r="O1001" s="138"/>
    </row>
    <row r="1002">
      <c r="A1002" s="134"/>
      <c r="B1002" s="135"/>
      <c r="C1002" s="136"/>
      <c r="D1002" s="137"/>
      <c r="E1002" s="137"/>
      <c r="F1002" s="137"/>
      <c r="G1002" s="137"/>
      <c r="H1002" s="137"/>
      <c r="I1002" s="137"/>
      <c r="J1002" s="137"/>
      <c r="K1002" s="137"/>
      <c r="L1002" s="137"/>
      <c r="M1002" s="137"/>
      <c r="N1002" s="137"/>
      <c r="O1002" s="138"/>
    </row>
    <row r="1003">
      <c r="A1003" s="134"/>
      <c r="B1003" s="135"/>
      <c r="C1003" s="136"/>
      <c r="D1003" s="137"/>
      <c r="E1003" s="137"/>
      <c r="F1003" s="137"/>
      <c r="G1003" s="137"/>
      <c r="H1003" s="137"/>
      <c r="I1003" s="137"/>
      <c r="J1003" s="137"/>
      <c r="K1003" s="137"/>
      <c r="L1003" s="137"/>
      <c r="M1003" s="137"/>
      <c r="N1003" s="137"/>
      <c r="O1003" s="138"/>
    </row>
    <row r="1004">
      <c r="A1004" s="134"/>
      <c r="B1004" s="135"/>
      <c r="C1004" s="136"/>
      <c r="D1004" s="137"/>
      <c r="E1004" s="137"/>
      <c r="F1004" s="137"/>
      <c r="G1004" s="137"/>
      <c r="H1004" s="137"/>
      <c r="I1004" s="137"/>
      <c r="J1004" s="137"/>
      <c r="K1004" s="137"/>
      <c r="L1004" s="137"/>
      <c r="M1004" s="137"/>
      <c r="N1004" s="137"/>
      <c r="O1004" s="138"/>
    </row>
    <row r="1005">
      <c r="A1005" s="134"/>
      <c r="B1005" s="135"/>
      <c r="C1005" s="136"/>
      <c r="D1005" s="137"/>
      <c r="E1005" s="137"/>
      <c r="F1005" s="137"/>
      <c r="G1005" s="137"/>
      <c r="H1005" s="137"/>
      <c r="I1005" s="137"/>
      <c r="J1005" s="137"/>
      <c r="K1005" s="137"/>
      <c r="L1005" s="137"/>
      <c r="M1005" s="137"/>
      <c r="N1005" s="137"/>
      <c r="O1005" s="138"/>
    </row>
    <row r="1006">
      <c r="A1006" s="134"/>
      <c r="B1006" s="135"/>
      <c r="C1006" s="136"/>
      <c r="D1006" s="137"/>
      <c r="E1006" s="137"/>
      <c r="F1006" s="137"/>
      <c r="G1006" s="137"/>
      <c r="H1006" s="137"/>
      <c r="I1006" s="137"/>
      <c r="J1006" s="137"/>
      <c r="K1006" s="137"/>
      <c r="L1006" s="137"/>
      <c r="M1006" s="137"/>
      <c r="N1006" s="137"/>
      <c r="O1006" s="138"/>
    </row>
    <row r="1007">
      <c r="A1007" s="134"/>
      <c r="B1007" s="135"/>
      <c r="C1007" s="136"/>
      <c r="D1007" s="137"/>
      <c r="E1007" s="137"/>
      <c r="F1007" s="137"/>
      <c r="G1007" s="137"/>
      <c r="H1007" s="137"/>
      <c r="I1007" s="137"/>
      <c r="J1007" s="137"/>
      <c r="K1007" s="137"/>
      <c r="L1007" s="137"/>
      <c r="M1007" s="137"/>
      <c r="N1007" s="137"/>
      <c r="O1007" s="138"/>
    </row>
    <row r="1008">
      <c r="A1008" s="134"/>
      <c r="B1008" s="135"/>
      <c r="C1008" s="136"/>
      <c r="D1008" s="137"/>
      <c r="E1008" s="137"/>
      <c r="F1008" s="137"/>
      <c r="G1008" s="137"/>
      <c r="H1008" s="137"/>
      <c r="I1008" s="137"/>
      <c r="J1008" s="137"/>
      <c r="K1008" s="137"/>
      <c r="L1008" s="137"/>
      <c r="M1008" s="137"/>
      <c r="N1008" s="137"/>
      <c r="O1008" s="138"/>
    </row>
    <row r="1009">
      <c r="A1009" s="134"/>
      <c r="B1009" s="135"/>
      <c r="C1009" s="136"/>
      <c r="D1009" s="137"/>
      <c r="E1009" s="137"/>
      <c r="F1009" s="137"/>
      <c r="G1009" s="137"/>
      <c r="H1009" s="137"/>
      <c r="I1009" s="137"/>
      <c r="J1009" s="137"/>
      <c r="K1009" s="137"/>
      <c r="L1009" s="137"/>
      <c r="M1009" s="137"/>
      <c r="N1009" s="137"/>
      <c r="O1009" s="138"/>
    </row>
    <row r="1010">
      <c r="A1010" s="134"/>
      <c r="B1010" s="135"/>
      <c r="C1010" s="136"/>
      <c r="D1010" s="137"/>
      <c r="E1010" s="137"/>
      <c r="F1010" s="137"/>
      <c r="G1010" s="137"/>
      <c r="H1010" s="137"/>
      <c r="I1010" s="137"/>
      <c r="J1010" s="137"/>
      <c r="K1010" s="137"/>
      <c r="L1010" s="137"/>
      <c r="M1010" s="137"/>
      <c r="N1010" s="137"/>
      <c r="O1010" s="138"/>
    </row>
    <row r="1011">
      <c r="A1011" s="134"/>
      <c r="B1011" s="135"/>
      <c r="C1011" s="136"/>
      <c r="D1011" s="137"/>
      <c r="E1011" s="137"/>
      <c r="F1011" s="137"/>
      <c r="G1011" s="137"/>
      <c r="H1011" s="137"/>
      <c r="I1011" s="137"/>
      <c r="J1011" s="137"/>
      <c r="K1011" s="137"/>
      <c r="L1011" s="137"/>
      <c r="M1011" s="137"/>
      <c r="N1011" s="137"/>
      <c r="O1011" s="138"/>
    </row>
    <row r="1012">
      <c r="A1012" s="134"/>
      <c r="B1012" s="135"/>
      <c r="C1012" s="136"/>
      <c r="D1012" s="137"/>
      <c r="E1012" s="137"/>
      <c r="F1012" s="137"/>
      <c r="G1012" s="137"/>
      <c r="H1012" s="137"/>
      <c r="I1012" s="137"/>
      <c r="J1012" s="137"/>
      <c r="K1012" s="137"/>
      <c r="L1012" s="137"/>
      <c r="M1012" s="137"/>
      <c r="N1012" s="137"/>
      <c r="O1012" s="138"/>
    </row>
    <row r="1013">
      <c r="A1013" s="134"/>
      <c r="B1013" s="135"/>
      <c r="C1013" s="136"/>
      <c r="D1013" s="137"/>
      <c r="E1013" s="137"/>
      <c r="F1013" s="137"/>
      <c r="G1013" s="137"/>
      <c r="H1013" s="137"/>
      <c r="I1013" s="137"/>
      <c r="J1013" s="137"/>
      <c r="K1013" s="137"/>
      <c r="L1013" s="137"/>
      <c r="M1013" s="137"/>
      <c r="N1013" s="137"/>
      <c r="O1013" s="138"/>
    </row>
    <row r="1014">
      <c r="A1014" s="134"/>
      <c r="B1014" s="135"/>
      <c r="C1014" s="136"/>
      <c r="D1014" s="137"/>
      <c r="E1014" s="137"/>
      <c r="F1014" s="137"/>
      <c r="G1014" s="137"/>
      <c r="H1014" s="137"/>
      <c r="I1014" s="137"/>
      <c r="J1014" s="137"/>
      <c r="K1014" s="137"/>
      <c r="L1014" s="137"/>
      <c r="M1014" s="137"/>
      <c r="N1014" s="137"/>
      <c r="O1014" s="138"/>
    </row>
    <row r="1015">
      <c r="A1015" s="134"/>
      <c r="B1015" s="135"/>
      <c r="C1015" s="136"/>
      <c r="D1015" s="137"/>
      <c r="E1015" s="137"/>
      <c r="F1015" s="137"/>
      <c r="G1015" s="137"/>
      <c r="H1015" s="137"/>
      <c r="I1015" s="137"/>
      <c r="J1015" s="137"/>
      <c r="K1015" s="137"/>
      <c r="L1015" s="137"/>
      <c r="M1015" s="137"/>
      <c r="N1015" s="137"/>
      <c r="O1015" s="138"/>
    </row>
    <row r="1016">
      <c r="A1016" s="134"/>
      <c r="B1016" s="135"/>
      <c r="C1016" s="136"/>
      <c r="D1016" s="137"/>
      <c r="E1016" s="137"/>
      <c r="F1016" s="137"/>
      <c r="G1016" s="137"/>
      <c r="H1016" s="137"/>
      <c r="I1016" s="137"/>
      <c r="J1016" s="137"/>
      <c r="K1016" s="137"/>
      <c r="L1016" s="137"/>
      <c r="M1016" s="137"/>
      <c r="N1016" s="137"/>
      <c r="O1016" s="138"/>
    </row>
    <row r="1017">
      <c r="A1017" s="134"/>
      <c r="B1017" s="135"/>
      <c r="C1017" s="136"/>
      <c r="D1017" s="137"/>
      <c r="E1017" s="137"/>
      <c r="F1017" s="137"/>
      <c r="G1017" s="137"/>
      <c r="H1017" s="137"/>
      <c r="I1017" s="137"/>
      <c r="J1017" s="137"/>
      <c r="K1017" s="137"/>
      <c r="L1017" s="137"/>
      <c r="M1017" s="137"/>
      <c r="N1017" s="137"/>
      <c r="O1017" s="138"/>
    </row>
    <row r="1018">
      <c r="A1018" s="134"/>
      <c r="B1018" s="135"/>
      <c r="C1018" s="136"/>
      <c r="D1018" s="137"/>
      <c r="E1018" s="137"/>
      <c r="F1018" s="137"/>
      <c r="G1018" s="137"/>
      <c r="H1018" s="137"/>
      <c r="I1018" s="137"/>
      <c r="J1018" s="137"/>
      <c r="K1018" s="137"/>
      <c r="L1018" s="137"/>
      <c r="M1018" s="137"/>
      <c r="N1018" s="137"/>
      <c r="O1018" s="138"/>
    </row>
    <row r="1019">
      <c r="A1019" s="134"/>
      <c r="B1019" s="135"/>
      <c r="C1019" s="136"/>
      <c r="D1019" s="137"/>
      <c r="E1019" s="137"/>
      <c r="F1019" s="137"/>
      <c r="G1019" s="137"/>
      <c r="H1019" s="137"/>
      <c r="I1019" s="137"/>
      <c r="J1019" s="137"/>
      <c r="K1019" s="137"/>
      <c r="L1019" s="137"/>
      <c r="M1019" s="137"/>
      <c r="N1019" s="137"/>
      <c r="O1019" s="138"/>
    </row>
    <row r="1020">
      <c r="A1020" s="134"/>
      <c r="B1020" s="135"/>
      <c r="C1020" s="136"/>
      <c r="D1020" s="137"/>
      <c r="E1020" s="137"/>
      <c r="F1020" s="137"/>
      <c r="G1020" s="137"/>
      <c r="H1020" s="137"/>
      <c r="I1020" s="137"/>
      <c r="J1020" s="137"/>
      <c r="K1020" s="137"/>
      <c r="L1020" s="137"/>
      <c r="M1020" s="137"/>
      <c r="N1020" s="137"/>
      <c r="O1020" s="138"/>
    </row>
    <row r="1021">
      <c r="A1021" s="134"/>
      <c r="B1021" s="135"/>
      <c r="C1021" s="136"/>
      <c r="D1021" s="137"/>
      <c r="E1021" s="137"/>
      <c r="F1021" s="137"/>
      <c r="G1021" s="137"/>
      <c r="H1021" s="137"/>
      <c r="I1021" s="137"/>
      <c r="J1021" s="137"/>
      <c r="K1021" s="137"/>
      <c r="L1021" s="137"/>
      <c r="M1021" s="137"/>
      <c r="N1021" s="137"/>
      <c r="O1021" s="138"/>
    </row>
    <row r="1022">
      <c r="A1022" s="134"/>
      <c r="B1022" s="135"/>
      <c r="C1022" s="136"/>
      <c r="D1022" s="137"/>
      <c r="E1022" s="137"/>
      <c r="F1022" s="137"/>
      <c r="G1022" s="137"/>
      <c r="H1022" s="137"/>
      <c r="I1022" s="137"/>
      <c r="J1022" s="137"/>
      <c r="K1022" s="137"/>
      <c r="L1022" s="137"/>
      <c r="M1022" s="137"/>
      <c r="N1022" s="137"/>
      <c r="O1022" s="138"/>
    </row>
    <row r="1023">
      <c r="A1023" s="134"/>
      <c r="B1023" s="135"/>
      <c r="C1023" s="136"/>
      <c r="D1023" s="137"/>
      <c r="E1023" s="137"/>
      <c r="F1023" s="137"/>
      <c r="G1023" s="137"/>
      <c r="H1023" s="137"/>
      <c r="I1023" s="137"/>
      <c r="J1023" s="137"/>
      <c r="K1023" s="137"/>
      <c r="L1023" s="137"/>
      <c r="M1023" s="137"/>
      <c r="N1023" s="137"/>
      <c r="O1023" s="138"/>
    </row>
    <row r="1024">
      <c r="A1024" s="134"/>
      <c r="B1024" s="135"/>
      <c r="C1024" s="136"/>
      <c r="D1024" s="137"/>
      <c r="E1024" s="137"/>
      <c r="F1024" s="137"/>
      <c r="G1024" s="137"/>
      <c r="H1024" s="137"/>
      <c r="I1024" s="137"/>
      <c r="J1024" s="137"/>
      <c r="K1024" s="137"/>
      <c r="L1024" s="137"/>
      <c r="M1024" s="137"/>
      <c r="N1024" s="137"/>
      <c r="O1024" s="138"/>
    </row>
    <row r="1025">
      <c r="A1025" s="134"/>
      <c r="B1025" s="135"/>
      <c r="C1025" s="136"/>
      <c r="D1025" s="137"/>
      <c r="E1025" s="137"/>
      <c r="F1025" s="137"/>
      <c r="G1025" s="137"/>
      <c r="H1025" s="137"/>
      <c r="I1025" s="137"/>
      <c r="J1025" s="137"/>
      <c r="K1025" s="137"/>
      <c r="L1025" s="137"/>
      <c r="M1025" s="137"/>
      <c r="N1025" s="137"/>
      <c r="O1025" s="138"/>
    </row>
    <row r="1026">
      <c r="A1026" s="134"/>
      <c r="B1026" s="135"/>
      <c r="C1026" s="136"/>
      <c r="D1026" s="137"/>
      <c r="E1026" s="137"/>
      <c r="F1026" s="137"/>
      <c r="G1026" s="137"/>
      <c r="H1026" s="137"/>
      <c r="I1026" s="137"/>
      <c r="J1026" s="137"/>
      <c r="K1026" s="137"/>
      <c r="L1026" s="137"/>
      <c r="M1026" s="137"/>
      <c r="N1026" s="137"/>
      <c r="O1026" s="138"/>
    </row>
    <row r="1027">
      <c r="A1027" s="134"/>
      <c r="B1027" s="135"/>
      <c r="C1027" s="136"/>
      <c r="D1027" s="137"/>
      <c r="E1027" s="137"/>
      <c r="F1027" s="137"/>
      <c r="G1027" s="137"/>
      <c r="H1027" s="137"/>
      <c r="I1027" s="137"/>
      <c r="J1027" s="137"/>
      <c r="K1027" s="137"/>
      <c r="L1027" s="137"/>
      <c r="M1027" s="137"/>
      <c r="N1027" s="137"/>
      <c r="O1027" s="138"/>
    </row>
    <row r="1028">
      <c r="A1028" s="134"/>
      <c r="B1028" s="135"/>
      <c r="C1028" s="136"/>
      <c r="D1028" s="137"/>
      <c r="E1028" s="137"/>
      <c r="F1028" s="137"/>
      <c r="G1028" s="137"/>
      <c r="H1028" s="137"/>
      <c r="I1028" s="137"/>
      <c r="J1028" s="137"/>
      <c r="K1028" s="137"/>
      <c r="L1028" s="137"/>
      <c r="M1028" s="137"/>
      <c r="N1028" s="137"/>
      <c r="O1028" s="138"/>
    </row>
    <row r="1029">
      <c r="A1029" s="134"/>
      <c r="B1029" s="135"/>
      <c r="C1029" s="136"/>
      <c r="D1029" s="137"/>
      <c r="E1029" s="137"/>
      <c r="F1029" s="137"/>
      <c r="G1029" s="137"/>
      <c r="H1029" s="137"/>
      <c r="I1029" s="137"/>
      <c r="J1029" s="137"/>
      <c r="K1029" s="137"/>
      <c r="L1029" s="137"/>
      <c r="M1029" s="137"/>
      <c r="N1029" s="137"/>
      <c r="O1029" s="138"/>
    </row>
    <row r="1030">
      <c r="A1030" s="134"/>
      <c r="B1030" s="135"/>
      <c r="C1030" s="136"/>
      <c r="D1030" s="137"/>
      <c r="E1030" s="137"/>
      <c r="F1030" s="137"/>
      <c r="G1030" s="137"/>
      <c r="H1030" s="137"/>
      <c r="I1030" s="137"/>
      <c r="J1030" s="137"/>
      <c r="K1030" s="137"/>
      <c r="L1030" s="137"/>
      <c r="M1030" s="137"/>
      <c r="N1030" s="137"/>
      <c r="O1030" s="138"/>
    </row>
    <row r="1031">
      <c r="A1031" s="134"/>
      <c r="B1031" s="135"/>
      <c r="C1031" s="136"/>
      <c r="D1031" s="137"/>
      <c r="E1031" s="137"/>
      <c r="F1031" s="137"/>
      <c r="G1031" s="137"/>
      <c r="H1031" s="137"/>
      <c r="I1031" s="137"/>
      <c r="J1031" s="137"/>
      <c r="K1031" s="137"/>
      <c r="L1031" s="137"/>
      <c r="M1031" s="137"/>
      <c r="N1031" s="137"/>
      <c r="O1031" s="138"/>
    </row>
    <row r="1032">
      <c r="A1032" s="134"/>
      <c r="B1032" s="135"/>
      <c r="C1032" s="136"/>
      <c r="D1032" s="137"/>
      <c r="E1032" s="137"/>
      <c r="F1032" s="137"/>
      <c r="G1032" s="137"/>
      <c r="H1032" s="137"/>
      <c r="I1032" s="137"/>
      <c r="J1032" s="137"/>
      <c r="K1032" s="137"/>
      <c r="L1032" s="137"/>
      <c r="M1032" s="137"/>
      <c r="N1032" s="137"/>
      <c r="O1032" s="138"/>
    </row>
    <row r="1033">
      <c r="A1033" s="134"/>
      <c r="B1033" s="135"/>
      <c r="C1033" s="136"/>
      <c r="D1033" s="137"/>
      <c r="E1033" s="137"/>
      <c r="F1033" s="137"/>
      <c r="G1033" s="137"/>
      <c r="H1033" s="137"/>
      <c r="I1033" s="137"/>
      <c r="J1033" s="137"/>
      <c r="K1033" s="137"/>
      <c r="L1033" s="137"/>
      <c r="M1033" s="137"/>
      <c r="N1033" s="137"/>
      <c r="O1033" s="138"/>
    </row>
    <row r="1034">
      <c r="A1034" s="134"/>
      <c r="B1034" s="135"/>
      <c r="C1034" s="136"/>
      <c r="D1034" s="137"/>
      <c r="E1034" s="137"/>
      <c r="F1034" s="137"/>
      <c r="G1034" s="137"/>
      <c r="H1034" s="137"/>
      <c r="I1034" s="137"/>
      <c r="J1034" s="137"/>
      <c r="K1034" s="137"/>
      <c r="L1034" s="137"/>
      <c r="M1034" s="137"/>
      <c r="N1034" s="137"/>
      <c r="O1034" s="138"/>
    </row>
    <row r="1035">
      <c r="A1035" s="134"/>
      <c r="B1035" s="135"/>
      <c r="C1035" s="136"/>
      <c r="D1035" s="137"/>
      <c r="E1035" s="137"/>
      <c r="F1035" s="137"/>
      <c r="G1035" s="137"/>
      <c r="H1035" s="137"/>
      <c r="I1035" s="137"/>
      <c r="J1035" s="137"/>
      <c r="K1035" s="137"/>
      <c r="L1035" s="137"/>
      <c r="M1035" s="137"/>
      <c r="N1035" s="137"/>
      <c r="O1035" s="138"/>
    </row>
    <row r="1036">
      <c r="A1036" s="134"/>
      <c r="B1036" s="135"/>
      <c r="C1036" s="136"/>
      <c r="D1036" s="137"/>
      <c r="E1036" s="137"/>
      <c r="F1036" s="137"/>
      <c r="G1036" s="137"/>
      <c r="H1036" s="137"/>
      <c r="I1036" s="137"/>
      <c r="J1036" s="137"/>
      <c r="K1036" s="137"/>
      <c r="L1036" s="137"/>
      <c r="M1036" s="137"/>
      <c r="N1036" s="137"/>
      <c r="O1036" s="138"/>
    </row>
    <row r="1037">
      <c r="A1037" s="134"/>
      <c r="B1037" s="135"/>
      <c r="C1037" s="136"/>
      <c r="D1037" s="137"/>
      <c r="E1037" s="137"/>
      <c r="F1037" s="137"/>
      <c r="G1037" s="137"/>
      <c r="H1037" s="137"/>
      <c r="I1037" s="137"/>
      <c r="J1037" s="137"/>
      <c r="K1037" s="137"/>
      <c r="L1037" s="137"/>
      <c r="M1037" s="137"/>
      <c r="N1037" s="137"/>
      <c r="O1037" s="138"/>
    </row>
    <row r="1038">
      <c r="A1038" s="134"/>
      <c r="B1038" s="135"/>
      <c r="C1038" s="136"/>
      <c r="D1038" s="137"/>
      <c r="E1038" s="137"/>
      <c r="F1038" s="137"/>
      <c r="G1038" s="137"/>
      <c r="H1038" s="137"/>
      <c r="I1038" s="137"/>
      <c r="J1038" s="137"/>
      <c r="K1038" s="137"/>
      <c r="L1038" s="137"/>
      <c r="M1038" s="137"/>
      <c r="N1038" s="137"/>
      <c r="O1038" s="138"/>
    </row>
    <row r="1039">
      <c r="A1039" s="134"/>
      <c r="B1039" s="135"/>
      <c r="C1039" s="136"/>
      <c r="D1039" s="137"/>
      <c r="E1039" s="137"/>
      <c r="F1039" s="137"/>
      <c r="G1039" s="137"/>
      <c r="H1039" s="137"/>
      <c r="I1039" s="137"/>
      <c r="J1039" s="137"/>
      <c r="K1039" s="137"/>
      <c r="L1039" s="137"/>
      <c r="M1039" s="137"/>
      <c r="N1039" s="137"/>
      <c r="O1039" s="138"/>
    </row>
    <row r="1040">
      <c r="A1040" s="134"/>
      <c r="B1040" s="135"/>
      <c r="C1040" s="136"/>
      <c r="D1040" s="137"/>
      <c r="E1040" s="137"/>
      <c r="F1040" s="137"/>
      <c r="G1040" s="137"/>
      <c r="H1040" s="137"/>
      <c r="I1040" s="137"/>
      <c r="J1040" s="137"/>
      <c r="K1040" s="137"/>
      <c r="L1040" s="137"/>
      <c r="M1040" s="137"/>
      <c r="N1040" s="137"/>
      <c r="O1040" s="138"/>
    </row>
    <row r="1041">
      <c r="A1041" s="134"/>
      <c r="B1041" s="135"/>
      <c r="C1041" s="136"/>
      <c r="D1041" s="137"/>
      <c r="E1041" s="137"/>
      <c r="F1041" s="137"/>
      <c r="G1041" s="137"/>
      <c r="H1041" s="137"/>
      <c r="I1041" s="137"/>
      <c r="J1041" s="137"/>
      <c r="K1041" s="137"/>
      <c r="L1041" s="137"/>
      <c r="M1041" s="137"/>
      <c r="N1041" s="137"/>
      <c r="O1041" s="138"/>
    </row>
    <row r="1042">
      <c r="A1042" s="134"/>
      <c r="B1042" s="135"/>
      <c r="C1042" s="136"/>
      <c r="D1042" s="137"/>
      <c r="E1042" s="137"/>
      <c r="F1042" s="137"/>
      <c r="G1042" s="137"/>
      <c r="H1042" s="137"/>
      <c r="I1042" s="137"/>
      <c r="J1042" s="137"/>
      <c r="K1042" s="137"/>
      <c r="L1042" s="137"/>
      <c r="M1042" s="137"/>
      <c r="N1042" s="137"/>
      <c r="O1042" s="138"/>
    </row>
    <row r="1043">
      <c r="A1043" s="134"/>
      <c r="B1043" s="135"/>
      <c r="C1043" s="136"/>
      <c r="D1043" s="137"/>
      <c r="E1043" s="137"/>
      <c r="F1043" s="137"/>
      <c r="G1043" s="137"/>
      <c r="H1043" s="137"/>
      <c r="I1043" s="137"/>
      <c r="J1043" s="137"/>
      <c r="K1043" s="137"/>
      <c r="L1043" s="137"/>
      <c r="M1043" s="137"/>
      <c r="N1043" s="137"/>
      <c r="O1043" s="138"/>
    </row>
    <row r="1044">
      <c r="A1044" s="134"/>
      <c r="B1044" s="135"/>
      <c r="C1044" s="136"/>
      <c r="D1044" s="137"/>
      <c r="E1044" s="137"/>
      <c r="F1044" s="137"/>
      <c r="G1044" s="137"/>
      <c r="H1044" s="137"/>
      <c r="I1044" s="137"/>
      <c r="J1044" s="137"/>
      <c r="K1044" s="137"/>
      <c r="L1044" s="137"/>
      <c r="M1044" s="137"/>
      <c r="N1044" s="137"/>
      <c r="O1044" s="138"/>
    </row>
    <row r="1045">
      <c r="A1045" s="134"/>
      <c r="B1045" s="135"/>
      <c r="C1045" s="136"/>
      <c r="D1045" s="137"/>
      <c r="E1045" s="137"/>
      <c r="F1045" s="137"/>
      <c r="G1045" s="137"/>
      <c r="H1045" s="137"/>
      <c r="I1045" s="137"/>
      <c r="J1045" s="137"/>
      <c r="K1045" s="137"/>
      <c r="L1045" s="137"/>
      <c r="M1045" s="137"/>
      <c r="N1045" s="137"/>
      <c r="O1045" s="138"/>
    </row>
    <row r="1046">
      <c r="A1046" s="134"/>
      <c r="B1046" s="135"/>
      <c r="C1046" s="136"/>
      <c r="D1046" s="137"/>
      <c r="E1046" s="137"/>
      <c r="F1046" s="137"/>
      <c r="G1046" s="137"/>
      <c r="H1046" s="137"/>
      <c r="I1046" s="137"/>
      <c r="J1046" s="137"/>
      <c r="K1046" s="137"/>
      <c r="L1046" s="137"/>
      <c r="M1046" s="137"/>
      <c r="N1046" s="137"/>
      <c r="O1046" s="138"/>
    </row>
  </sheetData>
  <mergeCells count="27">
    <mergeCell ref="A29:A35"/>
    <mergeCell ref="A38:A43"/>
    <mergeCell ref="A48:A50"/>
    <mergeCell ref="A56:A60"/>
    <mergeCell ref="A1:A7"/>
    <mergeCell ref="A9:B9"/>
    <mergeCell ref="A11:A14"/>
    <mergeCell ref="A15:B15"/>
    <mergeCell ref="A17:A26"/>
    <mergeCell ref="A27:B27"/>
    <mergeCell ref="A36:B36"/>
    <mergeCell ref="A44:B44"/>
    <mergeCell ref="A53:B53"/>
    <mergeCell ref="A63:B63"/>
    <mergeCell ref="A65:A66"/>
    <mergeCell ref="A68:A71"/>
    <mergeCell ref="A72:B72"/>
    <mergeCell ref="A81:B81"/>
    <mergeCell ref="A109:B109"/>
    <mergeCell ref="A118:B118"/>
    <mergeCell ref="A74:A79"/>
    <mergeCell ref="A83:A84"/>
    <mergeCell ref="A86:A91"/>
    <mergeCell ref="A96:B96"/>
    <mergeCell ref="A100:A101"/>
    <mergeCell ref="A104:B104"/>
    <mergeCell ref="A106:A108"/>
  </mergeCell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6"/>
      <c r="B1" s="106" t="s">
        <v>82</v>
      </c>
      <c r="G1" s="106" t="s">
        <v>83</v>
      </c>
    </row>
    <row r="2">
      <c r="A2" s="106"/>
      <c r="B2" s="106" t="s">
        <v>84</v>
      </c>
      <c r="E2" s="107" t="s">
        <v>85</v>
      </c>
      <c r="G2" s="106" t="s">
        <v>84</v>
      </c>
      <c r="J2" s="107" t="s">
        <v>85</v>
      </c>
    </row>
    <row r="3">
      <c r="A3" s="106" t="s">
        <v>86</v>
      </c>
      <c r="B3" s="106" t="s">
        <v>86</v>
      </c>
      <c r="C3" s="106" t="s">
        <v>87</v>
      </c>
      <c r="D3" s="106" t="s">
        <v>88</v>
      </c>
      <c r="G3" s="106" t="s">
        <v>86</v>
      </c>
      <c r="H3" s="106" t="s">
        <v>87</v>
      </c>
      <c r="I3" s="106" t="s">
        <v>88</v>
      </c>
    </row>
    <row r="4">
      <c r="A4" s="106">
        <v>2.0</v>
      </c>
      <c r="B4" s="108">
        <v>44257.0</v>
      </c>
      <c r="C4" s="108">
        <f t="shared" ref="C4:C7" si="1">B4+1</f>
        <v>44258</v>
      </c>
      <c r="D4" s="108">
        <f>C4+5</f>
        <v>44263</v>
      </c>
      <c r="E4" s="109">
        <v>44256.0</v>
      </c>
      <c r="F4" s="108">
        <v>44272.0</v>
      </c>
      <c r="G4" s="108">
        <v>44288.0</v>
      </c>
      <c r="H4" s="108">
        <v>44291.0</v>
      </c>
      <c r="I4" s="110">
        <v>44295.0</v>
      </c>
      <c r="J4" s="109">
        <v>44287.0</v>
      </c>
      <c r="K4" s="108">
        <v>44302.0</v>
      </c>
    </row>
    <row r="5">
      <c r="A5" s="106">
        <v>4.0</v>
      </c>
      <c r="B5" s="108">
        <v>44259.0</v>
      </c>
      <c r="C5" s="108">
        <f t="shared" si="1"/>
        <v>44260</v>
      </c>
      <c r="D5" s="108">
        <v>44264.0</v>
      </c>
      <c r="E5" s="108">
        <v>44257.0</v>
      </c>
      <c r="F5" s="108">
        <v>44273.0</v>
      </c>
      <c r="G5" s="108">
        <v>44290.0</v>
      </c>
      <c r="H5" s="108">
        <f t="shared" ref="H5:H6" si="2">G5+1</f>
        <v>44291</v>
      </c>
      <c r="I5" s="110">
        <v>44295.0</v>
      </c>
      <c r="J5" s="108">
        <v>44288.0</v>
      </c>
      <c r="K5" s="108">
        <v>44307.0</v>
      </c>
      <c r="L5" s="108"/>
    </row>
    <row r="6">
      <c r="A6" s="106">
        <v>7.0</v>
      </c>
      <c r="B6" s="108">
        <v>44262.0</v>
      </c>
      <c r="C6" s="108">
        <f t="shared" si="1"/>
        <v>44263</v>
      </c>
      <c r="D6" s="108">
        <v>44270.0</v>
      </c>
      <c r="E6" s="108">
        <v>44258.0</v>
      </c>
      <c r="F6" s="108">
        <v>44274.0</v>
      </c>
      <c r="G6" s="108">
        <v>44293.0</v>
      </c>
      <c r="H6" s="108">
        <f t="shared" si="2"/>
        <v>44294</v>
      </c>
      <c r="I6" s="108">
        <f>H6+5</f>
        <v>44299</v>
      </c>
      <c r="J6" s="108">
        <v>44291.0</v>
      </c>
      <c r="K6" s="108">
        <v>44308.0</v>
      </c>
    </row>
    <row r="7">
      <c r="A7" s="106">
        <v>10.0</v>
      </c>
      <c r="B7" s="108">
        <v>44265.0</v>
      </c>
      <c r="C7" s="108">
        <f t="shared" si="1"/>
        <v>44266</v>
      </c>
      <c r="D7" s="108">
        <f>C7+5</f>
        <v>44271</v>
      </c>
      <c r="E7" s="108">
        <v>44259.0</v>
      </c>
      <c r="F7" s="108">
        <v>44278.0</v>
      </c>
      <c r="G7" s="108">
        <v>44296.0</v>
      </c>
      <c r="H7" s="108">
        <v>44298.0</v>
      </c>
      <c r="I7" s="110">
        <v>44305.0</v>
      </c>
      <c r="J7" s="108">
        <v>44292.0</v>
      </c>
      <c r="K7" s="108">
        <v>44309.0</v>
      </c>
    </row>
    <row r="8">
      <c r="A8" s="111">
        <v>12.0</v>
      </c>
      <c r="B8" s="108">
        <v>44267.0</v>
      </c>
      <c r="C8" s="108">
        <v>44270.0</v>
      </c>
      <c r="D8" s="110">
        <v>44277.0</v>
      </c>
      <c r="E8" s="108">
        <v>44260.0</v>
      </c>
      <c r="F8" s="108">
        <v>44279.0</v>
      </c>
      <c r="G8" s="108">
        <v>44298.0</v>
      </c>
      <c r="H8" s="108">
        <f t="shared" ref="H8:H9" si="3">G8+1</f>
        <v>44299</v>
      </c>
      <c r="I8" s="110">
        <v>44305.0</v>
      </c>
      <c r="J8" s="108">
        <v>44293.0</v>
      </c>
      <c r="K8" s="108">
        <v>44313.0</v>
      </c>
    </row>
    <row r="9">
      <c r="A9" s="106">
        <v>14.0</v>
      </c>
      <c r="B9" s="108">
        <v>44269.0</v>
      </c>
      <c r="C9" s="108">
        <f t="shared" ref="C9:C10" si="4">B9+1</f>
        <v>44270</v>
      </c>
      <c r="D9" s="110">
        <v>44277.0</v>
      </c>
      <c r="E9" s="108">
        <v>44265.0</v>
      </c>
      <c r="F9" s="108">
        <v>44280.0</v>
      </c>
      <c r="G9" s="108">
        <v>44300.0</v>
      </c>
      <c r="H9" s="108">
        <f t="shared" si="3"/>
        <v>44301</v>
      </c>
      <c r="I9" s="108">
        <f>H9+5</f>
        <v>44306</v>
      </c>
      <c r="J9" s="108">
        <v>44294.0</v>
      </c>
      <c r="K9" s="108">
        <v>44314.0</v>
      </c>
    </row>
    <row r="10">
      <c r="A10" s="106">
        <v>17.0</v>
      </c>
      <c r="B10" s="108">
        <v>44272.0</v>
      </c>
      <c r="C10" s="108">
        <f t="shared" si="4"/>
        <v>44273</v>
      </c>
      <c r="D10" s="110">
        <v>44277.0</v>
      </c>
      <c r="E10" s="108">
        <v>44266.0</v>
      </c>
      <c r="F10" s="108">
        <v>44281.0</v>
      </c>
      <c r="G10" s="108">
        <v>44303.0</v>
      </c>
      <c r="H10" s="108">
        <v>44305.0</v>
      </c>
      <c r="I10" s="110">
        <v>44312.0</v>
      </c>
      <c r="J10" s="108">
        <v>44298.0</v>
      </c>
      <c r="K10" s="108">
        <v>44315.0</v>
      </c>
    </row>
    <row r="11">
      <c r="A11" s="106">
        <v>20.0</v>
      </c>
      <c r="B11" s="108">
        <v>44275.0</v>
      </c>
      <c r="C11" s="108">
        <v>44277.0</v>
      </c>
      <c r="D11" s="110">
        <v>44284.0</v>
      </c>
      <c r="E11" s="108">
        <v>44267.0</v>
      </c>
      <c r="F11" s="108">
        <v>44285.0</v>
      </c>
      <c r="G11" s="108">
        <v>44306.0</v>
      </c>
      <c r="H11" s="108">
        <f>G11+1</f>
        <v>44307</v>
      </c>
      <c r="I11" s="110">
        <f>H11+5</f>
        <v>44312</v>
      </c>
      <c r="J11" s="108">
        <v>44300.0</v>
      </c>
      <c r="K11" s="108">
        <v>44316.0</v>
      </c>
    </row>
    <row r="12">
      <c r="A12" s="106">
        <v>23.0</v>
      </c>
      <c r="B12" s="108">
        <v>44278.0</v>
      </c>
      <c r="C12" s="108">
        <f t="shared" ref="C12:C14" si="5">B12+1</f>
        <v>44279</v>
      </c>
      <c r="D12" s="110">
        <f t="shared" ref="D12:D13" si="6">C12+5</f>
        <v>44284</v>
      </c>
      <c r="G12" s="108">
        <v>44309.0</v>
      </c>
      <c r="H12" s="108">
        <v>44312.0</v>
      </c>
      <c r="I12" s="110">
        <v>44319.0</v>
      </c>
      <c r="J12" s="108">
        <v>44301.0</v>
      </c>
    </row>
    <row r="13">
      <c r="A13" s="106">
        <v>25.0</v>
      </c>
      <c r="B13" s="108">
        <v>44280.0</v>
      </c>
      <c r="C13" s="108">
        <f t="shared" si="5"/>
        <v>44281</v>
      </c>
      <c r="D13" s="108">
        <f t="shared" si="6"/>
        <v>44286</v>
      </c>
      <c r="G13" s="108">
        <v>44311.0</v>
      </c>
      <c r="H13" s="108">
        <f t="shared" ref="H13:H14" si="7">G13+1</f>
        <v>44312</v>
      </c>
      <c r="I13" s="110">
        <v>44319.0</v>
      </c>
    </row>
    <row r="14">
      <c r="A14" s="106">
        <v>28.0</v>
      </c>
      <c r="B14" s="108">
        <v>44283.0</v>
      </c>
      <c r="C14" s="108">
        <f t="shared" si="5"/>
        <v>44284</v>
      </c>
      <c r="D14" s="108">
        <v>44291.0</v>
      </c>
      <c r="G14" s="108">
        <v>44314.0</v>
      </c>
      <c r="H14" s="108">
        <f t="shared" si="7"/>
        <v>44315</v>
      </c>
      <c r="I14" s="108">
        <f>H14+5</f>
        <v>44320</v>
      </c>
      <c r="J14" s="108"/>
    </row>
    <row r="34">
      <c r="J34" s="108"/>
    </row>
  </sheetData>
  <mergeCells count="6">
    <mergeCell ref="B1:F1"/>
    <mergeCell ref="G1:K1"/>
    <mergeCell ref="B2:D2"/>
    <mergeCell ref="E2:F3"/>
    <mergeCell ref="G2:I2"/>
    <mergeCell ref="J2:K3"/>
  </mergeCells>
  <drawing r:id="rId2"/>
  <legacyDrawing r:id="rId3"/>
</worksheet>
</file>